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mc:AlternateContent xmlns:mc="http://schemas.openxmlformats.org/markup-compatibility/2006">
    <mc:Choice Requires="x15">
      <x15ac:absPath xmlns:x15ac="http://schemas.microsoft.com/office/spreadsheetml/2010/11/ac" url="/Users/boguo/Library/CloudStorage/OneDrive-SharedLibraries-UniversityofArizona/Ma, Min - (minma) - SSL tool/Releases/"/>
    </mc:Choice>
  </mc:AlternateContent>
  <xr:revisionPtr revIDLastSave="0" documentId="13_ncr:1_{7C12E4A6-6D2F-5343-AA08-28D2C6BECE3E}" xr6:coauthVersionLast="47" xr6:coauthVersionMax="47" xr10:uidLastSave="{00000000-0000-0000-0000-000000000000}"/>
  <workbookProtection workbookAlgorithmName="SHA-512" workbookHashValue="JIPlVwh7CpLngqL96ZocYhTMOTwP6QjRz/1jOTxV0dfGJzrdU8WqdKH7z6esKJ/21wLKN4q4SpamTGP8bKP+wA==" workbookSaltValue="/lJATLMynntTlh87Jano7Q==" workbookSpinCount="100000" lockStructure="1"/>
  <bookViews>
    <workbookView xWindow="28800" yWindow="-4420" windowWidth="38400" windowHeight="21100"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SoilData" sheetId="4" state="hidden" r:id="rId9"/>
    <sheet name="PFASData" sheetId="5" state="hidden" r:id="rId10"/>
  </sheets>
  <functionGroups builtInGroupCount="19"/>
  <externalReferences>
    <externalReference r:id="rId11"/>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PFASTable[name]</definedName>
    <definedName name="PFASname" localSheetId="4">PFASTable[name]</definedName>
    <definedName name="PFASname" localSheetId="6">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SoilTable[name]</definedName>
    <definedName name="SoilName" localSheetId="4">SoilTable[name]</definedName>
    <definedName name="SoilName" localSheetId="6">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2" i="50" l="1"/>
  <c r="O34" i="50"/>
  <c r="O33" i="50"/>
  <c r="O31" i="50"/>
  <c r="L33" i="62"/>
  <c r="L35" i="62"/>
  <c r="L34" i="62"/>
  <c r="L32" i="62"/>
  <c r="L31" i="62"/>
  <c r="O35" i="50" l="1"/>
  <c r="O30" i="50"/>
  <c r="L36" i="62" l="1"/>
</calcChain>
</file>

<file path=xl/sharedStrings.xml><?xml version="1.0" encoding="utf-8"?>
<sst xmlns="http://schemas.openxmlformats.org/spreadsheetml/2006/main" count="473" uniqueCount="280">
  <si>
    <t xml:space="preserve">Excel Tool for PFAS-LEACH Tiers 3 and 4 models </t>
    <phoneticPr fontId="12" type="noConversion"/>
  </si>
  <si>
    <t>Department of Hydrology and Atmospheric Sciences</t>
  </si>
  <si>
    <t>University of Arizona</t>
  </si>
  <si>
    <t>Introduction</t>
    <phoneticPr fontId="12" type="noConversion"/>
  </si>
  <si>
    <t xml:space="preserve">
The core of the PFAS-LEACH-Analytical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</si>
  <si>
    <t xml:space="preserve">
PFAS-LEACH-DAF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phoneticPr fontId="12"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</si>
  <si>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2" type="noConversion"/>
  </si>
  <si>
    <r>
      <rPr>
        <b/>
        <sz val="12"/>
        <rFont val="Arial"/>
        <family val="2"/>
      </rPr>
      <t>Module0</t>
    </r>
    <r>
      <rPr>
        <sz val="12"/>
        <rFont val="Arial"/>
        <family val="2"/>
      </rPr>
      <t xml:space="preserve"> is the base model for quantifying PFAS leaching and deriving SSLs.</t>
    </r>
  </si>
  <si>
    <t>Assumptions</t>
  </si>
  <si>
    <t xml:space="preserve">1)  One-dimensional, steady-state water infiltration.
</t>
  </si>
  <si>
    <t>2)  Homogenous, uniformly unsaturated vadose zone.</t>
  </si>
  <si>
    <t>How to cite</t>
    <phoneticPr fontId="12"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</si>
  <si>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</si>
  <si>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</si>
  <si>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</si>
  <si>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</si>
  <si>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</si>
  <si>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</si>
  <si>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</si>
  <si>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phoneticPr fontId="12" type="noConversion"/>
  </si>
  <si>
    <t>Acknowledgement</t>
    <phoneticPr fontId="12" type="noConversion"/>
  </si>
  <si>
    <t>To report feedback or bugs</t>
    <phoneticPr fontId="12" type="noConversion"/>
  </si>
  <si>
    <t xml:space="preserve"> Module0 Input Screen - Basic Analysis</t>
    <phoneticPr fontId="12" type="noConversion"/>
  </si>
  <si>
    <t xml:space="preserve">READ BEFORE START:         </t>
    <phoneticPr fontId="12" type="noConversion"/>
  </si>
  <si>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Parameters with asterisks (*) are required to run the solvers.</t>
    </r>
  </si>
  <si>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2" type="noConversion"/>
  </si>
  <si>
    <t>Parameter Values</t>
    <phoneticPr fontId="12" type="noConversion"/>
  </si>
  <si>
    <r>
      <t xml:space="preserve"> </t>
    </r>
    <r>
      <rPr>
        <b/>
        <sz val="16"/>
        <rFont val="Segoe UI Symbol"/>
        <family val="2"/>
      </rPr>
      <t xml:space="preserve">④ </t>
    </r>
    <r>
      <rPr>
        <b/>
        <sz val="14"/>
        <rFont val="Arial"/>
        <family val="2"/>
      </rPr>
      <t xml:space="preserve">Initial PFAS Soil Concentration Profile  </t>
    </r>
    <phoneticPr fontId="12" type="noConversion"/>
  </si>
  <si>
    <t xml:space="preserve">Depth to groundwater* </t>
  </si>
  <si>
    <t>L</t>
  </si>
  <si>
    <t>cm</t>
  </si>
  <si>
    <t>Interpolation Method</t>
    <phoneticPr fontId="12" type="noConversion"/>
  </si>
  <si>
    <t>Depth below land surface</t>
    <phoneticPr fontId="12" type="noConversion"/>
  </si>
  <si>
    <t>PFAS soil concentration</t>
  </si>
  <si>
    <t>Contaminated site area (or unit area)</t>
    <phoneticPr fontId="12" type="noConversion"/>
  </si>
  <si>
    <t>A</t>
    <phoneticPr fontId="12" type="noConversion"/>
  </si>
  <si>
    <r>
      <t>m</t>
    </r>
    <r>
      <rPr>
        <vertAlign val="superscript"/>
        <sz val="11"/>
        <rFont val="Arial"/>
        <family val="2"/>
      </rPr>
      <t>2</t>
    </r>
    <phoneticPr fontId="12" type="noConversion"/>
  </si>
  <si>
    <t>Soil Type</t>
    <phoneticPr fontId="12" type="noConversion"/>
  </si>
  <si>
    <t>Piecewise Linear Interpolation</t>
  </si>
  <si>
    <t>Temperature</t>
  </si>
  <si>
    <t>T</t>
    <phoneticPr fontId="12" type="noConversion"/>
  </si>
  <si>
    <t>K</t>
    <phoneticPr fontId="12" type="noConversion"/>
  </si>
  <si>
    <t>User defined</t>
    <phoneticPr fontId="12" type="noConversion"/>
  </si>
  <si>
    <t xml:space="preserve">Net infiltration* </t>
  </si>
  <si>
    <r>
      <t>I</t>
    </r>
    <r>
      <rPr>
        <i/>
        <vertAlign val="subscript"/>
        <sz val="11"/>
        <rFont val="Arial"/>
        <family val="2"/>
      </rPr>
      <t>f</t>
    </r>
  </si>
  <si>
    <t>cm/yr</t>
  </si>
  <si>
    <t>(cm)</t>
    <phoneticPr fontId="12" type="noConversion"/>
  </si>
  <si>
    <t xml:space="preserve"> (µg/kg)</t>
  </si>
  <si>
    <t xml:space="preserve">Soil bulk density* </t>
    <phoneticPr fontId="12" type="noConversion"/>
  </si>
  <si>
    <r>
      <t>ρ</t>
    </r>
    <r>
      <rPr>
        <i/>
        <vertAlign val="subscript"/>
        <sz val="11"/>
        <rFont val="Arial"/>
        <family val="2"/>
      </rPr>
      <t>b</t>
    </r>
    <phoneticPr fontId="12"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</si>
  <si>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</si>
  <si>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</si>
  <si>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</si>
  <si>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</si>
  <si>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</si>
  <si>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</si>
  <si>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</si>
  <si>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</si>
  <si>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</si>
  <si>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2" type="noConversion"/>
  </si>
  <si>
    <r>
      <t>d</t>
    </r>
    <r>
      <rPr>
        <i/>
        <sz val="8"/>
        <rFont val="Arial"/>
        <family val="2"/>
      </rPr>
      <t>50</t>
    </r>
  </si>
  <si>
    <t>cm</t>
    <phoneticPr fontId="12" type="noConversion"/>
  </si>
  <si>
    <t>Organic carbon fraction</t>
    <phoneticPr fontId="12" type="noConversion"/>
  </si>
  <si>
    <r>
      <t>f</t>
    </r>
    <r>
      <rPr>
        <i/>
        <vertAlign val="subscript"/>
        <sz val="10"/>
        <rFont val="Arial"/>
        <family val="2"/>
      </rPr>
      <t>oc</t>
    </r>
  </si>
  <si>
    <t>%</t>
    <phoneticPr fontId="12" type="noConversion"/>
  </si>
  <si>
    <t xml:space="preserve">van Genuchten parameter </t>
  </si>
  <si>
    <t>α</t>
  </si>
  <si>
    <r>
      <t>cm</t>
    </r>
    <r>
      <rPr>
        <vertAlign val="superscript"/>
        <sz val="11"/>
        <rFont val="Arial"/>
        <family val="2"/>
      </rPr>
      <t>-1</t>
    </r>
  </si>
  <si>
    <t>van Genuchten parameter</t>
  </si>
  <si>
    <t>n</t>
  </si>
  <si>
    <t>Longitudinal dispersivity</t>
    <phoneticPr fontId="12" type="noConversion"/>
  </si>
  <si>
    <r>
      <t>α</t>
    </r>
    <r>
      <rPr>
        <i/>
        <vertAlign val="subscript"/>
        <sz val="11"/>
        <rFont val="Arial"/>
        <family val="2"/>
      </rPr>
      <t>L</t>
    </r>
    <phoneticPr fontId="12" type="noConversion"/>
  </si>
  <si>
    <t xml:space="preserve">Water content* </t>
    <phoneticPr fontId="12" type="noConversion"/>
  </si>
  <si>
    <t>θ</t>
    <phoneticPr fontId="12" type="noConversion"/>
  </si>
  <si>
    <t>Air–water interfacial area scaling factor</t>
    <phoneticPr fontId="12" type="noConversion"/>
  </si>
  <si>
    <t>SF</t>
    <phoneticPr fontId="12"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</si>
  <si>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</si>
  <si>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</si>
  <si>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2"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</si>
  <si>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2" type="noConversion"/>
  </si>
  <si>
    <t>Surface tension parameter</t>
    <phoneticPr fontId="12" type="noConversion"/>
  </si>
  <si>
    <t>a</t>
  </si>
  <si>
    <t>mg/L</t>
  </si>
  <si>
    <t>b</t>
  </si>
  <si>
    <t xml:space="preserve">PFAS Type  </t>
    <phoneticPr fontId="12" type="noConversion"/>
  </si>
  <si>
    <r>
      <t>σ</t>
    </r>
    <r>
      <rPr>
        <i/>
        <vertAlign val="subscript"/>
        <sz val="11"/>
        <rFont val="Arial"/>
        <family val="2"/>
      </rPr>
      <t>0</t>
    </r>
  </si>
  <si>
    <t>dyn/cm</t>
  </si>
  <si>
    <t>PFOA</t>
    <phoneticPr fontId="12" type="noConversion"/>
  </si>
  <si>
    <t xml:space="preserve">Molar mass* </t>
  </si>
  <si>
    <t>M</t>
  </si>
  <si>
    <t>g/mol</t>
  </si>
  <si>
    <t>Molecular diffusion coefficient</t>
    <phoneticPr fontId="12"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</si>
  <si>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</si>
  <si>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</si>
  <si>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2" type="noConversion"/>
  </si>
  <si>
    <r>
      <t>V</t>
    </r>
    <r>
      <rPr>
        <i/>
        <vertAlign val="subscript"/>
        <sz val="10"/>
        <rFont val="Arial"/>
        <family val="2"/>
      </rPr>
      <t>m</t>
    </r>
    <phoneticPr fontId="12" type="noConversion"/>
  </si>
  <si>
    <r>
      <t>cm</t>
    </r>
    <r>
      <rPr>
        <vertAlign val="superscript"/>
        <sz val="11"/>
        <rFont val="Arial"/>
        <family val="2"/>
      </rPr>
      <t>3</t>
    </r>
    <r>
      <rPr>
        <sz val="11"/>
        <rFont val="Arial"/>
        <family val="2"/>
      </rPr>
      <t>/mol</t>
    </r>
  </si>
  <si>
    <t>Organic carbon-water partition coefficient</t>
    <phoneticPr fontId="12"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</si>
  <si>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</si>
  <si>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</si>
  <si>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</si>
  <si>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2" type="noConversion"/>
  </si>
  <si>
    <r>
      <t>K</t>
    </r>
    <r>
      <rPr>
        <i/>
        <vertAlign val="subscript"/>
        <sz val="11"/>
        <rFont val="Arial"/>
        <family val="2"/>
      </rPr>
      <t>d</t>
    </r>
  </si>
  <si>
    <t>W</t>
  </si>
  <si>
    <t xml:space="preserve">Air–water interfacial adsorption coefficient* </t>
    <phoneticPr fontId="12"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</si>
  <si>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</si>
  <si>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2"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</si>
  <si>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</si>
  <si>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</si>
  <si>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</si>
  <si>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</si>
  <si>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2" type="noConversion"/>
  </si>
  <si>
    <t>If</t>
  </si>
  <si>
    <t xml:space="preserve">Kinetic solid-phase sorption rate constant* </t>
    <phoneticPr fontId="12" type="noConversion"/>
  </si>
  <si>
    <r>
      <t>α</t>
    </r>
    <r>
      <rPr>
        <i/>
        <vertAlign val="subscript"/>
        <sz val="11"/>
        <rFont val="Arial"/>
        <family val="2"/>
      </rPr>
      <t>s</t>
    </r>
    <phoneticPr fontId="12" type="noConversion"/>
  </si>
  <si>
    <t>1/hour</t>
    <phoneticPr fontId="12"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</si>
  <si>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2" type="noConversion"/>
  </si>
  <si>
    <t>Groundwater velocity</t>
    <phoneticPr fontId="12" type="noConversion"/>
  </si>
  <si>
    <r>
      <t>U</t>
    </r>
    <r>
      <rPr>
        <i/>
        <vertAlign val="subscript"/>
        <sz val="11"/>
        <rFont val="Arial"/>
        <family val="2"/>
      </rPr>
      <t>gw</t>
    </r>
  </si>
  <si>
    <t>m/yr</t>
    <phoneticPr fontId="12" type="noConversion"/>
  </si>
  <si>
    <t>Lateral site width</t>
    <phoneticPr fontId="12" type="noConversion"/>
  </si>
  <si>
    <t>m</t>
    <phoneticPr fontId="12" type="noConversion"/>
  </si>
  <si>
    <r>
      <rPr>
        <b/>
        <sz val="16"/>
        <color theme="1"/>
        <rFont val="Segoe UI Symbol"/>
        <family val="2"/>
      </rPr>
      <t>⑤</t>
    </r>
    <r>
      <rPr>
        <b/>
        <sz val="14"/>
        <color theme="1"/>
        <rFont val="宋体"/>
        <family val="2"/>
        <charset val="134"/>
      </rPr>
      <t xml:space="preserve"> </t>
    </r>
    <r>
      <rPr>
        <b/>
        <sz val="14"/>
        <color theme="1"/>
        <rFont val="Arial"/>
        <family val="2"/>
      </rPr>
      <t>Simulation Information</t>
    </r>
    <phoneticPr fontId="12" type="noConversion"/>
  </si>
  <si>
    <t>Saturated zone thickness</t>
    <phoneticPr fontId="12" type="noConversion"/>
  </si>
  <si>
    <r>
      <t>b</t>
    </r>
    <r>
      <rPr>
        <i/>
        <vertAlign val="subscript"/>
        <sz val="11"/>
        <color theme="1"/>
        <rFont val="Arial"/>
        <family val="2"/>
      </rPr>
      <t>sat</t>
    </r>
  </si>
  <si>
    <t xml:space="preserve">
 (Equilibrium solid-phase sorption)</t>
  </si>
  <si>
    <t>Vertical dispersivity</t>
    <phoneticPr fontId="12" type="noConversion"/>
  </si>
  <si>
    <r>
      <t>α</t>
    </r>
    <r>
      <rPr>
        <i/>
        <vertAlign val="subscript"/>
        <sz val="11"/>
        <color theme="1"/>
        <rFont val="Arial"/>
        <family val="2"/>
      </rPr>
      <t>v</t>
    </r>
    <phoneticPr fontId="12" type="noConversion"/>
  </si>
  <si>
    <t xml:space="preserve">Simulation time* </t>
  </si>
  <si>
    <t>t</t>
  </si>
  <si>
    <t>yr</t>
    <phoneticPr fontId="12" type="noConversion"/>
  </si>
  <si>
    <t>Mixing zone thickness</t>
    <phoneticPr fontId="12" type="noConversion"/>
  </si>
  <si>
    <r>
      <t>δ</t>
    </r>
    <r>
      <rPr>
        <i/>
        <vertAlign val="subscript"/>
        <sz val="11"/>
        <color theme="1"/>
        <rFont val="Arial"/>
        <family val="2"/>
      </rPr>
      <t>gw</t>
    </r>
    <phoneticPr fontId="12" type="noConversion"/>
  </si>
  <si>
    <t xml:space="preserve">Output time interval* </t>
  </si>
  <si>
    <t>dt</t>
    <phoneticPr fontId="12" type="noConversion"/>
  </si>
  <si>
    <r>
      <t>Dilution Factor</t>
    </r>
    <r>
      <rPr>
        <sz val="12"/>
        <rFont val="Arial"/>
        <family val="2"/>
      </rPr>
      <t xml:space="preserve">* </t>
    </r>
  </si>
  <si>
    <t>DF</t>
  </si>
  <si>
    <t>(-)</t>
  </si>
  <si>
    <t xml:space="preserve">Acceptable groundwater concentration* </t>
    <phoneticPr fontId="12" type="noConversion"/>
  </si>
  <si>
    <r>
      <t>C</t>
    </r>
    <r>
      <rPr>
        <i/>
        <vertAlign val="subscript"/>
        <sz val="11"/>
        <rFont val="Arial"/>
        <family val="2"/>
      </rPr>
      <t>gw,a</t>
    </r>
    <phoneticPr fontId="12" type="noConversion"/>
  </si>
  <si>
    <t>ppt</t>
  </si>
  <si>
    <t xml:space="preserve"> (Kinetic solid-phase sorption)</t>
  </si>
  <si>
    <t>Module0 Output Screen</t>
    <phoneticPr fontId="12" type="noConversion"/>
  </si>
  <si>
    <t>Computed Results from PFAS-LEACH-Analytical</t>
    <phoneticPr fontId="12" type="noConversion"/>
  </si>
  <si>
    <t>Soil Screening Levels</t>
    <phoneticPr fontId="12" type="noConversion"/>
  </si>
  <si>
    <t>Values</t>
    <phoneticPr fontId="12" type="noConversion"/>
  </si>
  <si>
    <t>Select what to plot</t>
    <phoneticPr fontId="12" type="noConversion"/>
  </si>
  <si>
    <t>Soil screening level  (PFAS-LEACH-Analytical)</t>
  </si>
  <si>
    <t>SSL</t>
  </si>
  <si>
    <t>ug/kg</t>
    <phoneticPr fontId="12" type="noConversion"/>
  </si>
  <si>
    <t>Soil screening level  (PFAS-LEACH-DAF)</t>
  </si>
  <si>
    <r>
      <t>SSL</t>
    </r>
    <r>
      <rPr>
        <i/>
        <vertAlign val="subscript"/>
        <sz val="14"/>
        <color theme="1"/>
        <rFont val="Arial"/>
        <family val="2"/>
      </rPr>
      <t>EPA revised</t>
    </r>
    <phoneticPr fontId="12" type="noConversion"/>
  </si>
  <si>
    <t>Soil screening level  (USEPA Standard DAF)</t>
    <phoneticPr fontId="12" type="noConversion"/>
  </si>
  <si>
    <r>
      <t>SSL</t>
    </r>
    <r>
      <rPr>
        <i/>
        <vertAlign val="subscript"/>
        <sz val="14"/>
        <color theme="1"/>
        <rFont val="Arial"/>
        <family val="2"/>
      </rPr>
      <t>EPA standard</t>
    </r>
    <phoneticPr fontId="12"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</si>
  <si>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</si>
  <si>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</si>
  <si>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</si>
  <si>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</si>
  <si>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</si>
  <si>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</si>
  <si>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</si>
  <si>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</si>
  <si>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</si>
  <si>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</si>
  <si>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2" type="noConversion"/>
  </si>
  <si>
    <r>
      <t>T</t>
    </r>
    <r>
      <rPr>
        <i/>
        <vertAlign val="subscript"/>
        <sz val="14"/>
        <color theme="1"/>
        <rFont val="Arial"/>
        <family val="2"/>
      </rPr>
      <t>R</t>
    </r>
    <phoneticPr fontId="12" type="noConversion"/>
  </si>
  <si>
    <t>Duration exceeding the acceptable groundwater concentration</t>
  </si>
  <si>
    <r>
      <t>t</t>
    </r>
    <r>
      <rPr>
        <i/>
        <vertAlign val="subscript"/>
        <sz val="14"/>
        <color rgb="FF000000"/>
        <rFont val="Arial"/>
        <family val="2"/>
      </rPr>
      <t>gw,e</t>
    </r>
  </si>
  <si>
    <t>yr</t>
  </si>
  <si>
    <t>Output Results Table for Plotting</t>
    <phoneticPr fontId="12" type="noConversion"/>
  </si>
  <si>
    <t>Time (yr)</t>
  </si>
  <si>
    <t>Mass discharge concentration (ug/L)</t>
  </si>
  <si>
    <t>Receptor well concentration (ug/L)</t>
  </si>
  <si>
    <t xml:space="preserve"> Vadose-zone mass discharge rate (ug/yr)</t>
    <phoneticPr fontId="12" type="noConversion"/>
  </si>
  <si>
    <t>Mass remaining in the vadose zone (ug)</t>
    <phoneticPr fontId="12" type="noConversion"/>
  </si>
  <si>
    <t>Mass remaining in the vadose zone (%)</t>
    <phoneticPr fontId="12" type="noConversion"/>
  </si>
  <si>
    <r>
      <rPr>
        <b/>
        <sz val="18"/>
        <color theme="1"/>
        <rFont val="Arial"/>
        <family val="2"/>
      </rPr>
      <t xml:space="preserve"> </t>
    </r>
    <r>
      <rPr>
        <b/>
        <sz val="24"/>
        <color theme="1"/>
        <rFont val="Arial"/>
        <family val="2"/>
      </rPr>
      <t xml:space="preserve">Module1 Input Screen - Sensitivity Analysis </t>
    </r>
    <phoneticPr fontId="12" type="noConversion"/>
  </si>
  <si>
    <t xml:space="preserve">READ BEFORE START:         </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</si>
  <si>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ofr setting uncertainty bounds for input parameters.
Default values for all cells can be set by clicking the </t>
    </r>
    <r>
      <rPr>
        <i/>
        <u/>
        <sz val="11"/>
        <color theme="1"/>
        <rFont val="Arial"/>
        <family val="2"/>
      </rPr>
      <t>green buttons</t>
    </r>
    <r>
      <rPr>
        <sz val="11"/>
        <color theme="1"/>
        <rFont val="Arial"/>
        <family val="2"/>
      </rPr>
      <t>.
Parameters with asterisks (*) are required to run the solvers.</t>
    </r>
  </si>
  <si>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phoneticPr fontId="12" type="noConversion"/>
  </si>
  <si>
    <t>Left bound</t>
    <phoneticPr fontId="12" type="noConversion"/>
  </si>
  <si>
    <t>Mean value</t>
  </si>
  <si>
    <t>Right bound</t>
    <phoneticPr fontId="12" type="noConversion"/>
  </si>
  <si>
    <r>
      <rPr>
        <b/>
        <sz val="18"/>
        <color theme="1"/>
        <rFont val="Segoe UI Symbol"/>
        <family val="2"/>
      </rPr>
      <t>④</t>
    </r>
    <r>
      <rPr>
        <b/>
        <sz val="18"/>
        <color theme="1"/>
        <rFont val="宋体"/>
        <family val="2"/>
        <charset val="134"/>
      </rPr>
      <t xml:space="preserve"> </t>
    </r>
    <r>
      <rPr>
        <b/>
        <sz val="14"/>
        <color theme="1"/>
        <rFont val="Arial"/>
        <family val="2"/>
      </rPr>
      <t>Initial PFAS Soil Concentration Profile</t>
    </r>
    <phoneticPr fontId="12" type="noConversion"/>
  </si>
  <si>
    <t>% deviation from mean</t>
    <phoneticPr fontId="12" type="noConversion"/>
  </si>
  <si>
    <t>value</t>
    <phoneticPr fontId="12" type="noConversion"/>
  </si>
  <si>
    <t xml:space="preserve">mean </t>
    <phoneticPr fontId="12" type="noConversion"/>
  </si>
  <si>
    <r>
      <t>cm</t>
    </r>
    <r>
      <rPr>
        <vertAlign val="superscript"/>
        <sz val="11"/>
        <rFont val="Arial"/>
        <family val="2"/>
      </rPr>
      <t>2</t>
    </r>
  </si>
  <si>
    <t>(cm)</t>
  </si>
  <si>
    <r>
      <t>d</t>
    </r>
    <r>
      <rPr>
        <i/>
        <vertAlign val="subscript"/>
        <sz val="11"/>
        <rFont val="Arial"/>
        <family val="2"/>
      </rPr>
      <t>50</t>
    </r>
    <phoneticPr fontId="12"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</si>
  <si>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</si>
  <si>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</si>
  <si>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</si>
  <si>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</si>
  <si>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</si>
  <si>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2" type="noConversion"/>
  </si>
  <si>
    <t xml:space="preserve">PFAS Type </t>
    <phoneticPr fontId="12" type="noConversion"/>
  </si>
  <si>
    <t xml:space="preserve">Molar mass* </t>
    <phoneticPr fontId="12"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</si>
  <si>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</si>
  <si>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</si>
  <si>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</si>
  <si>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2" type="noConversion"/>
  </si>
  <si>
    <t>Groundwater velocity</t>
  </si>
  <si>
    <t>Lateral site width</t>
  </si>
  <si>
    <r>
      <rPr>
        <b/>
        <sz val="18"/>
        <rFont val="Segoe UI Symbol"/>
        <family val="2"/>
      </rPr>
      <t>⑤</t>
    </r>
    <r>
      <rPr>
        <b/>
        <sz val="18"/>
        <rFont val="宋体"/>
        <family val="2"/>
        <charset val="134"/>
      </rPr>
      <t xml:space="preserve"> </t>
    </r>
    <r>
      <rPr>
        <b/>
        <sz val="14"/>
        <rFont val="Arial"/>
        <family val="2"/>
      </rPr>
      <t>Simulation Information</t>
    </r>
  </si>
  <si>
    <t>Values</t>
  </si>
  <si>
    <t>Saturated zone thickness</t>
  </si>
  <si>
    <r>
      <t>b</t>
    </r>
    <r>
      <rPr>
        <i/>
        <vertAlign val="subscript"/>
        <sz val="11"/>
        <rFont val="Arial"/>
        <family val="2"/>
      </rPr>
      <t>sat</t>
    </r>
  </si>
  <si>
    <r>
      <t>α</t>
    </r>
    <r>
      <rPr>
        <i/>
        <vertAlign val="subscript"/>
        <sz val="11"/>
        <rFont val="Arial"/>
        <family val="2"/>
      </rPr>
      <t>v</t>
    </r>
  </si>
  <si>
    <t xml:space="preserve">Simulation time* </t>
    <phoneticPr fontId="12" type="noConversion"/>
  </si>
  <si>
    <r>
      <t>δ</t>
    </r>
    <r>
      <rPr>
        <i/>
        <vertAlign val="subscript"/>
        <sz val="11"/>
        <rFont val="Arial"/>
        <family val="2"/>
      </rPr>
      <t>gw</t>
    </r>
  </si>
  <si>
    <t xml:space="preserve">Output time interval* </t>
    <phoneticPr fontId="12" type="noConversion"/>
  </si>
  <si>
    <t xml:space="preserve">Dilution Factor* </t>
    <phoneticPr fontId="12" type="noConversion"/>
  </si>
  <si>
    <t xml:space="preserve">
</t>
    <phoneticPr fontId="12" type="noConversion"/>
  </si>
  <si>
    <t>Module1 Output Screen</t>
    <phoneticPr fontId="12" type="noConversion"/>
  </si>
  <si>
    <t>Mean</t>
    <phoneticPr fontId="12" type="noConversion"/>
  </si>
  <si>
    <t>Retardation, attenuation, and dilution factors (PFAS-LEACH-Analytical)</t>
    <phoneticPr fontId="12" type="noConversion"/>
  </si>
  <si>
    <t>Left bound mass discharge concentrations (ug/L)</t>
  </si>
  <si>
    <t>Mean mass discharge concentrations  (ug/L)</t>
  </si>
  <si>
    <t>Right bound mass discharge concentrations  (ug/L)</t>
  </si>
  <si>
    <t>Left bound groundwater concentrations  (ug/L)</t>
  </si>
  <si>
    <t>Mean groundwater concentrations  (ug/L)</t>
  </si>
  <si>
    <t>Right bound groundwater concentrations  (ug/L)</t>
  </si>
  <si>
    <t>Left bound mass discharge rate (ug/yr)</t>
    <phoneticPr fontId="12" type="noConversion"/>
  </si>
  <si>
    <t>Mean mass discharge rate (ug/yr)</t>
    <phoneticPr fontId="12" type="noConversion"/>
  </si>
  <si>
    <t>Right bound mass discharge rate (ug/yr)</t>
    <phoneticPr fontId="12" type="noConversion"/>
  </si>
  <si>
    <t>Left bound mass remaining in the vadose zone (ug)</t>
    <phoneticPr fontId="12" type="noConversion"/>
  </si>
  <si>
    <t>Mean mass remaining in the vadose zone (ug)</t>
    <phoneticPr fontId="12" type="noConversion"/>
  </si>
  <si>
    <t>Right bound mass remaining in the vadose zone (ug)</t>
    <phoneticPr fontId="12" type="noConversion"/>
  </si>
  <si>
    <t>Left bound mass remaining in the vadose zone (%)</t>
    <phoneticPr fontId="12" type="noConversion"/>
  </si>
  <si>
    <t>Mean mass remaining in the vadose zone (%)</t>
    <phoneticPr fontId="12" type="noConversion"/>
  </si>
  <si>
    <t>Right bound mass remaining in the vadose zone (%)</t>
    <phoneticPr fontId="12"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</si>
  <si>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</si>
  <si>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</si>
  <si>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</si>
  <si>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</si>
  <si>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</si>
  <si>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theta_r</t>
  </si>
  <si>
    <t>theta_s</t>
  </si>
  <si>
    <t>alpha</t>
  </si>
  <si>
    <t>bulk_density</t>
  </si>
  <si>
    <t>Ks</t>
  </si>
  <si>
    <r>
      <t>d</t>
    </r>
    <r>
      <rPr>
        <vertAlign val="subscript"/>
        <sz val="11"/>
        <color theme="1"/>
        <rFont val="Arial"/>
        <family val="2"/>
      </rPr>
      <t>50</t>
    </r>
    <phoneticPr fontId="12" type="noConversion"/>
  </si>
  <si>
    <r>
      <t>f</t>
    </r>
    <r>
      <rPr>
        <vertAlign val="subscript"/>
        <sz val="11"/>
        <color theme="1"/>
        <rFont val="Arial"/>
        <family val="2"/>
      </rPr>
      <t>oc</t>
    </r>
    <phoneticPr fontId="12" type="noConversion"/>
  </si>
  <si>
    <t>Sand</t>
  </si>
  <si>
    <t>Loamy Sand</t>
    <phoneticPr fontId="12" type="noConversion"/>
  </si>
  <si>
    <t xml:space="preserve">Loam </t>
    <phoneticPr fontId="12" type="noConversion"/>
  </si>
  <si>
    <t>Silt</t>
    <phoneticPr fontId="12" type="noConversion"/>
  </si>
  <si>
    <t>Silt Loam</t>
    <phoneticPr fontId="12" type="noConversion"/>
  </si>
  <si>
    <t>Sandy Clay Loam</t>
  </si>
  <si>
    <t>Clay Loam</t>
    <phoneticPr fontId="12" type="noConversion"/>
  </si>
  <si>
    <t>Silty Clay Loam</t>
    <phoneticPr fontId="12" type="noConversion"/>
  </si>
  <si>
    <t xml:space="preserve">Sandy Clay </t>
    <phoneticPr fontId="12" type="noConversion"/>
  </si>
  <si>
    <t xml:space="preserve">Silty Clay </t>
    <phoneticPr fontId="12" type="noConversion"/>
  </si>
  <si>
    <t xml:space="preserve">Clay </t>
    <phoneticPr fontId="12" type="noConversion"/>
  </si>
  <si>
    <r>
      <t>sigma</t>
    </r>
    <r>
      <rPr>
        <vertAlign val="subscript"/>
        <sz val="11"/>
        <color theme="1"/>
        <rFont val="Arial"/>
        <family val="2"/>
      </rPr>
      <t>0</t>
    </r>
    <phoneticPr fontId="12" type="noConversion"/>
  </si>
  <si>
    <r>
      <t>D</t>
    </r>
    <r>
      <rPr>
        <vertAlign val="subscript"/>
        <sz val="11"/>
        <color theme="1"/>
        <rFont val="Arial"/>
        <family val="2"/>
      </rPr>
      <t>0</t>
    </r>
    <phoneticPr fontId="12" type="noConversion"/>
  </si>
  <si>
    <r>
      <t>V</t>
    </r>
    <r>
      <rPr>
        <vertAlign val="subscript"/>
        <sz val="11"/>
        <color theme="1"/>
        <rFont val="Arial"/>
        <family val="2"/>
      </rPr>
      <t>m</t>
    </r>
    <phoneticPr fontId="12" type="noConversion"/>
  </si>
  <si>
    <r>
      <t>K</t>
    </r>
    <r>
      <rPr>
        <vertAlign val="subscript"/>
        <sz val="11"/>
        <color theme="0"/>
        <rFont val="Arial"/>
        <family val="2"/>
      </rPr>
      <t>oc</t>
    </r>
    <phoneticPr fontId="12" type="noConversion"/>
  </si>
  <si>
    <t>PFPeA</t>
  </si>
  <si>
    <t>PFHxA</t>
  </si>
  <si>
    <t>PFHpA</t>
  </si>
  <si>
    <t>PFOA</t>
  </si>
  <si>
    <t>PFNA</t>
  </si>
  <si>
    <t>PFDA</t>
  </si>
  <si>
    <t>PFBS</t>
  </si>
  <si>
    <t>PFHxS</t>
  </si>
  <si>
    <t>PFOS</t>
  </si>
  <si>
    <t>GenX</t>
  </si>
  <si>
    <t>(Equilibrium solid-phase sorption)</t>
    <phoneticPr fontId="12"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</si>
  <si>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2" type="noConversion"/>
  </si>
  <si>
    <t>Contact: Prof. Bo Guo (boguo@arizona.edu)</t>
    <phoneticPr fontId="12" type="noConversion"/>
  </si>
  <si>
    <t>The main purpose of releasing this beta version of the Excel tool is to collect feedback and identify/fix potential bugs before we release the tool to a wider group. We greately appreciate your thoughts on how we should improve the usability and robustness of the Excel Tool. Report your feedback through the github repository via 'Issues' or by sending an email to boguo@arizona.edu.</t>
    <phoneticPr fontId="12" type="noConversion"/>
  </si>
  <si>
    <t>This Excel Tool of the PFAS-LEACH Tiers 3 and 4 models (PFAS-LEACH-Analytical and PFAS-LEACH-DAF) was developed at the University of Arizona by Min Ma and Jacob Smith (equal contribution) under the direction of Prof. Bo Guo. The development was a collaborative effort with Prof. Mark Brusseau. 
We would like to acknowledge funding support from the Environmental Security Technology Certification Program (Project ER21-5041).</t>
    <phoneticPr fontId="12" type="noConversion"/>
  </si>
  <si>
    <t>Version 1.0-beta</t>
    <phoneticPr fontId="12" type="noConversion"/>
  </si>
  <si>
    <r>
      <rPr>
        <b/>
        <sz val="12"/>
        <rFont val="Arial"/>
        <family val="2"/>
      </rPr>
      <t>Module1</t>
    </r>
    <r>
      <rPr>
        <sz val="12"/>
        <rFont val="Arial"/>
        <family val="2"/>
      </rPr>
      <t xml:space="preserve"> adds the capability of parameter sensitivity analysis. Each module includes an Input tab and an Output tab as user interfaces. We have also developed a </t>
    </r>
    <r>
      <rPr>
        <b/>
        <sz val="12"/>
        <rFont val="Arial"/>
        <family val="2"/>
      </rPr>
      <t>Module2</t>
    </r>
    <r>
      <rPr>
        <sz val="12"/>
        <rFont val="Arial"/>
        <family val="2"/>
      </rPr>
      <t xml:space="preserve"> that adds the additional capacity for conducting Monte-Carlo-type uncertainty analysis (currently under internal testing), which will be included in the next release.</t>
    </r>
    <phoneticPr fontId="12" type="noConversion"/>
  </si>
  <si>
    <r>
      <t>t</t>
    </r>
    <r>
      <rPr>
        <i/>
        <vertAlign val="subscript"/>
        <sz val="14"/>
        <color theme="1"/>
        <rFont val="Arial"/>
        <family val="2"/>
      </rPr>
      <t>gw,e</t>
    </r>
    <phoneticPr fontId="12" type="noConversion"/>
  </si>
  <si>
    <t>Vadose-zone mass discharge rate</t>
  </si>
  <si>
    <t>PFAS concentration in a receptor well</t>
  </si>
  <si>
    <t>1. Ma, M., Smith, J., Brusseau, M. L., &amp; Guo, B. (2025). User guide: Excel tool for Tiers 3 and 4 models of PFAS-LEACH (PFAS-LEACH-Analytical and PFAS-LEACH-DAF). University of Arizona, Tucson, Arizona.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</si>
</sst>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s>
  <fonts count="117">
    <font>
      <sz val="11"/>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b/>
      <sz val="11"/>
      <color theme="1"/>
      <name val="Calibri"/>
      <family val="3"/>
      <charset val="134"/>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sz val="12"/>
      <color theme="8" tint="0.3999755851924192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4"/>
      <color theme="1"/>
      <name val="宋体"/>
      <family val="2"/>
      <charset val="134"/>
    </font>
    <font>
      <b/>
      <sz val="16"/>
      <color theme="1"/>
      <name val="Segoe UI Symbol"/>
      <family val="2"/>
    </font>
    <font>
      <b/>
      <sz val="16"/>
      <color theme="1"/>
      <name val="Aharoni"/>
      <charset val="177"/>
    </font>
    <font>
      <b/>
      <sz val="16"/>
      <color theme="1"/>
      <name val="宋体"/>
      <family val="2"/>
      <charset val="134"/>
    </font>
    <font>
      <b/>
      <sz val="16"/>
      <name val="Segoe UI Symbol"/>
      <family val="2"/>
    </font>
    <font>
      <sz val="6"/>
      <color theme="1" tint="0.249977111117893"/>
      <name val="Arial"/>
      <family val="2"/>
    </font>
    <font>
      <sz val="9"/>
      <color theme="1" tint="0.34998626667073579"/>
      <name val="Arial"/>
      <family val="2"/>
    </font>
    <font>
      <b/>
      <sz val="18"/>
      <color theme="1"/>
      <name val="Segoe UI Symbol"/>
      <family val="2"/>
    </font>
    <font>
      <sz val="8"/>
      <color theme="1" tint="0.34998626667073579"/>
      <name val="Aria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b/>
      <sz val="10"/>
      <color theme="0" tint="-0.14999847407452621"/>
      <name val="Arial"/>
      <family val="2"/>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8"/>
      <color rgb="FF2A2F45"/>
      <name val="Segoe UI"/>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s>
  <fills count="43">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s>
  <borders count="7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theme="0" tint="-0.249977111117893"/>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s>
  <cellStyleXfs count="42">
    <xf numFmtId="0" fontId="0" fillId="0" borderId="0"/>
    <xf numFmtId="0" fontId="18" fillId="0" borderId="0" applyNumberFormat="0" applyFill="0" applyBorder="0" applyAlignment="0" applyProtection="0"/>
    <xf numFmtId="0" fontId="19" fillId="0" borderId="43" applyNumberFormat="0" applyFill="0" applyAlignment="0" applyProtection="0"/>
    <xf numFmtId="0" fontId="20" fillId="0" borderId="44" applyNumberFormat="0" applyFill="0" applyAlignment="0" applyProtection="0"/>
    <xf numFmtId="0" fontId="21" fillId="0" borderId="45"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46" applyNumberFormat="0" applyAlignment="0" applyProtection="0"/>
    <xf numFmtId="0" fontId="26" fillId="10" borderId="47" applyNumberFormat="0" applyAlignment="0" applyProtection="0"/>
    <xf numFmtId="0" fontId="27" fillId="10" borderId="46" applyNumberFormat="0" applyAlignment="0" applyProtection="0"/>
    <xf numFmtId="0" fontId="28" fillId="0" borderId="48" applyNumberFormat="0" applyFill="0" applyAlignment="0" applyProtection="0"/>
    <xf numFmtId="0" fontId="29" fillId="11" borderId="49" applyNumberFormat="0" applyAlignment="0" applyProtection="0"/>
    <xf numFmtId="0" fontId="13" fillId="0" borderId="0" applyNumberFormat="0" applyFill="0" applyBorder="0" applyAlignment="0" applyProtection="0"/>
    <xf numFmtId="0" fontId="17" fillId="12" borderId="50" applyNumberFormat="0" applyFont="0" applyAlignment="0" applyProtection="0"/>
    <xf numFmtId="0" fontId="30" fillId="0" borderId="0" applyNumberFormat="0" applyFill="0" applyBorder="0" applyAlignment="0" applyProtection="0"/>
    <xf numFmtId="0" fontId="16" fillId="0" borderId="51"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428">
    <xf numFmtId="0" fontId="0" fillId="0" borderId="0" xfId="0"/>
    <xf numFmtId="0" fontId="1" fillId="2" borderId="0" xfId="0" applyFont="1" applyFill="1"/>
    <xf numFmtId="0" fontId="1" fillId="3" borderId="0" xfId="0" applyFont="1" applyFill="1"/>
    <xf numFmtId="0" fontId="4" fillId="2" borderId="0" xfId="0" applyFont="1" applyFill="1"/>
    <xf numFmtId="0" fontId="6" fillId="2" borderId="0" xfId="0" applyFont="1" applyFill="1"/>
    <xf numFmtId="0" fontId="7" fillId="3" borderId="0" xfId="0" applyFont="1" applyFill="1"/>
    <xf numFmtId="0" fontId="9" fillId="3" borderId="0" xfId="0" applyFont="1" applyFill="1" applyAlignment="1">
      <alignment vertical="center"/>
    </xf>
    <xf numFmtId="0" fontId="15" fillId="0" borderId="0" xfId="0" applyFont="1"/>
    <xf numFmtId="169" fontId="50" fillId="5" borderId="31" xfId="0" applyNumberFormat="1" applyFont="1" applyFill="1" applyBorder="1" applyAlignment="1" applyProtection="1">
      <alignment horizontal="center" vertical="center"/>
      <protection locked="0"/>
    </xf>
    <xf numFmtId="166" fontId="50" fillId="5" borderId="32" xfId="0" applyNumberFormat="1" applyFont="1" applyFill="1" applyBorder="1" applyAlignment="1" applyProtection="1">
      <alignment horizontal="center" vertical="center"/>
      <protection locked="0"/>
    </xf>
    <xf numFmtId="164" fontId="50" fillId="5" borderId="32" xfId="0" applyNumberFormat="1" applyFont="1" applyFill="1" applyBorder="1" applyAlignment="1" applyProtection="1">
      <alignment horizontal="center" vertical="center"/>
      <protection locked="0"/>
    </xf>
    <xf numFmtId="164" fontId="50" fillId="5" borderId="31" xfId="0" applyNumberFormat="1" applyFont="1" applyFill="1" applyBorder="1" applyAlignment="1" applyProtection="1">
      <alignment horizontal="center" vertical="center"/>
      <protection locked="0"/>
    </xf>
    <xf numFmtId="11" fontId="50" fillId="5" borderId="32" xfId="0" applyNumberFormat="1" applyFont="1" applyFill="1" applyBorder="1" applyAlignment="1" applyProtection="1">
      <alignment horizontal="center" vertical="center"/>
      <protection locked="0"/>
    </xf>
    <xf numFmtId="166" fontId="50" fillId="4" borderId="32" xfId="0" applyNumberFormat="1" applyFont="1" applyFill="1" applyBorder="1" applyAlignment="1" applyProtection="1">
      <alignment horizontal="center" vertical="center"/>
      <protection locked="0"/>
    </xf>
    <xf numFmtId="164" fontId="50" fillId="4" borderId="32" xfId="0" applyNumberFormat="1" applyFont="1" applyFill="1" applyBorder="1" applyAlignment="1" applyProtection="1">
      <alignment horizontal="center" vertical="center"/>
      <protection locked="0"/>
    </xf>
    <xf numFmtId="166" fontId="50" fillId="5" borderId="1" xfId="0" applyNumberFormat="1" applyFont="1" applyFill="1" applyBorder="1" applyAlignment="1" applyProtection="1">
      <alignment horizontal="center" vertical="center"/>
      <protection locked="0"/>
    </xf>
    <xf numFmtId="0" fontId="50" fillId="5" borderId="55" xfId="0" applyFont="1" applyFill="1" applyBorder="1" applyAlignment="1" applyProtection="1">
      <alignment horizontal="center" vertical="center"/>
      <protection locked="0"/>
    </xf>
    <xf numFmtId="0" fontId="50" fillId="5" borderId="35" xfId="0" applyFont="1" applyFill="1" applyBorder="1" applyAlignment="1" applyProtection="1">
      <alignment horizontal="center" vertical="center"/>
      <protection locked="0"/>
    </xf>
    <xf numFmtId="0" fontId="50" fillId="5" borderId="41" xfId="0" applyFont="1" applyFill="1" applyBorder="1" applyAlignment="1" applyProtection="1">
      <alignment horizontal="center" vertical="center"/>
      <protection locked="0"/>
    </xf>
    <xf numFmtId="165" fontId="50" fillId="5" borderId="32" xfId="0" applyNumberFormat="1" applyFont="1" applyFill="1" applyBorder="1" applyAlignment="1" applyProtection="1">
      <alignment horizontal="center" vertical="center"/>
      <protection locked="0"/>
    </xf>
    <xf numFmtId="165" fontId="50" fillId="5" borderId="31" xfId="0" applyNumberFormat="1" applyFont="1" applyFill="1" applyBorder="1" applyAlignment="1" applyProtection="1">
      <alignment horizontal="center" vertical="center"/>
      <protection locked="0"/>
    </xf>
    <xf numFmtId="11" fontId="50" fillId="4" borderId="31" xfId="0" applyNumberFormat="1" applyFont="1" applyFill="1" applyBorder="1" applyAlignment="1" applyProtection="1">
      <alignment horizontal="center" vertical="center"/>
      <protection locked="0"/>
    </xf>
    <xf numFmtId="11" fontId="50" fillId="5" borderId="53" xfId="0" applyNumberFormat="1" applyFont="1" applyFill="1" applyBorder="1" applyAlignment="1" applyProtection="1">
      <alignment horizontal="center" vertical="center"/>
      <protection locked="0"/>
    </xf>
    <xf numFmtId="0" fontId="50" fillId="5" borderId="22" xfId="0" applyFont="1" applyFill="1" applyBorder="1" applyAlignment="1" applyProtection="1">
      <alignment horizontal="center" vertical="center"/>
      <protection locked="0"/>
    </xf>
    <xf numFmtId="0" fontId="50" fillId="5" borderId="23" xfId="0" applyFont="1" applyFill="1" applyBorder="1" applyAlignment="1" applyProtection="1">
      <alignment horizontal="center" vertical="center"/>
      <protection locked="0"/>
    </xf>
    <xf numFmtId="0" fontId="50" fillId="5" borderId="29" xfId="0" applyFont="1" applyFill="1" applyBorder="1" applyAlignment="1" applyProtection="1">
      <alignment horizontal="center" vertical="center"/>
      <protection locked="0"/>
    </xf>
    <xf numFmtId="169" fontId="50" fillId="5" borderId="32" xfId="0" applyNumberFormat="1" applyFont="1" applyFill="1" applyBorder="1" applyAlignment="1" applyProtection="1">
      <alignment horizontal="center" vertical="center"/>
      <protection locked="0"/>
    </xf>
    <xf numFmtId="166" fontId="50" fillId="5" borderId="31" xfId="0" applyNumberFormat="1" applyFont="1" applyFill="1" applyBorder="1" applyAlignment="1" applyProtection="1">
      <alignment horizontal="center" vertical="center"/>
      <protection locked="0"/>
    </xf>
    <xf numFmtId="165" fontId="50" fillId="4" borderId="32" xfId="0" applyNumberFormat="1" applyFont="1" applyFill="1" applyBorder="1" applyAlignment="1" applyProtection="1">
      <alignment horizontal="center" vertical="center"/>
      <protection locked="0"/>
    </xf>
    <xf numFmtId="165" fontId="50" fillId="4" borderId="33"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horizontal="right" vertical="center"/>
      <protection locked="0"/>
    </xf>
    <xf numFmtId="0" fontId="33" fillId="4" borderId="3" xfId="0" applyFont="1" applyFill="1" applyBorder="1" applyAlignment="1" applyProtection="1">
      <alignment horizontal="right" vertical="center"/>
      <protection locked="0"/>
    </xf>
    <xf numFmtId="0" fontId="33" fillId="4" borderId="18" xfId="0" applyFont="1" applyFill="1" applyBorder="1" applyAlignment="1" applyProtection="1">
      <alignment horizontal="right" vertical="center"/>
      <protection locked="0"/>
    </xf>
    <xf numFmtId="0" fontId="33" fillId="4" borderId="18" xfId="0" applyFont="1" applyFill="1" applyBorder="1" applyAlignment="1" applyProtection="1">
      <alignment horizontal="right"/>
      <protection locked="0"/>
    </xf>
    <xf numFmtId="0" fontId="42" fillId="4" borderId="18" xfId="0" applyFont="1" applyFill="1" applyBorder="1" applyAlignment="1" applyProtection="1">
      <alignment horizontal="right"/>
      <protection locked="0"/>
    </xf>
    <xf numFmtId="0" fontId="33" fillId="4" borderId="20" xfId="0" applyFont="1" applyFill="1" applyBorder="1" applyAlignment="1" applyProtection="1">
      <alignment horizontal="right"/>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4" borderId="25" xfId="0" applyFont="1" applyFill="1" applyBorder="1" applyAlignment="1" applyProtection="1">
      <alignment horizontal="right"/>
      <protection locked="0"/>
    </xf>
    <xf numFmtId="0" fontId="33" fillId="0" borderId="26" xfId="0" applyFont="1" applyBorder="1" applyAlignment="1" applyProtection="1">
      <alignment horizontal="right" vertical="center"/>
      <protection locked="0"/>
    </xf>
    <xf numFmtId="0" fontId="33" fillId="0" borderId="17" xfId="0" applyFont="1" applyBorder="1" applyAlignment="1" applyProtection="1">
      <alignment horizontal="right"/>
      <protection locked="0"/>
    </xf>
    <xf numFmtId="0" fontId="33" fillId="0" borderId="18" xfId="0" applyFont="1" applyBorder="1" applyAlignment="1" applyProtection="1">
      <alignment horizontal="right" vertical="center"/>
      <protection locked="0"/>
    </xf>
    <xf numFmtId="0" fontId="33" fillId="0" borderId="18" xfId="0" applyFont="1" applyBorder="1" applyAlignment="1" applyProtection="1">
      <alignment horizontal="right"/>
      <protection locked="0"/>
    </xf>
    <xf numFmtId="0" fontId="33" fillId="0" borderId="19" xfId="0" applyFont="1" applyBorder="1" applyAlignment="1" applyProtection="1">
      <alignment horizontal="right"/>
      <protection locked="0"/>
    </xf>
    <xf numFmtId="0" fontId="33" fillId="0" borderId="20" xfId="0" applyFont="1" applyBorder="1" applyAlignment="1" applyProtection="1">
      <alignment horizontal="right"/>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2"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7" fillId="37" borderId="1" xfId="0" applyNumberFormat="1" applyFont="1" applyFill="1" applyBorder="1" applyAlignment="1">
      <alignment horizontal="center"/>
    </xf>
    <xf numFmtId="0" fontId="62" fillId="37" borderId="0" xfId="0" applyFont="1" applyFill="1" applyAlignment="1">
      <alignment horizontal="center" vertical="center"/>
    </xf>
    <xf numFmtId="0" fontId="14" fillId="37" borderId="0" xfId="0" applyFont="1" applyFill="1"/>
    <xf numFmtId="0" fontId="15" fillId="37" borderId="0" xfId="0" applyFont="1" applyFill="1"/>
    <xf numFmtId="0" fontId="33" fillId="0" borderId="0" xfId="0" applyFont="1"/>
    <xf numFmtId="166" fontId="50" fillId="0" borderId="0" xfId="0" applyNumberFormat="1" applyFont="1"/>
    <xf numFmtId="167" fontId="33" fillId="0" borderId="0" xfId="0" applyNumberFormat="1" applyFont="1"/>
    <xf numFmtId="166" fontId="33" fillId="0" borderId="0" xfId="0" applyNumberFormat="1" applyFont="1"/>
    <xf numFmtId="0" fontId="83" fillId="0" borderId="0" xfId="0" applyFont="1"/>
    <xf numFmtId="11" fontId="33" fillId="0" borderId="0" xfId="0" applyNumberFormat="1" applyFont="1"/>
    <xf numFmtId="0" fontId="50" fillId="0" borderId="0" xfId="0" applyFont="1"/>
    <xf numFmtId="0" fontId="33" fillId="37" borderId="0" xfId="0" applyFont="1" applyFill="1" applyAlignment="1">
      <alignment vertical="center"/>
    </xf>
    <xf numFmtId="0" fontId="62" fillId="37" borderId="24" xfId="0" applyFont="1" applyFill="1" applyBorder="1" applyAlignment="1">
      <alignment horizontal="center" vertical="center" wrapText="1"/>
    </xf>
    <xf numFmtId="11" fontId="62" fillId="37" borderId="24" xfId="0" applyNumberFormat="1" applyFont="1" applyFill="1" applyBorder="1" applyAlignment="1">
      <alignment horizontal="center" vertical="center"/>
    </xf>
    <xf numFmtId="11" fontId="62" fillId="37" borderId="0" xfId="0" applyNumberFormat="1" applyFont="1" applyFill="1" applyAlignment="1">
      <alignment vertical="center"/>
    </xf>
    <xf numFmtId="0" fontId="62" fillId="37" borderId="1" xfId="0" applyFont="1" applyFill="1" applyBorder="1" applyAlignment="1">
      <alignment horizontal="center" vertical="center" wrapText="1"/>
    </xf>
    <xf numFmtId="11" fontId="62" fillId="37" borderId="1" xfId="0" applyNumberFormat="1" applyFont="1" applyFill="1" applyBorder="1" applyAlignment="1">
      <alignment horizontal="center" vertical="center"/>
    </xf>
    <xf numFmtId="11" fontId="62" fillId="37" borderId="0" xfId="0" applyNumberFormat="1" applyFont="1" applyFill="1" applyAlignment="1">
      <alignment horizontal="center" vertical="center"/>
    </xf>
    <xf numFmtId="11" fontId="62" fillId="37" borderId="0" xfId="0" applyNumberFormat="1" applyFont="1" applyFill="1"/>
    <xf numFmtId="0" fontId="62" fillId="37" borderId="1" xfId="0" applyFont="1" applyFill="1" applyBorder="1" applyAlignment="1">
      <alignment horizontal="center"/>
    </xf>
    <xf numFmtId="11" fontId="62" fillId="37" borderId="1" xfId="0" applyNumberFormat="1" applyFont="1" applyFill="1" applyBorder="1" applyAlignment="1">
      <alignment horizontal="center"/>
    </xf>
    <xf numFmtId="0" fontId="34" fillId="37" borderId="0" xfId="0" applyFont="1" applyFill="1"/>
    <xf numFmtId="0" fontId="38" fillId="37" borderId="0" xfId="0" applyFont="1" applyFill="1" applyAlignment="1">
      <alignment vertical="center"/>
    </xf>
    <xf numFmtId="0" fontId="37" fillId="37" borderId="0" xfId="0" applyFont="1" applyFill="1" applyAlignment="1">
      <alignment vertical="center"/>
    </xf>
    <xf numFmtId="0" fontId="40" fillId="5" borderId="68"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2" fillId="37" borderId="14" xfId="0" applyFont="1" applyFill="1" applyBorder="1" applyAlignment="1">
      <alignment horizontal="center" vertical="center"/>
    </xf>
    <xf numFmtId="0" fontId="35" fillId="37" borderId="0" xfId="0" applyFont="1" applyFill="1" applyAlignment="1">
      <alignment horizontal="left" vertical="center"/>
    </xf>
    <xf numFmtId="0" fontId="62" fillId="37" borderId="0" xfId="0" applyFont="1" applyFill="1" applyAlignment="1">
      <alignment horizontal="center"/>
    </xf>
    <xf numFmtId="0" fontId="35" fillId="37" borderId="4" xfId="0" applyFont="1" applyFill="1" applyBorder="1" applyAlignment="1">
      <alignment horizontal="left" vertical="center"/>
    </xf>
    <xf numFmtId="0" fontId="62" fillId="37" borderId="4" xfId="0" applyFont="1" applyFill="1" applyBorder="1" applyAlignment="1">
      <alignment horizontal="center" vertical="center"/>
    </xf>
    <xf numFmtId="0" fontId="62" fillId="37" borderId="7" xfId="0" applyFont="1" applyFill="1" applyBorder="1" applyAlignment="1">
      <alignment horizontal="left" vertical="center" wrapText="1"/>
    </xf>
    <xf numFmtId="0" fontId="62" fillId="37" borderId="12" xfId="0" applyFont="1" applyFill="1" applyBorder="1" applyAlignment="1">
      <alignment horizontal="left" vertical="center" wrapText="1"/>
    </xf>
    <xf numFmtId="0" fontId="67" fillId="38" borderId="6" xfId="0" applyFont="1" applyFill="1" applyBorder="1" applyAlignment="1">
      <alignment horizontal="center" vertical="center"/>
    </xf>
    <xf numFmtId="167" fontId="50" fillId="5" borderId="32" xfId="0" applyNumberFormat="1" applyFont="1" applyFill="1" applyBorder="1" applyAlignment="1" applyProtection="1">
      <alignment horizontal="center" vertical="center"/>
      <protection locked="0"/>
    </xf>
    <xf numFmtId="168" fontId="33" fillId="40" borderId="69" xfId="0" applyNumberFormat="1" applyFont="1" applyFill="1" applyBorder="1" applyAlignment="1" applyProtection="1">
      <alignment horizontal="center" vertical="center"/>
      <protection locked="0"/>
    </xf>
    <xf numFmtId="168" fontId="50" fillId="5" borderId="69" xfId="0" applyNumberFormat="1" applyFont="1" applyFill="1" applyBorder="1" applyAlignment="1" applyProtection="1">
      <alignment horizontal="center" vertical="center"/>
      <protection locked="0"/>
    </xf>
    <xf numFmtId="168" fontId="50" fillId="40" borderId="69" xfId="0" applyNumberFormat="1" applyFont="1" applyFill="1" applyBorder="1" applyAlignment="1" applyProtection="1">
      <alignment horizontal="center" vertical="center"/>
      <protection locked="0"/>
    </xf>
    <xf numFmtId="164" fontId="50" fillId="40" borderId="69" xfId="0" applyNumberFormat="1" applyFont="1" applyFill="1" applyBorder="1" applyAlignment="1" applyProtection="1">
      <alignment horizontal="center" vertical="center"/>
      <protection locked="0"/>
    </xf>
    <xf numFmtId="164" fontId="50" fillId="5" borderId="69" xfId="0" applyNumberFormat="1" applyFont="1" applyFill="1" applyBorder="1" applyAlignment="1" applyProtection="1">
      <alignment horizontal="center" vertical="center"/>
      <protection locked="0"/>
    </xf>
    <xf numFmtId="164" fontId="33" fillId="40" borderId="69" xfId="0" applyNumberFormat="1" applyFont="1" applyFill="1" applyBorder="1" applyAlignment="1" applyProtection="1">
      <alignment horizontal="center" vertical="center"/>
      <protection locked="0"/>
    </xf>
    <xf numFmtId="166" fontId="50" fillId="40" borderId="69" xfId="0" applyNumberFormat="1" applyFont="1" applyFill="1" applyBorder="1" applyAlignment="1" applyProtection="1">
      <alignment horizontal="center" vertical="center"/>
      <protection locked="0"/>
    </xf>
    <xf numFmtId="166" fontId="50" fillId="5" borderId="69" xfId="0" applyNumberFormat="1" applyFont="1" applyFill="1" applyBorder="1" applyAlignment="1" applyProtection="1">
      <alignment horizontal="center" vertical="center"/>
      <protection locked="0"/>
    </xf>
    <xf numFmtId="166" fontId="33" fillId="40" borderId="69" xfId="0" applyNumberFormat="1" applyFont="1" applyFill="1" applyBorder="1" applyAlignment="1" applyProtection="1">
      <alignment horizontal="center" vertical="center"/>
      <protection locked="0"/>
    </xf>
    <xf numFmtId="166" fontId="33" fillId="4" borderId="69" xfId="0" applyNumberFormat="1" applyFont="1" applyFill="1" applyBorder="1" applyAlignment="1" applyProtection="1">
      <alignment horizontal="center" vertical="center"/>
      <protection locked="0"/>
    </xf>
    <xf numFmtId="164" fontId="50" fillId="4" borderId="69" xfId="0" applyNumberFormat="1" applyFont="1" applyFill="1" applyBorder="1" applyAlignment="1" applyProtection="1">
      <alignment horizontal="center" vertical="center"/>
      <protection locked="0"/>
    </xf>
    <xf numFmtId="166" fontId="50" fillId="4" borderId="69" xfId="0" applyNumberFormat="1" applyFont="1" applyFill="1" applyBorder="1" applyAlignment="1" applyProtection="1">
      <alignment horizontal="center" vertical="center"/>
      <protection locked="0"/>
    </xf>
    <xf numFmtId="169" fontId="50" fillId="5" borderId="69" xfId="0" applyNumberFormat="1" applyFont="1" applyFill="1" applyBorder="1" applyAlignment="1" applyProtection="1">
      <alignment horizontal="center" vertical="center"/>
      <protection locked="0"/>
    </xf>
    <xf numFmtId="165" fontId="50" fillId="40" borderId="69" xfId="0" applyNumberFormat="1" applyFont="1" applyFill="1" applyBorder="1" applyAlignment="1" applyProtection="1">
      <alignment horizontal="center" vertical="center"/>
      <protection locked="0"/>
    </xf>
    <xf numFmtId="165" fontId="50" fillId="5" borderId="69" xfId="0" applyNumberFormat="1" applyFont="1" applyFill="1" applyBorder="1" applyAlignment="1" applyProtection="1">
      <alignment horizontal="center" vertical="center"/>
      <protection locked="0"/>
    </xf>
    <xf numFmtId="165" fontId="33" fillId="40" borderId="69" xfId="0" applyNumberFormat="1" applyFont="1" applyFill="1" applyBorder="1" applyAlignment="1" applyProtection="1">
      <alignment horizontal="center" vertical="center"/>
      <protection locked="0"/>
    </xf>
    <xf numFmtId="11" fontId="50" fillId="40" borderId="69" xfId="0" applyNumberFormat="1" applyFont="1" applyFill="1" applyBorder="1" applyAlignment="1" applyProtection="1">
      <alignment horizontal="center" vertical="center"/>
      <protection locked="0"/>
    </xf>
    <xf numFmtId="11" fontId="50" fillId="5" borderId="69" xfId="0" applyNumberFormat="1" applyFont="1" applyFill="1" applyBorder="1" applyAlignment="1" applyProtection="1">
      <alignment horizontal="center" vertical="center"/>
      <protection locked="0"/>
    </xf>
    <xf numFmtId="11" fontId="33" fillId="40" borderId="69" xfId="0" applyNumberFormat="1" applyFont="1" applyFill="1" applyBorder="1" applyAlignment="1" applyProtection="1">
      <alignment horizontal="center" vertical="center"/>
      <protection locked="0"/>
    </xf>
    <xf numFmtId="11" fontId="50" fillId="4" borderId="69" xfId="0" applyNumberFormat="1" applyFont="1" applyFill="1" applyBorder="1" applyAlignment="1" applyProtection="1">
      <alignment horizontal="center" vertical="center"/>
      <protection locked="0"/>
    </xf>
    <xf numFmtId="168" fontId="50" fillId="4" borderId="69" xfId="0" applyNumberFormat="1" applyFont="1" applyFill="1" applyBorder="1" applyAlignment="1" applyProtection="1">
      <alignment horizontal="center" vertical="center"/>
      <protection locked="0"/>
    </xf>
    <xf numFmtId="169" fontId="50" fillId="40" borderId="69" xfId="0" applyNumberFormat="1" applyFont="1" applyFill="1" applyBorder="1" applyAlignment="1" applyProtection="1">
      <alignment horizontal="center" vertical="center"/>
      <protection locked="0"/>
    </xf>
    <xf numFmtId="169" fontId="33" fillId="40" borderId="69" xfId="0" applyNumberFormat="1" applyFont="1" applyFill="1" applyBorder="1" applyAlignment="1" applyProtection="1">
      <alignment horizontal="center" vertical="center"/>
      <protection locked="0"/>
    </xf>
    <xf numFmtId="169" fontId="50" fillId="40" borderId="70" xfId="0" applyNumberFormat="1" applyFont="1" applyFill="1" applyBorder="1" applyAlignment="1" applyProtection="1">
      <alignment horizontal="center" vertical="center"/>
      <protection locked="0"/>
    </xf>
    <xf numFmtId="165" fontId="50" fillId="40" borderId="70" xfId="0" applyNumberFormat="1" applyFont="1" applyFill="1" applyBorder="1" applyAlignment="1" applyProtection="1">
      <alignment horizontal="center" vertical="center"/>
      <protection locked="0"/>
    </xf>
    <xf numFmtId="165" fontId="50" fillId="5" borderId="70" xfId="0" applyNumberFormat="1" applyFont="1" applyFill="1" applyBorder="1" applyAlignment="1" applyProtection="1">
      <alignment horizontal="center" vertical="center"/>
      <protection locked="0"/>
    </xf>
    <xf numFmtId="165" fontId="33" fillId="40" borderId="70" xfId="0" applyNumberFormat="1" applyFont="1" applyFill="1" applyBorder="1" applyAlignment="1" applyProtection="1">
      <alignment horizontal="center" vertical="center"/>
      <protection locked="0"/>
    </xf>
    <xf numFmtId="169" fontId="33" fillId="40" borderId="70" xfId="0" applyNumberFormat="1" applyFont="1" applyFill="1" applyBorder="1" applyAlignment="1" applyProtection="1">
      <alignment horizontal="center" vertical="center"/>
      <protection locked="0"/>
    </xf>
    <xf numFmtId="169" fontId="50" fillId="40" borderId="71" xfId="0" applyNumberFormat="1" applyFont="1" applyFill="1" applyBorder="1" applyAlignment="1" applyProtection="1">
      <alignment horizontal="center" vertical="center"/>
      <protection locked="0"/>
    </xf>
    <xf numFmtId="11" fontId="50" fillId="40" borderId="71" xfId="0" applyNumberFormat="1" applyFont="1" applyFill="1" applyBorder="1" applyAlignment="1" applyProtection="1">
      <alignment horizontal="center" vertical="center"/>
      <protection locked="0"/>
    </xf>
    <xf numFmtId="11" fontId="50" fillId="5" borderId="71" xfId="0" applyNumberFormat="1" applyFont="1" applyFill="1" applyBorder="1" applyAlignment="1" applyProtection="1">
      <alignment horizontal="center" vertical="center"/>
      <protection locked="0"/>
    </xf>
    <xf numFmtId="11" fontId="33" fillId="40" borderId="71" xfId="0" applyNumberFormat="1" applyFont="1" applyFill="1" applyBorder="1" applyAlignment="1" applyProtection="1">
      <alignment horizontal="center" vertical="center"/>
      <protection locked="0"/>
    </xf>
    <xf numFmtId="169" fontId="33" fillId="40" borderId="71"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85" fillId="37" borderId="0" xfId="0" applyFont="1" applyFill="1" applyAlignment="1">
      <alignment vertical="center"/>
    </xf>
    <xf numFmtId="166" fontId="62" fillId="37" borderId="0" xfId="0" applyNumberFormat="1" applyFont="1" applyFill="1" applyAlignment="1">
      <alignment horizontal="center" vertical="center"/>
    </xf>
    <xf numFmtId="0" fontId="5" fillId="37" borderId="0" xfId="0" applyFont="1" applyFill="1" applyAlignment="1">
      <alignment vertical="center" wrapText="1"/>
    </xf>
    <xf numFmtId="2" fontId="62" fillId="37" borderId="0" xfId="0" applyNumberFormat="1" applyFont="1" applyFill="1" applyAlignment="1">
      <alignment horizontal="center" vertical="center"/>
    </xf>
    <xf numFmtId="0" fontId="62" fillId="37" borderId="0" xfId="0" applyFont="1" applyFill="1"/>
    <xf numFmtId="0" fontId="67" fillId="37" borderId="0" xfId="0" applyFont="1" applyFill="1" applyAlignment="1">
      <alignment horizontal="center" vertical="center"/>
    </xf>
    <xf numFmtId="0" fontId="62" fillId="37" borderId="0" xfId="0" applyFont="1" applyFill="1" applyAlignment="1">
      <alignment horizontal="left" vertical="center"/>
    </xf>
    <xf numFmtId="0" fontId="62" fillId="37" borderId="9" xfId="0" applyFont="1" applyFill="1" applyBorder="1" applyAlignment="1">
      <alignment horizontal="left" vertical="center"/>
    </xf>
    <xf numFmtId="0" fontId="91" fillId="41" borderId="0" xfId="0" applyFont="1" applyFill="1" applyAlignment="1">
      <alignment horizontal="left"/>
    </xf>
    <xf numFmtId="0" fontId="36" fillId="39" borderId="0" xfId="0" applyFont="1" applyFill="1" applyAlignment="1">
      <alignment vertical="center"/>
    </xf>
    <xf numFmtId="2" fontId="50" fillId="4" borderId="32" xfId="0" applyNumberFormat="1" applyFont="1" applyFill="1" applyBorder="1" applyAlignment="1" applyProtection="1">
      <alignment horizontal="center" vertical="center"/>
      <protection locked="0"/>
    </xf>
    <xf numFmtId="171" fontId="50" fillId="4" borderId="53" xfId="0" applyNumberFormat="1" applyFont="1" applyFill="1" applyBorder="1" applyAlignment="1" applyProtection="1">
      <alignment horizontal="center" vertical="center"/>
      <protection locked="0"/>
    </xf>
    <xf numFmtId="0" fontId="91" fillId="41" borderId="9" xfId="0" applyFont="1" applyFill="1" applyBorder="1" applyAlignment="1">
      <alignment horizontal="left" vertical="center"/>
    </xf>
    <xf numFmtId="0" fontId="93" fillId="41" borderId="4" xfId="0" applyFont="1" applyFill="1" applyBorder="1" applyAlignment="1">
      <alignment horizontal="left" vertical="center"/>
    </xf>
    <xf numFmtId="0" fontId="91" fillId="41" borderId="4" xfId="0" applyFont="1" applyFill="1" applyBorder="1" applyAlignment="1">
      <alignment horizontal="center" vertical="center"/>
    </xf>
    <xf numFmtId="0" fontId="62"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171" fontId="62" fillId="37" borderId="13" xfId="0" applyNumberFormat="1" applyFont="1" applyFill="1" applyBorder="1" applyAlignment="1">
      <alignment horizontal="center" vertical="center"/>
    </xf>
    <xf numFmtId="171" fontId="62" fillId="37" borderId="8" xfId="0" applyNumberFormat="1" applyFont="1" applyFill="1" applyBorder="1" applyAlignment="1">
      <alignment horizontal="center" vertical="center"/>
    </xf>
    <xf numFmtId="0" fontId="15" fillId="37" borderId="4" xfId="0" applyFont="1" applyFill="1" applyBorder="1"/>
    <xf numFmtId="0" fontId="62"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66" fontId="67" fillId="37" borderId="1" xfId="0" applyNumberFormat="1" applyFont="1" applyFill="1" applyBorder="1" applyAlignment="1">
      <alignment horizontal="center"/>
    </xf>
    <xf numFmtId="0" fontId="36" fillId="37" borderId="0" xfId="0" applyFont="1" applyFill="1" applyAlignment="1">
      <alignment vertical="center"/>
    </xf>
    <xf numFmtId="0" fontId="37" fillId="37" borderId="27" xfId="0" applyFont="1" applyFill="1" applyBorder="1" applyAlignment="1">
      <alignment horizontal="center" vertical="center" wrapText="1"/>
    </xf>
    <xf numFmtId="0" fontId="37" fillId="37" borderId="37" xfId="0" applyFont="1" applyFill="1" applyBorder="1" applyAlignment="1">
      <alignment horizontal="center" vertical="center" wrapText="1"/>
    </xf>
    <xf numFmtId="0" fontId="37" fillId="37" borderId="38" xfId="0" applyFont="1" applyFill="1" applyBorder="1" applyAlignment="1">
      <alignment horizontal="center" vertical="center" wrapText="1"/>
    </xf>
    <xf numFmtId="170" fontId="50" fillId="40" borderId="71" xfId="0" applyNumberFormat="1" applyFont="1" applyFill="1" applyBorder="1" applyAlignment="1" applyProtection="1">
      <alignment horizontal="center" vertical="center"/>
      <protection locked="0"/>
    </xf>
    <xf numFmtId="170" fontId="50" fillId="4" borderId="71" xfId="0" applyNumberFormat="1" applyFont="1" applyFill="1" applyBorder="1" applyAlignment="1" applyProtection="1">
      <alignment horizontal="center" vertical="center"/>
      <protection locked="0"/>
    </xf>
    <xf numFmtId="170" fontId="33" fillId="40" borderId="71" xfId="0" applyNumberFormat="1" applyFont="1" applyFill="1" applyBorder="1" applyAlignment="1" applyProtection="1">
      <alignment horizontal="center" vertical="center"/>
      <protection locked="0"/>
    </xf>
    <xf numFmtId="165" fontId="62" fillId="37" borderId="0" xfId="0" applyNumberFormat="1" applyFont="1" applyFill="1" applyAlignment="1">
      <alignment horizontal="center" vertical="center"/>
    </xf>
    <xf numFmtId="165" fontId="62"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37" fillId="37" borderId="0" xfId="0" applyFont="1" applyFill="1" applyAlignment="1">
      <alignment vertical="top" wrapText="1"/>
    </xf>
    <xf numFmtId="0" fontId="49" fillId="37" borderId="0" xfId="0" applyFont="1" applyFill="1" applyAlignment="1">
      <alignment horizontal="left" vertical="center" wrapText="1"/>
    </xf>
    <xf numFmtId="0" fontId="95" fillId="37" borderId="0" xfId="0" applyFont="1" applyFill="1" applyAlignment="1">
      <alignment vertical="center" wrapText="1"/>
    </xf>
    <xf numFmtId="0" fontId="35" fillId="39" borderId="7" xfId="0" applyFont="1" applyFill="1" applyBorder="1" applyAlignment="1">
      <alignment vertical="center"/>
    </xf>
    <xf numFmtId="0" fontId="0" fillId="0" borderId="0" xfId="0" applyAlignment="1">
      <alignment vertical="center"/>
    </xf>
    <xf numFmtId="172" fontId="50" fillId="40" borderId="69" xfId="0" applyNumberFormat="1" applyFont="1" applyFill="1" applyBorder="1" applyAlignment="1" applyProtection="1">
      <alignment horizontal="center" vertical="center"/>
      <protection locked="0"/>
    </xf>
    <xf numFmtId="172" fontId="50" fillId="5" borderId="69" xfId="0" applyNumberFormat="1" applyFont="1" applyFill="1" applyBorder="1" applyAlignment="1" applyProtection="1">
      <alignment horizontal="center" vertical="center"/>
      <protection locked="0"/>
    </xf>
    <xf numFmtId="172" fontId="33" fillId="40" borderId="69" xfId="0" applyNumberFormat="1" applyFont="1" applyFill="1" applyBorder="1" applyAlignment="1" applyProtection="1">
      <alignment horizontal="center" vertical="center"/>
      <protection locked="0"/>
    </xf>
    <xf numFmtId="168" fontId="50" fillId="5" borderId="1" xfId="0" applyNumberFormat="1" applyFont="1" applyFill="1" applyBorder="1" applyAlignment="1" applyProtection="1">
      <alignment horizontal="center" vertical="center"/>
      <protection locked="0"/>
    </xf>
    <xf numFmtId="168" fontId="33" fillId="5" borderId="1" xfId="0" applyNumberFormat="1" applyFont="1" applyFill="1" applyBorder="1" applyAlignment="1" applyProtection="1">
      <alignment horizontal="center" vertical="center"/>
      <protection locked="0"/>
    </xf>
    <xf numFmtId="168" fontId="33" fillId="4" borderId="1" xfId="0" applyNumberFormat="1" applyFont="1" applyFill="1" applyBorder="1" applyAlignment="1" applyProtection="1">
      <alignment horizontal="center" vertical="center"/>
      <protection locked="0"/>
    </xf>
    <xf numFmtId="168" fontId="50" fillId="40" borderId="70" xfId="0" applyNumberFormat="1" applyFont="1" applyFill="1" applyBorder="1" applyAlignment="1" applyProtection="1">
      <alignment horizontal="center" vertical="center"/>
      <protection locked="0"/>
    </xf>
    <xf numFmtId="168" fontId="50" fillId="5" borderId="70" xfId="0" applyNumberFormat="1" applyFont="1" applyFill="1" applyBorder="1" applyAlignment="1" applyProtection="1">
      <alignment horizontal="center" vertical="center"/>
      <protection locked="0"/>
    </xf>
    <xf numFmtId="168" fontId="33" fillId="40" borderId="70" xfId="0" applyNumberFormat="1" applyFont="1" applyFill="1" applyBorder="1" applyAlignment="1" applyProtection="1">
      <alignment horizontal="center" vertical="center"/>
      <protection locked="0"/>
    </xf>
    <xf numFmtId="0" fontId="85" fillId="37" borderId="0" xfId="0" applyFont="1" applyFill="1" applyAlignment="1">
      <alignment horizontal="left" vertical="center" indent="1"/>
    </xf>
    <xf numFmtId="0" fontId="102" fillId="38" borderId="11" xfId="0" applyFont="1" applyFill="1" applyBorder="1" applyAlignment="1">
      <alignment horizontal="center" vertical="center"/>
    </xf>
    <xf numFmtId="0" fontId="102" fillId="38" borderId="6" xfId="0" applyFont="1" applyFill="1" applyBorder="1" applyAlignment="1">
      <alignment horizontal="center" vertical="center"/>
    </xf>
    <xf numFmtId="0" fontId="32" fillId="37" borderId="0" xfId="0" applyFont="1" applyFill="1" applyAlignment="1">
      <alignment horizontal="left" vertical="center" indent="1"/>
    </xf>
    <xf numFmtId="0" fontId="67" fillId="37" borderId="1" xfId="0" applyFont="1" applyFill="1" applyBorder="1" applyAlignment="1">
      <alignment horizontal="center" vertical="center" wrapText="1"/>
    </xf>
    <xf numFmtId="11" fontId="67" fillId="37" borderId="1" xfId="0" applyNumberFormat="1" applyFont="1" applyFill="1" applyBorder="1" applyAlignment="1">
      <alignment horizontal="center" vertical="center"/>
    </xf>
    <xf numFmtId="169" fontId="50" fillId="5" borderId="73" xfId="0" applyNumberFormat="1" applyFont="1" applyFill="1" applyBorder="1" applyAlignment="1" applyProtection="1">
      <alignment horizontal="center" vertical="center"/>
      <protection locked="0"/>
    </xf>
    <xf numFmtId="0" fontId="32" fillId="37" borderId="14" xfId="0" applyFont="1" applyFill="1" applyBorder="1" applyAlignment="1">
      <alignment vertical="center"/>
    </xf>
    <xf numFmtId="0" fontId="32" fillId="37" borderId="7" xfId="0" applyFont="1" applyFill="1" applyBorder="1" applyAlignment="1">
      <alignment vertical="center"/>
    </xf>
    <xf numFmtId="0" fontId="39" fillId="37" borderId="0" xfId="0" applyFont="1" applyFill="1" applyAlignment="1">
      <alignment vertical="center" wrapText="1"/>
    </xf>
    <xf numFmtId="0" fontId="40" fillId="37" borderId="0" xfId="0" applyFont="1" applyFill="1" applyAlignment="1">
      <alignment vertical="top" wrapText="1"/>
    </xf>
    <xf numFmtId="0" fontId="40" fillId="37" borderId="0" xfId="0" applyFont="1" applyFill="1" applyAlignment="1">
      <alignment vertical="center" wrapText="1"/>
    </xf>
    <xf numFmtId="0" fontId="40" fillId="37" borderId="0" xfId="0" applyFont="1" applyFill="1" applyAlignment="1">
      <alignment horizontal="center" vertical="center" wrapText="1"/>
    </xf>
    <xf numFmtId="0" fontId="41"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4" fillId="38" borderId="14" xfId="0" applyFont="1" applyFill="1" applyBorder="1" applyAlignment="1">
      <alignment vertical="center"/>
    </xf>
    <xf numFmtId="0" fontId="44"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6" fillId="38" borderId="4" xfId="0" applyFont="1" applyFill="1" applyBorder="1" applyAlignment="1">
      <alignment horizontal="center" vertical="center" wrapText="1"/>
    </xf>
    <xf numFmtId="0" fontId="47" fillId="38" borderId="10" xfId="0" applyFont="1" applyFill="1" applyBorder="1" applyAlignment="1">
      <alignment horizontal="center" vertical="center" wrapText="1"/>
    </xf>
    <xf numFmtId="0" fontId="50" fillId="37" borderId="7" xfId="0" applyFont="1" applyFill="1" applyBorder="1" applyAlignment="1">
      <alignment horizontal="left" vertical="center" wrapText="1"/>
    </xf>
    <xf numFmtId="0" fontId="56" fillId="37" borderId="0" xfId="0" applyFont="1" applyFill="1" applyAlignment="1">
      <alignment horizontal="left" vertical="center"/>
    </xf>
    <xf numFmtId="0" fontId="50" fillId="37" borderId="0" xfId="0" applyFont="1" applyFill="1" applyAlignment="1">
      <alignment horizontal="center" vertical="center"/>
    </xf>
    <xf numFmtId="0" fontId="50" fillId="37" borderId="56"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40"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40" fillId="37" borderId="0" xfId="0" applyFont="1" applyFill="1" applyAlignment="1">
      <alignment horizontal="center" vertical="center"/>
    </xf>
    <xf numFmtId="0" fontId="82" fillId="37" borderId="0" xfId="0" applyFont="1" applyFill="1" applyAlignment="1">
      <alignment horizontal="center" vertical="center"/>
    </xf>
    <xf numFmtId="0" fontId="48" fillId="37" borderId="0" xfId="0" applyFont="1" applyFill="1" applyAlignment="1">
      <alignment horizontal="center" vertical="center"/>
    </xf>
    <xf numFmtId="164" fontId="33" fillId="37" borderId="8" xfId="0" applyNumberFormat="1" applyFont="1" applyFill="1" applyBorder="1" applyAlignment="1">
      <alignment horizontal="center" vertical="center"/>
    </xf>
    <xf numFmtId="0" fontId="33" fillId="37" borderId="7" xfId="0" applyFont="1" applyFill="1" applyBorder="1"/>
    <xf numFmtId="164" fontId="33" fillId="37" borderId="0" xfId="0" applyNumberFormat="1" applyFont="1" applyFill="1" applyAlignment="1">
      <alignment horizontal="center" vertical="center"/>
    </xf>
    <xf numFmtId="0" fontId="40" fillId="37" borderId="24" xfId="0" applyFont="1" applyFill="1" applyBorder="1" applyAlignment="1">
      <alignment horizontal="center" vertical="center"/>
    </xf>
    <xf numFmtId="11" fontId="40" fillId="37" borderId="52" xfId="0" applyNumberFormat="1" applyFont="1" applyFill="1" applyBorder="1" applyAlignment="1">
      <alignment horizontal="center" vertical="center"/>
    </xf>
    <xf numFmtId="0" fontId="43" fillId="37" borderId="0" xfId="0" applyFont="1" applyFill="1" applyAlignment="1">
      <alignment vertical="center"/>
    </xf>
    <xf numFmtId="0" fontId="74" fillId="37" borderId="56" xfId="0" applyFont="1" applyFill="1" applyBorder="1" applyAlignment="1">
      <alignment vertical="center" wrapText="1"/>
    </xf>
    <xf numFmtId="0" fontId="50" fillId="37" borderId="7" xfId="0" applyFont="1" applyFill="1" applyBorder="1" applyAlignment="1">
      <alignment horizontal="left" vertical="center"/>
    </xf>
    <xf numFmtId="0" fontId="43" fillId="37" borderId="0" xfId="0" applyFont="1" applyFill="1" applyAlignment="1">
      <alignment horizontal="center" vertical="center"/>
    </xf>
    <xf numFmtId="11" fontId="33" fillId="37" borderId="0" xfId="0" applyNumberFormat="1" applyFont="1" applyFill="1"/>
    <xf numFmtId="0" fontId="42" fillId="37" borderId="0" xfId="0" applyFont="1" applyFill="1"/>
    <xf numFmtId="0" fontId="56" fillId="37" borderId="0" xfId="0" applyFont="1" applyFill="1" applyAlignment="1">
      <alignment horizontal="left" vertical="center" wrapText="1"/>
    </xf>
    <xf numFmtId="0" fontId="33" fillId="37" borderId="8" xfId="0" applyFont="1" applyFill="1" applyBorder="1" applyAlignment="1">
      <alignment horizontal="center"/>
    </xf>
    <xf numFmtId="0" fontId="50" fillId="37" borderId="9" xfId="0" applyFont="1" applyFill="1" applyBorder="1" applyAlignment="1">
      <alignment horizontal="left" vertical="center" wrapText="1"/>
    </xf>
    <xf numFmtId="0" fontId="56" fillId="37" borderId="4" xfId="0" applyFont="1" applyFill="1" applyBorder="1" applyAlignment="1">
      <alignment horizontal="left" vertical="center"/>
    </xf>
    <xf numFmtId="0" fontId="50" fillId="37" borderId="4" xfId="0" applyFont="1" applyFill="1" applyBorder="1" applyAlignment="1">
      <alignment horizontal="center" vertical="center"/>
    </xf>
    <xf numFmtId="0" fontId="50" fillId="37" borderId="58" xfId="0" applyFont="1" applyFill="1" applyBorder="1"/>
    <xf numFmtId="0" fontId="33" fillId="37" borderId="4" xfId="0" applyFont="1" applyFill="1" applyBorder="1" applyAlignment="1">
      <alignment horizontal="center"/>
    </xf>
    <xf numFmtId="166"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4" fillId="37" borderId="0" xfId="0" applyFont="1" applyFill="1"/>
    <xf numFmtId="0" fontId="43" fillId="37" borderId="39" xfId="0" applyFont="1" applyFill="1" applyBorder="1" applyAlignment="1">
      <alignment vertical="center"/>
    </xf>
    <xf numFmtId="11" fontId="33" fillId="37" borderId="0" xfId="0" applyNumberFormat="1" applyFont="1" applyFill="1" applyAlignment="1">
      <alignment horizontal="center" vertical="center"/>
    </xf>
    <xf numFmtId="0" fontId="90" fillId="37" borderId="7" xfId="0" applyFont="1" applyFill="1" applyBorder="1"/>
    <xf numFmtId="0" fontId="90" fillId="37" borderId="0" xfId="0" applyFont="1" applyFill="1"/>
    <xf numFmtId="0" fontId="60" fillId="37" borderId="0" xfId="0" applyFont="1" applyFill="1" applyAlignment="1">
      <alignment horizontal="left" vertical="center" wrapText="1"/>
    </xf>
    <xf numFmtId="0" fontId="33" fillId="37" borderId="39" xfId="0" applyFont="1" applyFill="1" applyBorder="1" applyAlignment="1">
      <alignment horizontal="center"/>
    </xf>
    <xf numFmtId="0" fontId="90" fillId="37" borderId="7" xfId="0" applyFont="1" applyFill="1" applyBorder="1" applyAlignment="1">
      <alignment horizontal="right"/>
    </xf>
    <xf numFmtId="0" fontId="50" fillId="37" borderId="30" xfId="0" applyFont="1" applyFill="1" applyBorder="1" applyAlignment="1">
      <alignment horizontal="left" vertical="center" wrapText="1"/>
    </xf>
    <xf numFmtId="0" fontId="56" fillId="37" borderId="28" xfId="0" applyFont="1" applyFill="1" applyBorder="1" applyAlignment="1">
      <alignment horizontal="left" vertical="center"/>
    </xf>
    <xf numFmtId="0" fontId="50" fillId="37" borderId="28" xfId="0" applyFont="1" applyFill="1" applyBorder="1" applyAlignment="1">
      <alignment horizontal="center" vertical="center"/>
    </xf>
    <xf numFmtId="0" fontId="50" fillId="37" borderId="31" xfId="0" applyFont="1" applyFill="1" applyBorder="1"/>
    <xf numFmtId="165" fontId="90" fillId="37" borderId="0" xfId="0" applyNumberFormat="1" applyFont="1" applyFill="1"/>
    <xf numFmtId="0" fontId="50" fillId="37" borderId="36" xfId="0" applyFont="1" applyFill="1" applyBorder="1" applyAlignment="1">
      <alignment horizontal="left" vertical="center" wrapText="1"/>
    </xf>
    <xf numFmtId="0" fontId="56" fillId="37" borderId="34" xfId="0" applyFont="1" applyFill="1" applyBorder="1" applyAlignment="1">
      <alignment horizontal="left" vertical="center"/>
    </xf>
    <xf numFmtId="0" fontId="50" fillId="37" borderId="34" xfId="0" applyFont="1" applyFill="1" applyBorder="1" applyAlignment="1">
      <alignment horizontal="center" vertical="center"/>
    </xf>
    <xf numFmtId="0" fontId="50" fillId="37" borderId="34" xfId="0" applyFont="1" applyFill="1" applyBorder="1"/>
    <xf numFmtId="0" fontId="56" fillId="37" borderId="4" xfId="0" applyFont="1" applyFill="1" applyBorder="1" applyAlignment="1">
      <alignment horizontal="left"/>
    </xf>
    <xf numFmtId="0" fontId="50" fillId="37" borderId="4" xfId="0" applyFont="1" applyFill="1" applyBorder="1"/>
    <xf numFmtId="164" fontId="33" fillId="37" borderId="4" xfId="0" applyNumberFormat="1" applyFont="1" applyFill="1" applyBorder="1" applyAlignment="1">
      <alignment horizontal="center" vertical="center"/>
    </xf>
    <xf numFmtId="0" fontId="54" fillId="37" borderId="9" xfId="0" applyFont="1" applyFill="1" applyBorder="1"/>
    <xf numFmtId="0" fontId="54" fillId="37" borderId="4" xfId="0" applyFont="1" applyFill="1" applyBorder="1"/>
    <xf numFmtId="0" fontId="33" fillId="37" borderId="4" xfId="0" applyFont="1" applyFill="1" applyBorder="1"/>
    <xf numFmtId="0" fontId="50" fillId="37" borderId="12" xfId="0" applyFont="1" applyFill="1" applyBorder="1" applyAlignment="1">
      <alignment horizontal="left" vertical="center" wrapText="1"/>
    </xf>
    <xf numFmtId="0" fontId="56" fillId="37" borderId="14" xfId="0" applyFont="1" applyFill="1" applyBorder="1" applyAlignment="1">
      <alignment horizontal="left" vertical="center"/>
    </xf>
    <xf numFmtId="0" fontId="50" fillId="37" borderId="14" xfId="0" applyFont="1" applyFill="1" applyBorder="1" applyAlignment="1">
      <alignment horizontal="center" vertical="center"/>
    </xf>
    <xf numFmtId="0" fontId="50" fillId="37" borderId="57" xfId="0" applyFont="1" applyFill="1" applyBorder="1"/>
    <xf numFmtId="0" fontId="33" fillId="37" borderId="12" xfId="0" applyFont="1" applyFill="1" applyBorder="1" applyAlignment="1">
      <alignment horizontal="center"/>
    </xf>
    <xf numFmtId="0" fontId="42" fillId="37" borderId="14"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3" fillId="37" borderId="0" xfId="0" applyFont="1" applyFill="1" applyAlignment="1">
      <alignment horizontal="left" vertical="center"/>
    </xf>
    <xf numFmtId="0" fontId="33" fillId="37" borderId="56" xfId="0" applyFont="1" applyFill="1" applyBorder="1"/>
    <xf numFmtId="0" fontId="33" fillId="37" borderId="7" xfId="0" applyFont="1" applyFill="1" applyBorder="1" applyAlignment="1">
      <alignment horizontal="center"/>
    </xf>
    <xf numFmtId="0" fontId="33" fillId="37" borderId="8" xfId="0" applyFont="1" applyFill="1" applyBorder="1"/>
    <xf numFmtId="0" fontId="33" fillId="37" borderId="54" xfId="0" applyFont="1" applyFill="1" applyBorder="1" applyAlignment="1">
      <alignment horizontal="center"/>
    </xf>
    <xf numFmtId="2" fontId="33" fillId="37" borderId="4" xfId="0" applyNumberFormat="1" applyFont="1" applyFill="1" applyBorder="1" applyAlignment="1">
      <alignment horizontal="center" vertical="center"/>
    </xf>
    <xf numFmtId="0" fontId="46" fillId="37" borderId="0" xfId="0" applyFont="1" applyFill="1" applyAlignment="1">
      <alignment horizontal="center" wrapText="1"/>
    </xf>
    <xf numFmtId="0" fontId="46"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2" fillId="37" borderId="0" xfId="0" applyFont="1" applyFill="1" applyAlignment="1">
      <alignment vertical="center" wrapText="1"/>
    </xf>
    <xf numFmtId="0" fontId="89" fillId="37" borderId="0" xfId="0" applyFont="1" applyFill="1" applyAlignment="1">
      <alignment vertical="top" wrapText="1"/>
    </xf>
    <xf numFmtId="0" fontId="40"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5" fillId="38" borderId="4" xfId="0" applyFont="1" applyFill="1" applyBorder="1" applyAlignment="1">
      <alignment horizontal="center" vertical="top" wrapText="1"/>
    </xf>
    <xf numFmtId="0" fontId="40" fillId="38" borderId="4" xfId="0" applyFont="1" applyFill="1" applyBorder="1" applyAlignment="1">
      <alignment horizontal="center" vertical="center" wrapText="1"/>
    </xf>
    <xf numFmtId="0" fontId="40" fillId="38" borderId="4" xfId="0" applyFont="1" applyFill="1" applyBorder="1" applyAlignment="1">
      <alignment horizontal="center" vertical="center"/>
    </xf>
    <xf numFmtId="0" fontId="43" fillId="38" borderId="4" xfId="0" applyFont="1" applyFill="1" applyBorder="1"/>
    <xf numFmtId="0" fontId="43" fillId="38" borderId="10" xfId="0" applyFont="1" applyFill="1" applyBorder="1"/>
    <xf numFmtId="0" fontId="33" fillId="37" borderId="72" xfId="0" applyFont="1" applyFill="1" applyBorder="1"/>
    <xf numFmtId="0" fontId="33" fillId="37" borderId="74" xfId="0" applyFont="1" applyFill="1" applyBorder="1"/>
    <xf numFmtId="11" fontId="33" fillId="37" borderId="14" xfId="0" applyNumberFormat="1" applyFont="1" applyFill="1" applyBorder="1"/>
    <xf numFmtId="0" fontId="33" fillId="37" borderId="66" xfId="0" applyFont="1" applyFill="1" applyBorder="1"/>
    <xf numFmtId="0" fontId="33" fillId="37" borderId="63" xfId="0" applyFont="1" applyFill="1" applyBorder="1"/>
    <xf numFmtId="0" fontId="33" fillId="37" borderId="62" xfId="0" applyFont="1" applyFill="1" applyBorder="1" applyAlignment="1">
      <alignment horizontal="center" vertical="center"/>
    </xf>
    <xf numFmtId="0" fontId="33" fillId="37" borderId="21" xfId="0" applyFont="1" applyFill="1" applyBorder="1" applyAlignment="1">
      <alignment horizontal="center" vertical="center"/>
    </xf>
    <xf numFmtId="11" fontId="77" fillId="37" borderId="0" xfId="0" applyNumberFormat="1" applyFont="1" applyFill="1" applyAlignment="1">
      <alignment vertical="center" wrapText="1"/>
    </xf>
    <xf numFmtId="11" fontId="77" fillId="37" borderId="8" xfId="0" applyNumberFormat="1" applyFont="1" applyFill="1" applyBorder="1" applyAlignment="1">
      <alignment vertical="center" wrapText="1"/>
    </xf>
    <xf numFmtId="11" fontId="75" fillId="37" borderId="0" xfId="0" applyNumberFormat="1" applyFont="1" applyFill="1" applyAlignment="1">
      <alignment vertical="center" wrapText="1"/>
    </xf>
    <xf numFmtId="11" fontId="75" fillId="37" borderId="8" xfId="0" applyNumberFormat="1" applyFont="1" applyFill="1" applyBorder="1" applyAlignment="1">
      <alignment vertical="center" wrapText="1"/>
    </xf>
    <xf numFmtId="0" fontId="33" fillId="37" borderId="10" xfId="0" applyFont="1" applyFill="1" applyBorder="1"/>
    <xf numFmtId="0" fontId="50" fillId="37" borderId="0" xfId="0" applyFont="1" applyFill="1"/>
    <xf numFmtId="0" fontId="50" fillId="37" borderId="0" xfId="0" applyFont="1" applyFill="1" applyAlignment="1">
      <alignment horizontal="left" vertical="center" wrapText="1"/>
    </xf>
    <xf numFmtId="0" fontId="50" fillId="37" borderId="0" xfId="0" applyFont="1" applyFill="1" applyAlignment="1">
      <alignment horizontal="center"/>
    </xf>
    <xf numFmtId="0" fontId="50" fillId="38" borderId="16" xfId="0" applyFont="1" applyFill="1" applyBorder="1" applyAlignment="1">
      <alignment horizontal="center" vertical="center"/>
    </xf>
    <xf numFmtId="0" fontId="65" fillId="38" borderId="4" xfId="0" applyFont="1" applyFill="1" applyBorder="1" applyAlignment="1">
      <alignment horizontal="center" vertical="top" wrapText="1"/>
    </xf>
    <xf numFmtId="0" fontId="48" fillId="38" borderId="4" xfId="0" applyFont="1" applyFill="1" applyBorder="1" applyAlignment="1">
      <alignment horizontal="center" vertical="center" wrapText="1"/>
    </xf>
    <xf numFmtId="0" fontId="48" fillId="38" borderId="4" xfId="0" applyFont="1" applyFill="1" applyBorder="1" applyAlignment="1">
      <alignment horizontal="center" vertical="center"/>
    </xf>
    <xf numFmtId="0" fontId="43" fillId="38" borderId="10" xfId="0" quotePrefix="1" applyFont="1" applyFill="1" applyBorder="1"/>
    <xf numFmtId="0" fontId="33" fillId="37" borderId="8" xfId="0" applyFont="1" applyFill="1" applyBorder="1" applyAlignment="1">
      <alignment vertical="top" wrapText="1"/>
    </xf>
    <xf numFmtId="0" fontId="64" fillId="37" borderId="0" xfId="0" applyFont="1" applyFill="1" applyAlignment="1">
      <alignment horizontal="left" vertical="center" wrapText="1"/>
    </xf>
    <xf numFmtId="164" fontId="50" fillId="37" borderId="0" xfId="0" applyNumberFormat="1" applyFont="1" applyFill="1" applyAlignment="1">
      <alignment horizontal="center" vertical="center"/>
    </xf>
    <xf numFmtId="164" fontId="51"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11" fontId="33" fillId="37" borderId="4" xfId="0" applyNumberFormat="1" applyFont="1" applyFill="1" applyBorder="1"/>
    <xf numFmtId="0" fontId="43" fillId="37" borderId="4" xfId="0" applyFont="1" applyFill="1" applyBorder="1" applyAlignment="1">
      <alignment horizontal="center" vertical="center"/>
    </xf>
    <xf numFmtId="0" fontId="45" fillId="38" borderId="14" xfId="0" applyFont="1" applyFill="1" applyBorder="1" applyAlignment="1">
      <alignment horizontal="left" vertical="center" indent="4"/>
    </xf>
    <xf numFmtId="0" fontId="45" fillId="38" borderId="4" xfId="0" applyFont="1" applyFill="1" applyBorder="1" applyAlignment="1">
      <alignment horizontal="left" vertical="center" indent="4"/>
    </xf>
    <xf numFmtId="0" fontId="48" fillId="37" borderId="7" xfId="0" applyFont="1" applyFill="1" applyBorder="1" applyAlignment="1">
      <alignment horizontal="left" vertical="center" wrapText="1"/>
    </xf>
    <xf numFmtId="0" fontId="56" fillId="37" borderId="0" xfId="0" applyFont="1" applyFill="1" applyAlignment="1">
      <alignment horizontal="center" vertical="center"/>
    </xf>
    <xf numFmtId="0" fontId="50" fillId="37" borderId="56" xfId="0" applyFont="1" applyFill="1" applyBorder="1" applyAlignment="1">
      <alignment horizontal="center" vertical="center"/>
    </xf>
    <xf numFmtId="0" fontId="48" fillId="37" borderId="9" xfId="0" applyFont="1" applyFill="1" applyBorder="1" applyAlignment="1">
      <alignment horizontal="left" vertical="center" wrapText="1"/>
    </xf>
    <xf numFmtId="0" fontId="56" fillId="37" borderId="4" xfId="0" applyFont="1" applyFill="1" applyBorder="1" applyAlignment="1">
      <alignment horizontal="center" vertical="center"/>
    </xf>
    <xf numFmtId="0" fontId="50" fillId="37" borderId="58" xfId="0" applyFont="1" applyFill="1" applyBorder="1" applyAlignment="1">
      <alignment horizontal="center" vertical="center"/>
    </xf>
    <xf numFmtId="0" fontId="50" fillId="37" borderId="0" xfId="0" applyFont="1" applyFill="1" applyAlignment="1">
      <alignment horizontal="left"/>
    </xf>
    <xf numFmtId="0" fontId="63" fillId="37" borderId="0" xfId="0" applyFont="1" applyFill="1"/>
    <xf numFmtId="0" fontId="40" fillId="37" borderId="0" xfId="0" applyFont="1" applyFill="1" applyAlignment="1">
      <alignment horizontal="left" wrapText="1"/>
    </xf>
    <xf numFmtId="0" fontId="40" fillId="37" borderId="0" xfId="0" applyFont="1" applyFill="1" applyAlignment="1">
      <alignment horizontal="left"/>
    </xf>
    <xf numFmtId="0" fontId="63" fillId="37" borderId="0" xfId="0" applyFont="1" applyFill="1" applyAlignment="1">
      <alignment horizontal="left"/>
    </xf>
    <xf numFmtId="0" fontId="63" fillId="37" borderId="0" xfId="0" applyFont="1" applyFill="1" applyAlignment="1">
      <alignment horizontal="center" vertical="center"/>
    </xf>
    <xf numFmtId="0" fontId="0" fillId="0" borderId="0" xfId="0" applyProtection="1">
      <protection locked="0"/>
    </xf>
    <xf numFmtId="0" fontId="105" fillId="37" borderId="7" xfId="0" applyFont="1" applyFill="1" applyBorder="1"/>
    <xf numFmtId="0" fontId="105" fillId="37" borderId="0" xfId="0" applyFont="1" applyFill="1"/>
    <xf numFmtId="11" fontId="105" fillId="37" borderId="0" xfId="0" applyNumberFormat="1" applyFont="1" applyFill="1"/>
    <xf numFmtId="11" fontId="90" fillId="37" borderId="0" xfId="0" applyNumberFormat="1" applyFont="1" applyFill="1"/>
    <xf numFmtId="0" fontId="107" fillId="0" borderId="0" xfId="0" applyFont="1"/>
    <xf numFmtId="0" fontId="106" fillId="0" borderId="0" xfId="0" applyFont="1"/>
    <xf numFmtId="2" fontId="67" fillId="37" borderId="1" xfId="0" applyNumberFormat="1" applyFont="1" applyFill="1" applyBorder="1" applyAlignment="1">
      <alignment horizontal="center"/>
    </xf>
    <xf numFmtId="165" fontId="62" fillId="37" borderId="13" xfId="0" applyNumberFormat="1" applyFont="1" applyFill="1" applyBorder="1" applyAlignment="1">
      <alignment horizontal="center" vertical="center"/>
    </xf>
    <xf numFmtId="165" fontId="91" fillId="41" borderId="10" xfId="0" applyNumberFormat="1" applyFont="1" applyFill="1" applyBorder="1" applyAlignment="1">
      <alignment horizontal="center" vertical="center"/>
    </xf>
    <xf numFmtId="170" fontId="62" fillId="37" borderId="14" xfId="0" applyNumberFormat="1" applyFont="1" applyFill="1" applyBorder="1" applyAlignment="1">
      <alignment horizontal="center" vertical="center"/>
    </xf>
    <xf numFmtId="170" fontId="62" fillId="37" borderId="13" xfId="0" applyNumberFormat="1" applyFont="1" applyFill="1" applyBorder="1" applyAlignment="1">
      <alignment horizontal="center" vertical="center"/>
    </xf>
    <xf numFmtId="170" fontId="62" fillId="37" borderId="0" xfId="0" applyNumberFormat="1" applyFont="1" applyFill="1" applyAlignment="1">
      <alignment horizontal="center" vertical="center"/>
    </xf>
    <xf numFmtId="170" fontId="62" fillId="37" borderId="8" xfId="0" applyNumberFormat="1" applyFont="1" applyFill="1" applyBorder="1" applyAlignment="1">
      <alignment horizontal="center" vertical="center"/>
    </xf>
    <xf numFmtId="170" fontId="62" fillId="37" borderId="4" xfId="0" applyNumberFormat="1" applyFont="1" applyFill="1" applyBorder="1" applyAlignment="1">
      <alignment horizontal="center" vertical="center"/>
    </xf>
    <xf numFmtId="170" fontId="62" fillId="37" borderId="10" xfId="0" applyNumberFormat="1" applyFont="1" applyFill="1" applyBorder="1" applyAlignment="1">
      <alignment horizontal="center" vertical="center"/>
    </xf>
    <xf numFmtId="165" fontId="67" fillId="37" borderId="1" xfId="0" applyNumberFormat="1" applyFont="1" applyFill="1" applyBorder="1" applyAlignment="1">
      <alignment horizontal="center" vertical="center"/>
    </xf>
    <xf numFmtId="165" fontId="67" fillId="37" borderId="1" xfId="0" applyNumberFormat="1" applyFont="1" applyFill="1" applyBorder="1" applyAlignment="1">
      <alignment horizontal="center"/>
    </xf>
    <xf numFmtId="170" fontId="62" fillId="37" borderId="1" xfId="0" applyNumberFormat="1" applyFont="1" applyFill="1" applyBorder="1" applyAlignment="1">
      <alignment horizontal="center" vertical="center"/>
    </xf>
    <xf numFmtId="170" fontId="62" fillId="37" borderId="1" xfId="0" applyNumberFormat="1" applyFont="1" applyFill="1" applyBorder="1" applyAlignment="1">
      <alignment horizontal="center" wrapText="1"/>
    </xf>
    <xf numFmtId="170" fontId="62" fillId="37" borderId="1" xfId="0" applyNumberFormat="1" applyFont="1" applyFill="1" applyBorder="1" applyAlignment="1">
      <alignment horizontal="center"/>
    </xf>
    <xf numFmtId="0" fontId="67" fillId="37" borderId="1" xfId="0" applyFont="1" applyFill="1" applyBorder="1" applyAlignment="1">
      <alignment horizontal="center"/>
    </xf>
    <xf numFmtId="0" fontId="37" fillId="37" borderId="0" xfId="0" applyFont="1" applyFill="1" applyAlignment="1">
      <alignment horizontal="left" vertical="center" wrapText="1" indent="1"/>
    </xf>
    <xf numFmtId="0" fontId="95" fillId="37" borderId="0" xfId="0" applyFont="1" applyFill="1" applyAlignment="1">
      <alignment horizontal="left" vertical="center" wrapText="1"/>
    </xf>
    <xf numFmtId="0" fontId="95" fillId="37" borderId="0" xfId="0" applyFont="1" applyFill="1" applyAlignment="1">
      <alignment horizontal="left" vertical="center" indent="1"/>
    </xf>
    <xf numFmtId="0" fontId="33" fillId="37" borderId="0" xfId="0" applyFont="1" applyFill="1" applyAlignment="1">
      <alignment horizontal="left" vertical="center" indent="1"/>
    </xf>
    <xf numFmtId="0" fontId="97" fillId="39" borderId="0" xfId="0" applyFont="1" applyFill="1" applyAlignment="1">
      <alignment horizontal="center"/>
    </xf>
    <xf numFmtId="0" fontId="49" fillId="37" borderId="0" xfId="0" applyFont="1" applyFill="1" applyAlignment="1">
      <alignment horizontal="left" vertical="top" wrapText="1" indent="1"/>
    </xf>
    <xf numFmtId="0" fontId="37" fillId="37" borderId="0" xfId="0" applyFont="1" applyFill="1" applyAlignment="1">
      <alignment horizontal="left" vertical="top" wrapText="1"/>
    </xf>
    <xf numFmtId="0" fontId="35" fillId="39" borderId="0" xfId="0" applyFont="1" applyFill="1" applyAlignment="1">
      <alignment horizontal="right" vertical="center"/>
    </xf>
    <xf numFmtId="0" fontId="37" fillId="37" borderId="0" xfId="0" applyFont="1" applyFill="1" applyAlignment="1">
      <alignment horizontal="left" indent="1"/>
    </xf>
    <xf numFmtId="0" fontId="33" fillId="37" borderId="0" xfId="0" applyFont="1" applyFill="1" applyAlignment="1">
      <alignment horizontal="left" indent="1"/>
    </xf>
    <xf numFmtId="0" fontId="37" fillId="37" borderId="0" xfId="0" applyFont="1" applyFill="1" applyAlignment="1">
      <alignment horizontal="left" vertical="center" indent="1"/>
    </xf>
    <xf numFmtId="0" fontId="49" fillId="37" borderId="0" xfId="0" applyFont="1" applyFill="1" applyAlignment="1">
      <alignment horizontal="left" vertical="center" wrapText="1" indent="1"/>
    </xf>
    <xf numFmtId="0" fontId="42" fillId="38" borderId="12" xfId="0" applyFont="1" applyFill="1" applyBorder="1" applyAlignment="1">
      <alignment horizontal="left" vertical="center" indent="1"/>
    </xf>
    <xf numFmtId="0" fontId="42" fillId="38" borderId="14" xfId="0" applyFont="1" applyFill="1" applyBorder="1" applyAlignment="1">
      <alignment horizontal="left" vertical="center" indent="1"/>
    </xf>
    <xf numFmtId="0" fontId="42" fillId="38" borderId="9" xfId="0" applyFont="1" applyFill="1" applyBorder="1" applyAlignment="1">
      <alignment horizontal="left" vertical="center" indent="1"/>
    </xf>
    <xf numFmtId="0" fontId="42"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55" fillId="37" borderId="7" xfId="0" applyFont="1" applyFill="1" applyBorder="1" applyAlignment="1">
      <alignment horizontal="center" vertical="center" wrapText="1"/>
    </xf>
    <xf numFmtId="0" fontId="55" fillId="37" borderId="0" xfId="0" applyFont="1" applyFill="1" applyAlignment="1">
      <alignment horizontal="center" vertical="center" wrapText="1"/>
    </xf>
    <xf numFmtId="0" fontId="55" fillId="37" borderId="8" xfId="0" applyFont="1" applyFill="1" applyBorder="1" applyAlignment="1">
      <alignment horizontal="center" vertical="center" wrapText="1"/>
    </xf>
    <xf numFmtId="0" fontId="55" fillId="37" borderId="9" xfId="0" applyFont="1" applyFill="1" applyBorder="1" applyAlignment="1">
      <alignment horizontal="center" vertical="center" wrapText="1"/>
    </xf>
    <xf numFmtId="0" fontId="55" fillId="37" borderId="4" xfId="0" applyFont="1" applyFill="1" applyBorder="1" applyAlignment="1">
      <alignment horizontal="center" vertical="center" wrapText="1"/>
    </xf>
    <xf numFmtId="0" fontId="55" fillId="37" borderId="10" xfId="0" applyFont="1" applyFill="1" applyBorder="1" applyAlignment="1">
      <alignment horizontal="center" vertical="center" wrapText="1"/>
    </xf>
    <xf numFmtId="0" fontId="48" fillId="37" borderId="30" xfId="0" applyFont="1" applyFill="1" applyBorder="1" applyAlignment="1">
      <alignment horizontal="left" wrapText="1"/>
    </xf>
    <xf numFmtId="0" fontId="48" fillId="37" borderId="28" xfId="0" applyFont="1" applyFill="1" applyBorder="1" applyAlignment="1">
      <alignment horizontal="left" wrapText="1"/>
    </xf>
    <xf numFmtId="0" fontId="48" fillId="37" borderId="2" xfId="0" applyFont="1" applyFill="1" applyBorder="1" applyAlignment="1">
      <alignment horizontal="left" wrapText="1"/>
    </xf>
    <xf numFmtId="0" fontId="33" fillId="37" borderId="64" xfId="0" applyFont="1" applyFill="1" applyBorder="1" applyAlignment="1">
      <alignment horizontal="center" vertical="center" wrapText="1"/>
    </xf>
    <xf numFmtId="0" fontId="33" fillId="37" borderId="59" xfId="0" applyFont="1" applyFill="1" applyBorder="1" applyAlignment="1">
      <alignment horizontal="center" vertical="center" wrapText="1"/>
    </xf>
    <xf numFmtId="0" fontId="33" fillId="37" borderId="65" xfId="0" applyFont="1" applyFill="1" applyBorder="1" applyAlignment="1">
      <alignment horizontal="center" vertical="center" wrapText="1"/>
    </xf>
    <xf numFmtId="0" fontId="33" fillId="37" borderId="60" xfId="0" applyFont="1" applyFill="1" applyBorder="1" applyAlignment="1">
      <alignment horizontal="center" vertical="center" wrapText="1"/>
    </xf>
    <xf numFmtId="0" fontId="45" fillId="38" borderId="12" xfId="0" applyFont="1" applyFill="1" applyBorder="1" applyAlignment="1">
      <alignment horizontal="left" vertical="center" indent="1"/>
    </xf>
    <xf numFmtId="0" fontId="45" fillId="38" borderId="14" xfId="0" applyFont="1" applyFill="1" applyBorder="1" applyAlignment="1">
      <alignment horizontal="left" vertical="center" indent="1"/>
    </xf>
    <xf numFmtId="0" fontId="45" fillId="38" borderId="13" xfId="0" applyFont="1" applyFill="1" applyBorder="1" applyAlignment="1">
      <alignment horizontal="left" vertical="center" indent="1"/>
    </xf>
    <xf numFmtId="0" fontId="45" fillId="38" borderId="9" xfId="0" applyFont="1" applyFill="1" applyBorder="1" applyAlignment="1">
      <alignment horizontal="left" vertical="center" indent="1"/>
    </xf>
    <xf numFmtId="0" fontId="45" fillId="38" borderId="4" xfId="0" applyFont="1" applyFill="1" applyBorder="1" applyAlignment="1">
      <alignment horizontal="left" vertical="center" indent="1"/>
    </xf>
    <xf numFmtId="0" fontId="45" fillId="38" borderId="10" xfId="0" applyFont="1" applyFill="1" applyBorder="1" applyAlignment="1">
      <alignment horizontal="left" vertical="center" indent="1"/>
    </xf>
    <xf numFmtId="0" fontId="40" fillId="37" borderId="0" xfId="0" applyFont="1" applyFill="1" applyAlignment="1">
      <alignment horizontal="left" vertical="center" wrapText="1" indent="1"/>
    </xf>
    <xf numFmtId="0" fontId="40" fillId="37" borderId="4" xfId="0" applyFont="1" applyFill="1" applyBorder="1" applyAlignment="1">
      <alignment horizontal="left" vertical="center" wrapText="1" indent="1"/>
    </xf>
    <xf numFmtId="0" fontId="101" fillId="37" borderId="0" xfId="0" applyFont="1" applyFill="1" applyAlignment="1">
      <alignment horizontal="left" wrapText="1"/>
    </xf>
    <xf numFmtId="0" fontId="33" fillId="37" borderId="0" xfId="0" applyFont="1" applyFill="1" applyAlignment="1">
      <alignment horizontal="left" vertical="top" wrapText="1"/>
    </xf>
    <xf numFmtId="0" fontId="33" fillId="37" borderId="0" xfId="0" applyFont="1" applyFill="1" applyAlignment="1">
      <alignment horizontal="center"/>
    </xf>
    <xf numFmtId="0" fontId="85" fillId="38" borderId="5" xfId="0" applyFont="1" applyFill="1" applyBorder="1" applyAlignment="1">
      <alignment horizontal="center" vertical="center"/>
    </xf>
    <xf numFmtId="0" fontId="85" fillId="38" borderId="11" xfId="0" applyFont="1" applyFill="1" applyBorder="1" applyAlignment="1">
      <alignment horizontal="center" vertical="center"/>
    </xf>
    <xf numFmtId="0" fontId="85" fillId="38" borderId="6" xfId="0" applyFont="1" applyFill="1" applyBorder="1" applyAlignment="1">
      <alignment horizontal="center" vertical="center"/>
    </xf>
    <xf numFmtId="0" fontId="32" fillId="39" borderId="0" xfId="0" applyFont="1" applyFill="1" applyAlignment="1">
      <alignment horizontal="left" vertical="center" indent="1"/>
    </xf>
    <xf numFmtId="0" fontId="92" fillId="42" borderId="5" xfId="0" applyFont="1" applyFill="1" applyBorder="1" applyAlignment="1">
      <alignment horizontal="center" vertical="center"/>
    </xf>
    <xf numFmtId="0" fontId="92" fillId="42" borderId="11" xfId="0" applyFont="1" applyFill="1" applyBorder="1" applyAlignment="1">
      <alignment horizontal="center" vertical="center"/>
    </xf>
    <xf numFmtId="0" fontId="92" fillId="42" borderId="6" xfId="0" applyFont="1" applyFill="1" applyBorder="1" applyAlignment="1">
      <alignment horizontal="center" vertical="center"/>
    </xf>
    <xf numFmtId="0" fontId="78" fillId="38" borderId="28" xfId="0" applyFont="1" applyFill="1" applyBorder="1" applyAlignment="1" applyProtection="1">
      <alignment horizontal="left" vertical="center"/>
      <protection locked="0"/>
    </xf>
    <xf numFmtId="0" fontId="50" fillId="38" borderId="40" xfId="0" applyFont="1" applyFill="1" applyBorder="1" applyAlignment="1">
      <alignment horizontal="center" vertical="center"/>
    </xf>
    <xf numFmtId="0" fontId="50" fillId="38" borderId="67" xfId="0" applyFont="1" applyFill="1" applyBorder="1" applyAlignment="1">
      <alignment horizontal="center" vertical="center"/>
    </xf>
    <xf numFmtId="0" fontId="33" fillId="38" borderId="40" xfId="0" applyFont="1" applyFill="1" applyBorder="1" applyAlignment="1">
      <alignment horizontal="center" vertical="center"/>
    </xf>
    <xf numFmtId="0" fontId="33" fillId="38" borderId="67" xfId="0" applyFont="1" applyFill="1" applyBorder="1" applyAlignment="1">
      <alignment horizontal="center" vertical="center"/>
    </xf>
    <xf numFmtId="0" fontId="68" fillId="37" borderId="0" xfId="0" applyFont="1" applyFill="1" applyAlignment="1">
      <alignment horizontal="center" vertical="center"/>
    </xf>
    <xf numFmtId="0" fontId="68" fillId="37" borderId="8" xfId="0" applyFont="1" applyFill="1" applyBorder="1" applyAlignment="1">
      <alignment horizontal="center" vertical="center"/>
    </xf>
    <xf numFmtId="0" fontId="68" fillId="37" borderId="7" xfId="0" applyFont="1" applyFill="1" applyBorder="1" applyAlignment="1">
      <alignment horizontal="center" vertical="center"/>
    </xf>
    <xf numFmtId="0" fontId="98"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68" fillId="37" borderId="9" xfId="0" applyFont="1" applyFill="1" applyBorder="1" applyAlignment="1">
      <alignment horizontal="center" vertical="center"/>
    </xf>
    <xf numFmtId="0" fontId="68" fillId="37" borderId="4" xfId="0" applyFont="1" applyFill="1" applyBorder="1" applyAlignment="1">
      <alignment horizontal="center" vertical="center"/>
    </xf>
    <xf numFmtId="0" fontId="68" fillId="37" borderId="10" xfId="0" applyFont="1" applyFill="1" applyBorder="1" applyAlignment="1">
      <alignment horizontal="center" vertical="center"/>
    </xf>
    <xf numFmtId="0" fontId="48" fillId="37" borderId="15" xfId="0" applyFont="1" applyFill="1" applyBorder="1" applyAlignment="1">
      <alignment horizontal="left" wrapText="1"/>
    </xf>
    <xf numFmtId="0" fontId="48" fillId="37" borderId="0" xfId="0" applyFont="1" applyFill="1" applyAlignment="1">
      <alignment horizontal="left" wrapText="1"/>
    </xf>
    <xf numFmtId="0" fontId="50" fillId="38" borderId="13" xfId="0" applyFont="1" applyFill="1" applyBorder="1" applyAlignment="1">
      <alignment horizontal="center" vertical="center"/>
    </xf>
    <xf numFmtId="0" fontId="50" fillId="38" borderId="10" xfId="0" applyFont="1" applyFill="1" applyBorder="1" applyAlignment="1">
      <alignment horizontal="center" vertical="center"/>
    </xf>
    <xf numFmtId="0" fontId="42" fillId="38" borderId="13" xfId="0" applyFont="1" applyFill="1" applyBorder="1" applyAlignment="1">
      <alignment horizontal="left" vertical="center" indent="1"/>
    </xf>
    <xf numFmtId="0" fontId="42" fillId="38" borderId="10" xfId="0" applyFont="1" applyFill="1" applyBorder="1" applyAlignment="1">
      <alignment horizontal="left" vertical="center" indent="1"/>
    </xf>
    <xf numFmtId="0" fontId="33" fillId="38" borderId="16" xfId="0" applyFont="1" applyFill="1" applyBorder="1" applyAlignment="1">
      <alignment horizontal="center" vertical="center"/>
    </xf>
    <xf numFmtId="0" fontId="33" fillId="37" borderId="61" xfId="0" applyFont="1" applyFill="1" applyBorder="1" applyAlignment="1">
      <alignment horizontal="center" vertical="center" wrapText="1"/>
    </xf>
    <xf numFmtId="0" fontId="33" fillId="37" borderId="42" xfId="0" applyFont="1" applyFill="1" applyBorder="1" applyAlignment="1">
      <alignment horizontal="center" vertical="center" wrapText="1"/>
    </xf>
    <xf numFmtId="0" fontId="85" fillId="37" borderId="0" xfId="0" applyFont="1" applyFill="1" applyAlignment="1">
      <alignment horizontal="center" vertical="center"/>
    </xf>
    <xf numFmtId="0" fontId="78" fillId="38" borderId="4" xfId="0" applyFont="1" applyFill="1" applyBorder="1" applyAlignment="1">
      <alignment horizontal="left" vertical="center"/>
    </xf>
    <xf numFmtId="0" fontId="3" fillId="3" borderId="7" xfId="0" applyFont="1" applyFill="1" applyBorder="1" applyAlignment="1">
      <alignment horizontal="left" vertical="center"/>
    </xf>
    <xf numFmtId="0" fontId="3" fillId="3" borderId="0" xfId="0" applyFont="1" applyFill="1" applyAlignment="1">
      <alignment horizontal="left"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警告文本 2" xfId="14" xr:uid="{49D23AE7-26A3-41DE-B8FE-83FCB02D18D8}"/>
    <cellStyle name="计算 2" xfId="11" xr:uid="{5F596628-4ECD-4871-928A-3A15D6A131A0}"/>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21">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EEEEEE"/>
      <color rgb="FFAE0202"/>
      <color rgb="FFFDFAD7"/>
      <color rgb="FFF7EFC8"/>
      <color rgb="FFF7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c:v>
              </c:pt>
              <c:pt idx="91">
                <c:v>13.2</c:v>
              </c:pt>
              <c:pt idx="92">
                <c:v>12.8</c:v>
              </c:pt>
              <c:pt idx="93">
                <c:v>12.4</c:v>
              </c:pt>
              <c:pt idx="94">
                <c:v>12</c:v>
              </c:pt>
              <c:pt idx="95">
                <c:v>11.6</c:v>
              </c:pt>
              <c:pt idx="96">
                <c:v>11.2</c:v>
              </c:pt>
              <c:pt idx="97">
                <c:v>10.8</c:v>
              </c:pt>
              <c:pt idx="98">
                <c:v>10.4</c:v>
              </c:pt>
              <c:pt idx="99">
                <c:v>10</c:v>
              </c:pt>
              <c:pt idx="100">
                <c:v>9.84</c:v>
              </c:pt>
              <c:pt idx="101">
                <c:v>9.68</c:v>
              </c:pt>
              <c:pt idx="102">
                <c:v>9.52</c:v>
              </c:pt>
              <c:pt idx="103">
                <c:v>9.36</c:v>
              </c:pt>
              <c:pt idx="104">
                <c:v>9.1999999999999993</c:v>
              </c:pt>
              <c:pt idx="105">
                <c:v>9.0399999999999991</c:v>
              </c:pt>
              <c:pt idx="106">
                <c:v>8.8800000000000008</c:v>
              </c:pt>
              <c:pt idx="107">
                <c:v>8.7200000000000006</c:v>
              </c:pt>
              <c:pt idx="108">
                <c:v>8.56</c:v>
              </c:pt>
              <c:pt idx="109">
                <c:v>8.4</c:v>
              </c:pt>
              <c:pt idx="110">
                <c:v>8.24</c:v>
              </c:pt>
              <c:pt idx="111">
                <c:v>8.08</c:v>
              </c:pt>
              <c:pt idx="112">
                <c:v>7.92</c:v>
              </c:pt>
              <c:pt idx="113">
                <c:v>7.76</c:v>
              </c:pt>
              <c:pt idx="114">
                <c:v>7.6</c:v>
              </c:pt>
              <c:pt idx="115">
                <c:v>7.44</c:v>
              </c:pt>
              <c:pt idx="116">
                <c:v>7.28</c:v>
              </c:pt>
              <c:pt idx="117">
                <c:v>7.12</c:v>
              </c:pt>
              <c:pt idx="118">
                <c:v>6.96</c:v>
              </c:pt>
              <c:pt idx="119">
                <c:v>6.8</c:v>
              </c:pt>
              <c:pt idx="120">
                <c:v>6.64</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3.6</c:v>
              </c:pt>
              <c:pt idx="140">
                <c:v>3.44</c:v>
              </c:pt>
              <c:pt idx="141">
                <c:v>3.28</c:v>
              </c:pt>
              <c:pt idx="142">
                <c:v>3.12</c:v>
              </c:pt>
              <c:pt idx="143">
                <c:v>2.96</c:v>
              </c:pt>
              <c:pt idx="144">
                <c:v>2.8</c:v>
              </c:pt>
              <c:pt idx="145">
                <c:v>2.64</c:v>
              </c:pt>
              <c:pt idx="146">
                <c:v>2.48</c:v>
              </c:pt>
              <c:pt idx="147">
                <c:v>2.3199999999999998</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1.86</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c:v>
              </c:pt>
              <c:pt idx="186">
                <c:v>1.63</c:v>
              </c:pt>
              <c:pt idx="187">
                <c:v>1.62</c:v>
              </c:pt>
              <c:pt idx="188">
                <c:v>1.61</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c:v>
              </c:pt>
              <c:pt idx="207">
                <c:v>1.42</c:v>
              </c:pt>
              <c:pt idx="208">
                <c:v>1.41</c:v>
              </c:pt>
              <c:pt idx="209">
                <c:v>1.4</c:v>
              </c:pt>
              <c:pt idx="210">
                <c:v>1.39</c:v>
              </c:pt>
              <c:pt idx="211">
                <c:v>1.38</c:v>
              </c:pt>
              <c:pt idx="212">
                <c:v>1.37</c:v>
              </c:pt>
              <c:pt idx="213">
                <c:v>1.36</c:v>
              </c:pt>
              <c:pt idx="214">
                <c:v>1.35</c:v>
              </c:pt>
              <c:pt idx="215">
                <c:v>1.34</c:v>
              </c:pt>
              <c:pt idx="216">
                <c:v>1.33</c:v>
              </c:pt>
              <c:pt idx="217">
                <c:v>1.32</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c:v>
              </c:pt>
              <c:pt idx="232">
                <c:v>1.17</c:v>
              </c:pt>
              <c:pt idx="233">
                <c:v>1.1599999999999999</c:v>
              </c:pt>
              <c:pt idx="234">
                <c:v>1.1499999999999999</c:v>
              </c:pt>
              <c:pt idx="235">
                <c:v>1.1399999999999999</c:v>
              </c:pt>
              <c:pt idx="236">
                <c:v>1.1299999999999999</c:v>
              </c:pt>
              <c:pt idx="237">
                <c:v>1.1200000000000001</c:v>
              </c:pt>
              <c:pt idx="238">
                <c:v>1.1100000000000001</c:v>
              </c:pt>
              <c:pt idx="239">
                <c:v>1.1000000000000001</c:v>
              </c:pt>
              <c:pt idx="240">
                <c:v>1.0900000000000001</c:v>
              </c:pt>
              <c:pt idx="241">
                <c:v>1.08</c:v>
              </c:pt>
              <c:pt idx="242">
                <c:v>1.07</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0.93</c:v>
              </c:pt>
              <c:pt idx="257">
                <c:v>0.92</c:v>
              </c:pt>
              <c:pt idx="258">
                <c:v>0.91</c:v>
              </c:pt>
              <c:pt idx="259">
                <c:v>0.9</c:v>
              </c:pt>
              <c:pt idx="260">
                <c:v>0.89</c:v>
              </c:pt>
              <c:pt idx="261">
                <c:v>0.88</c:v>
              </c:pt>
              <c:pt idx="262">
                <c:v>0.87</c:v>
              </c:pt>
              <c:pt idx="263">
                <c:v>0.86</c:v>
              </c:pt>
              <c:pt idx="264">
                <c:v>0.85</c:v>
              </c:pt>
              <c:pt idx="265">
                <c:v>0.84</c:v>
              </c:pt>
              <c:pt idx="266">
                <c:v>0.83</c:v>
              </c:pt>
              <c:pt idx="267">
                <c:v>0.82</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0.68</c:v>
              </c:pt>
              <c:pt idx="282">
                <c:v>0.67</c:v>
              </c:pt>
              <c:pt idx="283">
                <c:v>0.66</c:v>
              </c:pt>
              <c:pt idx="284">
                <c:v>0.65</c:v>
              </c:pt>
              <c:pt idx="285">
                <c:v>0.64</c:v>
              </c:pt>
              <c:pt idx="286">
                <c:v>0.63</c:v>
              </c:pt>
              <c:pt idx="287">
                <c:v>0.62</c:v>
              </c:pt>
              <c:pt idx="288">
                <c:v>0.61</c:v>
              </c:pt>
              <c:pt idx="289">
                <c:v>0.6</c:v>
              </c:pt>
              <c:pt idx="290">
                <c:v>0.59</c:v>
              </c:pt>
              <c:pt idx="291">
                <c:v>0.57999999999999996</c:v>
              </c:pt>
              <c:pt idx="292">
                <c:v>0.56999999999999995</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7EDE-41E1-BC00-0092132B4A32}"/>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7EDE-41E1-BC00-0092132B4A32}"/>
            </c:ext>
          </c:extLst>
        </c:ser>
        <c:dLbls>
          <c:showLegendKey val="0"/>
          <c:showVal val="0"/>
          <c:showCatName val="0"/>
          <c:showSerName val="0"/>
          <c:showPercent val="0"/>
          <c:showBubbleSize val="0"/>
        </c:dLbls>
        <c:axId val="1935553839"/>
        <c:axId val="1935538959"/>
      </c:scatterChart>
      <c:valAx>
        <c:axId val="1935553839"/>
        <c:scaling>
          <c:orientation val="minMax"/>
          <c:max val="110.00000000000001"/>
          <c:min val="0"/>
        </c:scaling>
        <c:delete val="0"/>
        <c:axPos val="t"/>
        <c:title>
          <c:tx>
            <c:rich>
              <a:bodyPr/>
              <a:lstStyle/>
              <a:p>
                <a:pPr>
                  <a:defRPr b="0">
                    <a:latin typeface="Arial" panose="020B0604020202020204" pitchFamily="34" charset="0"/>
                  </a:defRPr>
                </a:pPr>
                <a:r>
                  <a:rPr lang="en-US" altLang="zh-CN"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1935538959"/>
        <c:crosses val="autoZero"/>
        <c:crossBetween val="midCat"/>
      </c:valAx>
      <c:valAx>
        <c:axId val="1935538959"/>
        <c:scaling>
          <c:orientation val="maxMin"/>
          <c:max val="330"/>
          <c:min val="0"/>
        </c:scaling>
        <c:delete val="0"/>
        <c:axPos val="l"/>
        <c:title>
          <c:tx>
            <c:rich>
              <a:bodyPr/>
              <a:lstStyle/>
              <a:p>
                <a:pPr>
                  <a:defRPr b="0">
                    <a:latin typeface="Arial" panose="020B0604020202020204" pitchFamily="34" charset="0"/>
                  </a:defRPr>
                </a:pPr>
                <a:r>
                  <a:rPr lang="en-US" altLang="zh-CN"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1935553839"/>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tLang="zh-CN"/>
              <a:t>PFAS concentration in receptor well</a:t>
            </a:r>
          </a:p>
        </c:rich>
      </c:tx>
      <c:overlay val="0"/>
    </c:title>
    <c:autoTitleDeleted val="0"/>
    <c:plotArea>
      <c:layout>
        <c:manualLayout>
          <c:xMode val="edge"/>
          <c:yMode val="edge"/>
          <c:x val="5.5935657103102707E-2"/>
          <c:y val="0.11009081735620586"/>
          <c:w val="0.89287721147627674"/>
          <c:h val="0.83774686463889281"/>
        </c:manualLayout>
      </c:layout>
      <c:scatterChart>
        <c:scatterStyle val="lineMarker"/>
        <c:varyColors val="0"/>
        <c:ser>
          <c:idx val="0"/>
          <c:order val="0"/>
          <c:tx>
            <c:v>Receptor well concentration (ug/L)</c:v>
          </c:tx>
          <c:spPr>
            <a:ln w="25400"/>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Module0_Output_Data!$C$3:$C$102</c:f>
              <c:numCache>
                <c:formatCode>0.00E+00</c:formatCode>
                <c:ptCount val="100"/>
                <c:pt idx="0">
                  <c:v>1.1555118032206134E-3</c:v>
                </c:pt>
                <c:pt idx="1">
                  <c:v>1.4232460455742245E-3</c:v>
                </c:pt>
                <c:pt idx="2">
                  <c:v>1.6560460810755076E-3</c:v>
                </c:pt>
                <c:pt idx="3">
                  <c:v>1.8719036317650165E-3</c:v>
                </c:pt>
                <c:pt idx="4">
                  <c:v>2.077804285835632E-3</c:v>
                </c:pt>
                <c:pt idx="5">
                  <c:v>2.2784078623885669E-3</c:v>
                </c:pt>
                <c:pt idx="6">
                  <c:v>2.4799933729435023E-3</c:v>
                </c:pt>
                <c:pt idx="7">
                  <c:v>2.6931290838261021E-3</c:v>
                </c:pt>
                <c:pt idx="8">
                  <c:v>2.933746341119699E-3</c:v>
                </c:pt>
                <c:pt idx="9">
                  <c:v>3.2229092468001345E-3</c:v>
                </c:pt>
                <c:pt idx="10">
                  <c:v>3.5861143733433775E-3</c:v>
                </c:pt>
                <c:pt idx="11">
                  <c:v>4.0527461782253081E-3</c:v>
                </c:pt>
                <c:pt idx="12">
                  <c:v>4.6557798370257973E-3</c:v>
                </c:pt>
                <c:pt idx="13">
                  <c:v>5.4313461873029441E-3</c:v>
                </c:pt>
                <c:pt idx="14">
                  <c:v>6.417583251372678E-3</c:v>
                </c:pt>
                <c:pt idx="15">
                  <c:v>7.6523664645973604E-3</c:v>
                </c:pt>
                <c:pt idx="16">
                  <c:v>9.1699221574562048E-3</c:v>
                </c:pt>
                <c:pt idx="17">
                  <c:v>1.0996767357453301E-2</c:v>
                </c:pt>
                <c:pt idx="18">
                  <c:v>1.3147693250334219E-2</c:v>
                </c:pt>
                <c:pt idx="19">
                  <c:v>1.5622541172078569E-2</c:v>
                </c:pt>
                <c:pt idx="20">
                  <c:v>1.8404342193086079E-2</c:v>
                </c:pt>
                <c:pt idx="21">
                  <c:v>2.1459099325086252E-2</c:v>
                </c:pt>
                <c:pt idx="22">
                  <c:v>2.4737186811088142E-2</c:v>
                </c:pt>
                <c:pt idx="23">
                  <c:v>2.817609739142167E-2</c:v>
                </c:pt>
                <c:pt idx="24">
                  <c:v>3.1704120669350605E-2</c:v>
                </c:pt>
                <c:pt idx="25">
                  <c:v>3.5244485478295312E-2</c:v>
                </c:pt>
                <c:pt idx="26">
                  <c:v>3.8719527568601718E-2</c:v>
                </c:pt>
                <c:pt idx="27">
                  <c:v>4.2054523650990203E-2</c:v>
                </c:pt>
                <c:pt idx="28">
                  <c:v>4.5180936967281711E-2</c:v>
                </c:pt>
                <c:pt idx="29">
                  <c:v>4.803892656421356E-2</c:v>
                </c:pt>
                <c:pt idx="30">
                  <c:v>5.0579067815828258E-2</c:v>
                </c:pt>
                <c:pt idx="31">
                  <c:v>5.2763307632800037E-2</c:v>
                </c:pt>
                <c:pt idx="32">
                  <c:v>5.4565231650715078E-2</c:v>
                </c:pt>
                <c:pt idx="33">
                  <c:v>5.5969753550257621E-2</c:v>
                </c:pt>
                <c:pt idx="34">
                  <c:v>5.6972351660194868E-2</c:v>
                </c:pt>
                <c:pt idx="35">
                  <c:v>5.7577979149619346E-2</c:v>
                </c:pt>
                <c:pt idx="36">
                  <c:v>5.7799765519567003E-2</c:v>
                </c:pt>
                <c:pt idx="37">
                  <c:v>5.7657612423261013E-2</c:v>
                </c:pt>
                <c:pt idx="38">
                  <c:v>5.7176769083167892E-2</c:v>
                </c:pt>
                <c:pt idx="39">
                  <c:v>5.6386454007989521E-2</c:v>
                </c:pt>
                <c:pt idx="40">
                  <c:v>5.5318571934226832E-2</c:v>
                </c:pt>
                <c:pt idx="41">
                  <c:v>5.4006558929158593E-2</c:v>
                </c:pt>
                <c:pt idx="42">
                  <c:v>5.2484374932980069E-2</c:v>
                </c:pt>
                <c:pt idx="43">
                  <c:v>5.0785651878695263E-2</c:v>
                </c:pt>
                <c:pt idx="44">
                  <c:v>4.8942996859863121E-2</c:v>
                </c:pt>
                <c:pt idx="45">
                  <c:v>4.6987443416196616E-2</c:v>
                </c:pt>
                <c:pt idx="46">
                  <c:v>4.4948039588033763E-2</c:v>
                </c:pt>
                <c:pt idx="47">
                  <c:v>4.2851558630417202E-2</c:v>
                </c:pt>
                <c:pt idx="48">
                  <c:v>4.0722316852669603E-2</c:v>
                </c:pt>
                <c:pt idx="49">
                  <c:v>3.8582082657902667E-2</c:v>
                </c:pt>
                <c:pt idx="50">
                  <c:v>3.6450061230431458E-2</c:v>
                </c:pt>
                <c:pt idx="51">
                  <c:v>3.4342940228649463E-2</c:v>
                </c:pt>
                <c:pt idx="52">
                  <c:v>3.2274983097916252E-2</c:v>
                </c:pt>
                <c:pt idx="53">
                  <c:v>3.0258158072189453E-2</c:v>
                </c:pt>
                <c:pt idx="54">
                  <c:v>2.8302292468818126E-2</c:v>
                </c:pt>
                <c:pt idx="55">
                  <c:v>2.6415243412354777E-2</c:v>
                </c:pt>
                <c:pt idx="56">
                  <c:v>2.4603077589789968E-2</c:v>
                </c:pt>
                <c:pt idx="57">
                  <c:v>2.2870254000977152E-2</c:v>
                </c:pt>
                <c:pt idx="58">
                  <c:v>2.1219804900032668E-2</c:v>
                </c:pt>
                <c:pt idx="59">
                  <c:v>1.9653511214328932E-2</c:v>
                </c:pt>
                <c:pt idx="60">
                  <c:v>1.8172069674687447E-2</c:v>
                </c:pt>
                <c:pt idx="61">
                  <c:v>1.6775249697364499E-2</c:v>
                </c:pt>
                <c:pt idx="62">
                  <c:v>1.5462038733686371E-2</c:v>
                </c:pt>
                <c:pt idx="63">
                  <c:v>1.4230775357722292E-2</c:v>
                </c:pt>
                <c:pt idx="64">
                  <c:v>1.3079269808688281E-2</c:v>
                </c:pt>
                <c:pt idx="65">
                  <c:v>1.2004912055857936E-2</c:v>
                </c:pt>
                <c:pt idx="66">
                  <c:v>1.1004767722509842E-2</c:v>
                </c:pt>
                <c:pt idx="67">
                  <c:v>1.0075662404135967E-2</c:v>
                </c:pt>
                <c:pt idx="68">
                  <c:v>9.2142550561534198E-3</c:v>
                </c:pt>
                <c:pt idx="69">
                  <c:v>8.4171012180114836E-3</c:v>
                </c:pt>
                <c:pt idx="70">
                  <c:v>7.6807068930360139E-3</c:v>
                </c:pt>
                <c:pt idx="71">
                  <c:v>7.0015739246203704E-3</c:v>
                </c:pt>
                <c:pt idx="72">
                  <c:v>6.3762377063607623E-3</c:v>
                </c:pt>
                <c:pt idx="73">
                  <c:v>5.8012980423122586E-3</c:v>
                </c:pt>
                <c:pt idx="74">
                  <c:v>5.2734439386197957E-3</c:v>
                </c:pt>
                <c:pt idx="75">
                  <c:v>4.7894730634203009E-3</c:v>
                </c:pt>
                <c:pt idx="76">
                  <c:v>4.3463065614165108E-3</c:v>
                </c:pt>
                <c:pt idx="77">
                  <c:v>3.9409998555473818E-3</c:v>
                </c:pt>
                <c:pt idx="78">
                  <c:v>3.5707500128035856E-3</c:v>
                </c:pt>
                <c:pt idx="79">
                  <c:v>3.2329001960738979E-3</c:v>
                </c:pt>
                <c:pt idx="80">
                  <c:v>2.9249416701658303E-3</c:v>
                </c:pt>
                <c:pt idx="81">
                  <c:v>2.6445137787018758E-3</c:v>
                </c:pt>
                <c:pt idx="82">
                  <c:v>2.3894022600597165E-3</c:v>
                </c:pt>
                <c:pt idx="83">
                  <c:v>2.1575362252911389E-3</c:v>
                </c:pt>
                <c:pt idx="84">
                  <c:v>1.9469840792384705E-3</c:v>
                </c:pt>
                <c:pt idx="85">
                  <c:v>1.7559486279522343E-3</c:v>
                </c:pt>
                <c:pt idx="86">
                  <c:v>1.5827615809795859E-3</c:v>
                </c:pt>
                <c:pt idx="87">
                  <c:v>1.4258776260413952E-3</c:v>
                </c:pt>
                <c:pt idx="88">
                  <c:v>1.2838682258964572E-3</c:v>
                </c:pt>
                <c:pt idx="89">
                  <c:v>1.1554152626122554E-3</c:v>
                </c:pt>
                <c:pt idx="90">
                  <c:v>1.0393046328092644E-3</c:v>
                </c:pt>
                <c:pt idx="91">
                  <c:v>9.3441987849317862E-4</c:v>
                </c:pt>
                <c:pt idx="92">
                  <c:v>8.3973592160455741E-4</c:v>
                </c:pt>
                <c:pt idx="93">
                  <c:v>7.5431295616854585E-4</c:v>
                </c:pt>
                <c:pt idx="94">
                  <c:v>6.7729053969583976E-4</c:v>
                </c:pt>
                <c:pt idx="95">
                  <c:v>6.0788191505665144E-4</c:v>
                </c:pt>
                <c:pt idx="96">
                  <c:v>5.4536858522205285E-4</c:v>
                </c:pt>
                <c:pt idx="97">
                  <c:v>4.8909515585457354E-4</c:v>
                </c:pt>
                <c:pt idx="98">
                  <c:v>4.3846445456058899E-4</c:v>
                </c:pt>
                <c:pt idx="99">
                  <c:v>3.9293293053337033E-4</c:v>
                </c:pt>
              </c:numCache>
            </c:numRef>
          </c:yVal>
          <c:smooth val="0"/>
          <c:extLst>
            <c:ext xmlns:c16="http://schemas.microsoft.com/office/drawing/2014/chart" uri="{C3380CC4-5D6E-409C-BE32-E72D297353CC}">
              <c16:uniqueId val="{00000003-97EE-447B-859F-A4DADA4FAE35}"/>
            </c:ext>
          </c:extLst>
        </c:ser>
        <c:ser>
          <c:idx val="1"/>
          <c:order val="1"/>
          <c:tx>
            <c:v>Acceptable groundwater concentration (ug/L)</c:v>
          </c:tx>
          <c:spPr>
            <a:ln w="25400">
              <a:solidFill>
                <a:srgbClr val="8B0000"/>
              </a:solidFill>
            </a:ln>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Lit>
              <c:formatCode>General</c:formatCode>
              <c:ptCount val="100"/>
              <c:pt idx="0">
                <c:v>4.0000000000000001E-3</c:v>
              </c:pt>
              <c:pt idx="1">
                <c:v>4.0000000000000001E-3</c:v>
              </c:pt>
              <c:pt idx="2">
                <c:v>4.0000000000000001E-3</c:v>
              </c:pt>
              <c:pt idx="3">
                <c:v>4.0000000000000001E-3</c:v>
              </c:pt>
              <c:pt idx="4">
                <c:v>4.0000000000000001E-3</c:v>
              </c:pt>
              <c:pt idx="5">
                <c:v>4.0000000000000001E-3</c:v>
              </c:pt>
              <c:pt idx="6">
                <c:v>4.0000000000000001E-3</c:v>
              </c:pt>
              <c:pt idx="7">
                <c:v>4.0000000000000001E-3</c:v>
              </c:pt>
              <c:pt idx="8">
                <c:v>4.0000000000000001E-3</c:v>
              </c:pt>
              <c:pt idx="9">
                <c:v>4.0000000000000001E-3</c:v>
              </c:pt>
              <c:pt idx="10">
                <c:v>4.0000000000000001E-3</c:v>
              </c:pt>
              <c:pt idx="11">
                <c:v>4.0000000000000001E-3</c:v>
              </c:pt>
              <c:pt idx="12">
                <c:v>4.0000000000000001E-3</c:v>
              </c:pt>
              <c:pt idx="13">
                <c:v>4.0000000000000001E-3</c:v>
              </c:pt>
              <c:pt idx="14">
                <c:v>4.0000000000000001E-3</c:v>
              </c:pt>
              <c:pt idx="15">
                <c:v>4.0000000000000001E-3</c:v>
              </c:pt>
              <c:pt idx="16">
                <c:v>4.0000000000000001E-3</c:v>
              </c:pt>
              <c:pt idx="17">
                <c:v>4.0000000000000001E-3</c:v>
              </c:pt>
              <c:pt idx="18">
                <c:v>4.0000000000000001E-3</c:v>
              </c:pt>
              <c:pt idx="19">
                <c:v>4.0000000000000001E-3</c:v>
              </c:pt>
              <c:pt idx="20">
                <c:v>4.0000000000000001E-3</c:v>
              </c:pt>
              <c:pt idx="21">
                <c:v>4.0000000000000001E-3</c:v>
              </c:pt>
              <c:pt idx="22">
                <c:v>4.0000000000000001E-3</c:v>
              </c:pt>
              <c:pt idx="23">
                <c:v>4.0000000000000001E-3</c:v>
              </c:pt>
              <c:pt idx="24">
                <c:v>4.0000000000000001E-3</c:v>
              </c:pt>
              <c:pt idx="25">
                <c:v>4.0000000000000001E-3</c:v>
              </c:pt>
              <c:pt idx="26">
                <c:v>4.0000000000000001E-3</c:v>
              </c:pt>
              <c:pt idx="27">
                <c:v>4.0000000000000001E-3</c:v>
              </c:pt>
              <c:pt idx="28">
                <c:v>4.0000000000000001E-3</c:v>
              </c:pt>
              <c:pt idx="29">
                <c:v>4.0000000000000001E-3</c:v>
              </c:pt>
              <c:pt idx="30">
                <c:v>4.0000000000000001E-3</c:v>
              </c:pt>
              <c:pt idx="31">
                <c:v>4.0000000000000001E-3</c:v>
              </c:pt>
              <c:pt idx="32">
                <c:v>4.0000000000000001E-3</c:v>
              </c:pt>
              <c:pt idx="33">
                <c:v>4.0000000000000001E-3</c:v>
              </c:pt>
              <c:pt idx="34">
                <c:v>4.0000000000000001E-3</c:v>
              </c:pt>
              <c:pt idx="35">
                <c:v>4.0000000000000001E-3</c:v>
              </c:pt>
              <c:pt idx="36">
                <c:v>4.0000000000000001E-3</c:v>
              </c:pt>
              <c:pt idx="37">
                <c:v>4.0000000000000001E-3</c:v>
              </c:pt>
              <c:pt idx="38">
                <c:v>4.0000000000000001E-3</c:v>
              </c:pt>
              <c:pt idx="39">
                <c:v>4.0000000000000001E-3</c:v>
              </c:pt>
              <c:pt idx="40">
                <c:v>4.0000000000000001E-3</c:v>
              </c:pt>
              <c:pt idx="41">
                <c:v>4.0000000000000001E-3</c:v>
              </c:pt>
              <c:pt idx="42">
                <c:v>4.0000000000000001E-3</c:v>
              </c:pt>
              <c:pt idx="43">
                <c:v>4.0000000000000001E-3</c:v>
              </c:pt>
              <c:pt idx="44">
                <c:v>4.0000000000000001E-3</c:v>
              </c:pt>
              <c:pt idx="45">
                <c:v>4.0000000000000001E-3</c:v>
              </c:pt>
              <c:pt idx="46">
                <c:v>4.0000000000000001E-3</c:v>
              </c:pt>
              <c:pt idx="47">
                <c:v>4.0000000000000001E-3</c:v>
              </c:pt>
              <c:pt idx="48">
                <c:v>4.0000000000000001E-3</c:v>
              </c:pt>
              <c:pt idx="49">
                <c:v>4.0000000000000001E-3</c:v>
              </c:pt>
              <c:pt idx="50">
                <c:v>4.0000000000000001E-3</c:v>
              </c:pt>
              <c:pt idx="51">
                <c:v>4.0000000000000001E-3</c:v>
              </c:pt>
              <c:pt idx="52">
                <c:v>4.0000000000000001E-3</c:v>
              </c:pt>
              <c:pt idx="53">
                <c:v>4.0000000000000001E-3</c:v>
              </c:pt>
              <c:pt idx="54">
                <c:v>4.0000000000000001E-3</c:v>
              </c:pt>
              <c:pt idx="55">
                <c:v>4.0000000000000001E-3</c:v>
              </c:pt>
              <c:pt idx="56">
                <c:v>4.0000000000000001E-3</c:v>
              </c:pt>
              <c:pt idx="57">
                <c:v>4.0000000000000001E-3</c:v>
              </c:pt>
              <c:pt idx="58">
                <c:v>4.0000000000000001E-3</c:v>
              </c:pt>
              <c:pt idx="59">
                <c:v>4.0000000000000001E-3</c:v>
              </c:pt>
              <c:pt idx="60">
                <c:v>4.0000000000000001E-3</c:v>
              </c:pt>
              <c:pt idx="61">
                <c:v>4.0000000000000001E-3</c:v>
              </c:pt>
              <c:pt idx="62">
                <c:v>4.0000000000000001E-3</c:v>
              </c:pt>
              <c:pt idx="63">
                <c:v>4.0000000000000001E-3</c:v>
              </c:pt>
              <c:pt idx="64">
                <c:v>4.0000000000000001E-3</c:v>
              </c:pt>
              <c:pt idx="65">
                <c:v>4.0000000000000001E-3</c:v>
              </c:pt>
              <c:pt idx="66">
                <c:v>4.0000000000000001E-3</c:v>
              </c:pt>
              <c:pt idx="67">
                <c:v>4.0000000000000001E-3</c:v>
              </c:pt>
              <c:pt idx="68">
                <c:v>4.0000000000000001E-3</c:v>
              </c:pt>
              <c:pt idx="69">
                <c:v>4.0000000000000001E-3</c:v>
              </c:pt>
              <c:pt idx="70">
                <c:v>4.0000000000000001E-3</c:v>
              </c:pt>
              <c:pt idx="71">
                <c:v>4.0000000000000001E-3</c:v>
              </c:pt>
              <c:pt idx="72">
                <c:v>4.0000000000000001E-3</c:v>
              </c:pt>
              <c:pt idx="73">
                <c:v>4.0000000000000001E-3</c:v>
              </c:pt>
              <c:pt idx="74">
                <c:v>4.0000000000000001E-3</c:v>
              </c:pt>
              <c:pt idx="75">
                <c:v>4.0000000000000001E-3</c:v>
              </c:pt>
              <c:pt idx="76">
                <c:v>4.0000000000000001E-3</c:v>
              </c:pt>
              <c:pt idx="77">
                <c:v>4.0000000000000001E-3</c:v>
              </c:pt>
              <c:pt idx="78">
                <c:v>4.0000000000000001E-3</c:v>
              </c:pt>
              <c:pt idx="79">
                <c:v>4.0000000000000001E-3</c:v>
              </c:pt>
              <c:pt idx="80">
                <c:v>4.0000000000000001E-3</c:v>
              </c:pt>
              <c:pt idx="81">
                <c:v>4.0000000000000001E-3</c:v>
              </c:pt>
              <c:pt idx="82">
                <c:v>4.0000000000000001E-3</c:v>
              </c:pt>
              <c:pt idx="83">
                <c:v>4.0000000000000001E-3</c:v>
              </c:pt>
              <c:pt idx="84">
                <c:v>4.0000000000000001E-3</c:v>
              </c:pt>
              <c:pt idx="85">
                <c:v>4.0000000000000001E-3</c:v>
              </c:pt>
              <c:pt idx="86">
                <c:v>4.0000000000000001E-3</c:v>
              </c:pt>
              <c:pt idx="87">
                <c:v>4.0000000000000001E-3</c:v>
              </c:pt>
              <c:pt idx="88">
                <c:v>4.0000000000000001E-3</c:v>
              </c:pt>
              <c:pt idx="89">
                <c:v>4.0000000000000001E-3</c:v>
              </c:pt>
              <c:pt idx="90">
                <c:v>4.0000000000000001E-3</c:v>
              </c:pt>
              <c:pt idx="91">
                <c:v>4.0000000000000001E-3</c:v>
              </c:pt>
              <c:pt idx="92">
                <c:v>4.0000000000000001E-3</c:v>
              </c:pt>
              <c:pt idx="93">
                <c:v>4.0000000000000001E-3</c:v>
              </c:pt>
              <c:pt idx="94">
                <c:v>4.0000000000000001E-3</c:v>
              </c:pt>
              <c:pt idx="95">
                <c:v>4.0000000000000001E-3</c:v>
              </c:pt>
              <c:pt idx="96">
                <c:v>4.0000000000000001E-3</c:v>
              </c:pt>
              <c:pt idx="97">
                <c:v>4.0000000000000001E-3</c:v>
              </c:pt>
              <c:pt idx="98">
                <c:v>4.0000000000000001E-3</c:v>
              </c:pt>
              <c:pt idx="99">
                <c:v>4.0000000000000001E-3</c:v>
              </c:pt>
            </c:numLit>
          </c:yVal>
          <c:smooth val="0"/>
          <c:extLst>
            <c:ext xmlns:c16="http://schemas.microsoft.com/office/drawing/2014/chart" uri="{C3380CC4-5D6E-409C-BE32-E72D297353CC}">
              <c16:uniqueId val="{00000004-97EE-447B-859F-A4DADA4FAE35}"/>
            </c:ext>
          </c:extLst>
        </c:ser>
        <c:dLbls>
          <c:showLegendKey val="0"/>
          <c:showVal val="0"/>
          <c:showCatName val="0"/>
          <c:showSerName val="0"/>
          <c:showPercent val="0"/>
          <c:showBubbleSize val="0"/>
        </c:dLbls>
        <c:axId val="1757074687"/>
        <c:axId val="1757071327"/>
      </c:scatterChart>
      <c:valAx>
        <c:axId val="1757074687"/>
        <c:scaling>
          <c:orientation val="minMax"/>
          <c:max val="105"/>
          <c:min val="0"/>
        </c:scaling>
        <c:delete val="0"/>
        <c:axPos val="b"/>
        <c:title>
          <c:tx>
            <c:rich>
              <a:bodyPr/>
              <a:lstStyle/>
              <a:p>
                <a:pPr>
                  <a:defRPr altLang="zh-CN" sz="1500" b="0"/>
                </a:pPr>
                <a:r>
                  <a:rPr lang="en-US"/>
                  <a:t>Time (year)</a:t>
                </a:r>
              </a:p>
            </c:rich>
          </c:tx>
          <c:overlay val="0"/>
        </c:title>
        <c:numFmt formatCode="General" sourceLinked="1"/>
        <c:majorTickMark val="none"/>
        <c:minorTickMark val="none"/>
        <c:tickLblPos val="nextTo"/>
        <c:spPr>
          <a:ln w="25400"/>
        </c:spPr>
        <c:txPr>
          <a:bodyPr/>
          <a:lstStyle/>
          <a:p>
            <a:pPr>
              <a:defRPr sz="1200"/>
            </a:pPr>
            <a:endParaRPr lang="zh-CN"/>
          </a:p>
        </c:txPr>
        <c:crossAx val="1757071327"/>
        <c:crosses val="autoZero"/>
        <c:crossBetween val="midCat"/>
      </c:valAx>
      <c:valAx>
        <c:axId val="1757071327"/>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altLang="zh-CN" sz="1500" b="0"/>
                </a:pPr>
                <a:r>
                  <a:rPr lang="en-US"/>
                  <a:t>Groundwater concentration (ug/l)</a:t>
                </a:r>
              </a:p>
            </c:rich>
          </c:tx>
          <c:overlay val="0"/>
        </c:title>
        <c:numFmt formatCode="0.00E+00" sourceLinked="1"/>
        <c:majorTickMark val="none"/>
        <c:minorTickMark val="none"/>
        <c:tickLblPos val="nextTo"/>
        <c:spPr>
          <a:ln w="25400"/>
        </c:spPr>
        <c:txPr>
          <a:bodyPr/>
          <a:lstStyle/>
          <a:p>
            <a:pPr>
              <a:defRPr sz="1200"/>
            </a:pPr>
            <a:endParaRPr lang="zh-CN"/>
          </a:p>
        </c:txPr>
        <c:crossAx val="1757074687"/>
        <c:crosses val="autoZero"/>
        <c:crossBetween val="midCat"/>
      </c:valAx>
    </c:plotArea>
    <c:legend>
      <c:legendPos val="r"/>
      <c:layout>
        <c:manualLayout>
          <c:xMode val="edge"/>
          <c:yMode val="edge"/>
          <c:x val="0.64069551319161633"/>
          <c:y val="0.12450638422972103"/>
          <c:w val="0.30020316461194263"/>
          <c:h val="0.17394162762954327"/>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c:v>
              </c:pt>
              <c:pt idx="91">
                <c:v>13.2</c:v>
              </c:pt>
              <c:pt idx="92">
                <c:v>12.8</c:v>
              </c:pt>
              <c:pt idx="93">
                <c:v>12.4</c:v>
              </c:pt>
              <c:pt idx="94">
                <c:v>12</c:v>
              </c:pt>
              <c:pt idx="95">
                <c:v>11.6</c:v>
              </c:pt>
              <c:pt idx="96">
                <c:v>11.2</c:v>
              </c:pt>
              <c:pt idx="97">
                <c:v>10.8</c:v>
              </c:pt>
              <c:pt idx="98">
                <c:v>10.4</c:v>
              </c:pt>
              <c:pt idx="99">
                <c:v>10</c:v>
              </c:pt>
              <c:pt idx="100">
                <c:v>9.84</c:v>
              </c:pt>
              <c:pt idx="101">
                <c:v>9.68</c:v>
              </c:pt>
              <c:pt idx="102">
                <c:v>9.52</c:v>
              </c:pt>
              <c:pt idx="103">
                <c:v>9.36</c:v>
              </c:pt>
              <c:pt idx="104">
                <c:v>9.1999999999999993</c:v>
              </c:pt>
              <c:pt idx="105">
                <c:v>9.0399999999999991</c:v>
              </c:pt>
              <c:pt idx="106">
                <c:v>8.8800000000000008</c:v>
              </c:pt>
              <c:pt idx="107">
                <c:v>8.7200000000000006</c:v>
              </c:pt>
              <c:pt idx="108">
                <c:v>8.56</c:v>
              </c:pt>
              <c:pt idx="109">
                <c:v>8.4</c:v>
              </c:pt>
              <c:pt idx="110">
                <c:v>8.24</c:v>
              </c:pt>
              <c:pt idx="111">
                <c:v>8.08</c:v>
              </c:pt>
              <c:pt idx="112">
                <c:v>7.92</c:v>
              </c:pt>
              <c:pt idx="113">
                <c:v>7.76</c:v>
              </c:pt>
              <c:pt idx="114">
                <c:v>7.6</c:v>
              </c:pt>
              <c:pt idx="115">
                <c:v>7.44</c:v>
              </c:pt>
              <c:pt idx="116">
                <c:v>7.28</c:v>
              </c:pt>
              <c:pt idx="117">
                <c:v>7.12</c:v>
              </c:pt>
              <c:pt idx="118">
                <c:v>6.96</c:v>
              </c:pt>
              <c:pt idx="119">
                <c:v>6.8</c:v>
              </c:pt>
              <c:pt idx="120">
                <c:v>6.64</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3.6</c:v>
              </c:pt>
              <c:pt idx="140">
                <c:v>3.44</c:v>
              </c:pt>
              <c:pt idx="141">
                <c:v>3.28</c:v>
              </c:pt>
              <c:pt idx="142">
                <c:v>3.12</c:v>
              </c:pt>
              <c:pt idx="143">
                <c:v>2.96</c:v>
              </c:pt>
              <c:pt idx="144">
                <c:v>2.8</c:v>
              </c:pt>
              <c:pt idx="145">
                <c:v>2.64</c:v>
              </c:pt>
              <c:pt idx="146">
                <c:v>2.48</c:v>
              </c:pt>
              <c:pt idx="147">
                <c:v>2.3199999999999998</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1.86</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c:v>
              </c:pt>
              <c:pt idx="186">
                <c:v>1.63</c:v>
              </c:pt>
              <c:pt idx="187">
                <c:v>1.62</c:v>
              </c:pt>
              <c:pt idx="188">
                <c:v>1.61</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c:v>
              </c:pt>
              <c:pt idx="207">
                <c:v>1.42</c:v>
              </c:pt>
              <c:pt idx="208">
                <c:v>1.41</c:v>
              </c:pt>
              <c:pt idx="209">
                <c:v>1.4</c:v>
              </c:pt>
              <c:pt idx="210">
                <c:v>1.39</c:v>
              </c:pt>
              <c:pt idx="211">
                <c:v>1.38</c:v>
              </c:pt>
              <c:pt idx="212">
                <c:v>1.37</c:v>
              </c:pt>
              <c:pt idx="213">
                <c:v>1.36</c:v>
              </c:pt>
              <c:pt idx="214">
                <c:v>1.35</c:v>
              </c:pt>
              <c:pt idx="215">
                <c:v>1.34</c:v>
              </c:pt>
              <c:pt idx="216">
                <c:v>1.33</c:v>
              </c:pt>
              <c:pt idx="217">
                <c:v>1.32</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c:v>
              </c:pt>
              <c:pt idx="232">
                <c:v>1.17</c:v>
              </c:pt>
              <c:pt idx="233">
                <c:v>1.1599999999999999</c:v>
              </c:pt>
              <c:pt idx="234">
                <c:v>1.1499999999999999</c:v>
              </c:pt>
              <c:pt idx="235">
                <c:v>1.1399999999999999</c:v>
              </c:pt>
              <c:pt idx="236">
                <c:v>1.1299999999999999</c:v>
              </c:pt>
              <c:pt idx="237">
                <c:v>1.1200000000000001</c:v>
              </c:pt>
              <c:pt idx="238">
                <c:v>1.1100000000000001</c:v>
              </c:pt>
              <c:pt idx="239">
                <c:v>1.1000000000000001</c:v>
              </c:pt>
              <c:pt idx="240">
                <c:v>1.0900000000000001</c:v>
              </c:pt>
              <c:pt idx="241">
                <c:v>1.08</c:v>
              </c:pt>
              <c:pt idx="242">
                <c:v>1.07</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0.93</c:v>
              </c:pt>
              <c:pt idx="257">
                <c:v>0.92</c:v>
              </c:pt>
              <c:pt idx="258">
                <c:v>0.91</c:v>
              </c:pt>
              <c:pt idx="259">
                <c:v>0.9</c:v>
              </c:pt>
              <c:pt idx="260">
                <c:v>0.89</c:v>
              </c:pt>
              <c:pt idx="261">
                <c:v>0.88</c:v>
              </c:pt>
              <c:pt idx="262">
                <c:v>0.87</c:v>
              </c:pt>
              <c:pt idx="263">
                <c:v>0.86</c:v>
              </c:pt>
              <c:pt idx="264">
                <c:v>0.85</c:v>
              </c:pt>
              <c:pt idx="265">
                <c:v>0.84</c:v>
              </c:pt>
              <c:pt idx="266">
                <c:v>0.83</c:v>
              </c:pt>
              <c:pt idx="267">
                <c:v>0.82</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0.68</c:v>
              </c:pt>
              <c:pt idx="282">
                <c:v>0.67</c:v>
              </c:pt>
              <c:pt idx="283">
                <c:v>0.66</c:v>
              </c:pt>
              <c:pt idx="284">
                <c:v>0.65</c:v>
              </c:pt>
              <c:pt idx="285">
                <c:v>0.64</c:v>
              </c:pt>
              <c:pt idx="286">
                <c:v>0.63</c:v>
              </c:pt>
              <c:pt idx="287">
                <c:v>0.62</c:v>
              </c:pt>
              <c:pt idx="288">
                <c:v>0.61</c:v>
              </c:pt>
              <c:pt idx="289">
                <c:v>0.6</c:v>
              </c:pt>
              <c:pt idx="290">
                <c:v>0.59</c:v>
              </c:pt>
              <c:pt idx="291">
                <c:v>0.57999999999999996</c:v>
              </c:pt>
              <c:pt idx="292">
                <c:v>0.56999999999999995</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35DF-44EB-A72B-18E60E3CBE40}"/>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35DF-44EB-A72B-18E60E3CBE40}"/>
            </c:ext>
          </c:extLst>
        </c:ser>
        <c:dLbls>
          <c:showLegendKey val="0"/>
          <c:showVal val="0"/>
          <c:showCatName val="0"/>
          <c:showSerName val="0"/>
          <c:showPercent val="0"/>
          <c:showBubbleSize val="0"/>
        </c:dLbls>
        <c:axId val="2066867792"/>
        <c:axId val="2066890352"/>
      </c:scatterChart>
      <c:valAx>
        <c:axId val="2066867792"/>
        <c:scaling>
          <c:orientation val="minMax"/>
          <c:max val="100"/>
          <c:min val="0"/>
        </c:scaling>
        <c:delete val="0"/>
        <c:axPos val="t"/>
        <c:title>
          <c:tx>
            <c:rich>
              <a:bodyPr/>
              <a:lstStyle/>
              <a:p>
                <a:pPr>
                  <a:defRPr b="0">
                    <a:latin typeface="Arial" panose="020B0604020202020204" pitchFamily="34" charset="0"/>
                  </a:defRPr>
                </a:pPr>
                <a:r>
                  <a:rPr lang="en-US" altLang="zh-CN"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2066890352"/>
        <c:crosses val="autoZero"/>
        <c:crossBetween val="midCat"/>
      </c:valAx>
      <c:valAx>
        <c:axId val="2066890352"/>
        <c:scaling>
          <c:orientation val="maxMin"/>
          <c:max val="300"/>
          <c:min val="0"/>
        </c:scaling>
        <c:delete val="0"/>
        <c:axPos val="l"/>
        <c:title>
          <c:tx>
            <c:rich>
              <a:bodyPr/>
              <a:lstStyle/>
              <a:p>
                <a:pPr>
                  <a:defRPr b="0">
                    <a:latin typeface="Arial" panose="020B0604020202020204" pitchFamily="34" charset="0"/>
                  </a:defRPr>
                </a:pPr>
                <a:r>
                  <a:rPr lang="en-US" altLang="zh-CN"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2066867792"/>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tLang="zh-CN"/>
              <a:t>Vadose-zone mass discharge rate</a:t>
            </a:r>
          </a:p>
        </c:rich>
      </c:tx>
      <c:overlay val="0"/>
    </c:title>
    <c:autoTitleDeleted val="0"/>
    <c:plotArea>
      <c:layout>
        <c:manualLayout>
          <c:xMode val="edge"/>
          <c:yMode val="edge"/>
          <c:x val="5.5652324538494384E-2"/>
          <c:y val="0.11003656062760001"/>
          <c:w val="0.89321721055380687"/>
          <c:h val="0.83781274780934278"/>
        </c:manualLayout>
      </c:layout>
      <c:scatterChart>
        <c:scatterStyle val="lineMarker"/>
        <c:varyColors val="0"/>
        <c:ser>
          <c:idx val="0"/>
          <c:order val="0"/>
          <c:tx>
            <c:v>Mean mass discharge rate (ug/yr)</c:v>
          </c:tx>
          <c:spPr>
            <a:ln w="25400">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184032.81871979081</c:v>
                </c:pt>
                <c:pt idx="1">
                  <c:v>195411.49682373015</c:v>
                </c:pt>
                <c:pt idx="2">
                  <c:v>211846.25615117975</c:v>
                </c:pt>
                <c:pt idx="3">
                  <c:v>229342.35361066373</c:v>
                </c:pt>
                <c:pt idx="4">
                  <c:v>247166.45841910376</c:v>
                </c:pt>
                <c:pt idx="5">
                  <c:v>265388.94612279726</c:v>
                </c:pt>
                <c:pt idx="6">
                  <c:v>284808.02182551741</c:v>
                </c:pt>
                <c:pt idx="7">
                  <c:v>307042.17940214957</c:v>
                </c:pt>
                <c:pt idx="8">
                  <c:v>334444.21780724922</c:v>
                </c:pt>
                <c:pt idx="9">
                  <c:v>369916.05305423902</c:v>
                </c:pt>
                <c:pt idx="10">
                  <c:v>416760.85537412943</c:v>
                </c:pt>
                <c:pt idx="11">
                  <c:v>478620.80442905216</c:v>
                </c:pt>
                <c:pt idx="12">
                  <c:v>559454.7109257424</c:v>
                </c:pt>
                <c:pt idx="13">
                  <c:v>663459.93307169981</c:v>
                </c:pt>
                <c:pt idx="14">
                  <c:v>794853.38800950174</c:v>
                </c:pt>
                <c:pt idx="15">
                  <c:v>957486.13162766118</c:v>
                </c:pt>
                <c:pt idx="16">
                  <c:v>1154340.3373031283</c:v>
                </c:pt>
                <c:pt idx="17">
                  <c:v>1387009.8922076749</c:v>
                </c:pt>
                <c:pt idx="18">
                  <c:v>1655277.6908061088</c:v>
                </c:pt>
                <c:pt idx="19">
                  <c:v>1956877.4309144204</c:v>
                </c:pt>
                <c:pt idx="20">
                  <c:v>2287481.8609056678</c:v>
                </c:pt>
                <c:pt idx="21">
                  <c:v>2640911.4133060146</c:v>
                </c:pt>
                <c:pt idx="22">
                  <c:v>3009520.0314512602</c:v>
                </c:pt>
                <c:pt idx="23">
                  <c:v>3384694.344351334</c:v>
                </c:pt>
                <c:pt idx="24">
                  <c:v>3757397.6846978515</c:v>
                </c:pt>
                <c:pt idx="25">
                  <c:v>4118697.8238915605</c:v>
                </c:pt>
                <c:pt idx="26">
                  <c:v>4460231.6865543667</c:v>
                </c:pt>
                <c:pt idx="27">
                  <c:v>4774577.1692289533</c:v>
                </c:pt>
                <c:pt idx="28">
                  <c:v>5055518.2144353958</c:v>
                </c:pt>
                <c:pt idx="29">
                  <c:v>5298202.5262360284</c:v>
                </c:pt>
                <c:pt idx="30">
                  <c:v>5499200.9461422861</c:v>
                </c:pt>
                <c:pt idx="31">
                  <c:v>5656483.5386090465</c:v>
                </c:pt>
                <c:pt idx="32">
                  <c:v>5769330.3444420528</c:v>
                </c:pt>
                <c:pt idx="33">
                  <c:v>5838195.2456141952</c:v>
                </c:pt>
                <c:pt idx="34">
                  <c:v>5864540.177678504</c:v>
                </c:pt>
                <c:pt idx="35">
                  <c:v>5850654.6834668843</c:v>
                </c:pt>
                <c:pt idx="36">
                  <c:v>5799473.0560457669</c:v>
                </c:pt>
                <c:pt idx="37">
                  <c:v>5714398.4639174426</c:v>
                </c:pt>
                <c:pt idx="38">
                  <c:v>5599140.7532034935</c:v>
                </c:pt>
                <c:pt idx="39">
                  <c:v>5457572.2392550623</c:v>
                </c:pt>
                <c:pt idx="40">
                  <c:v>5293603.8108840613</c:v>
                </c:pt>
                <c:pt idx="41">
                  <c:v>5111082.0926432395</c:v>
                </c:pt>
                <c:pt idx="42">
                  <c:v>4913707.2241988415</c:v>
                </c:pt>
                <c:pt idx="43">
                  <c:v>4704969.9781034179</c:v>
                </c:pt>
                <c:pt idx="44">
                  <c:v>4488106.3945918772</c:v>
                </c:pt>
                <c:pt idx="45">
                  <c:v>4266067.8081073631</c:v>
                </c:pt>
                <c:pt idx="46">
                  <c:v>4041504.021395003</c:v>
                </c:pt>
                <c:pt idx="47">
                  <c:v>3816757.4010610399</c:v>
                </c:pt>
                <c:pt idx="48">
                  <c:v>3593865.7823997778</c:v>
                </c:pt>
                <c:pt idx="49">
                  <c:v>3374572.2473561503</c:v>
                </c:pt>
                <c:pt idx="50">
                  <c:v>3160340.0511022983</c:v>
                </c:pt>
                <c:pt idx="51">
                  <c:v>2952371.1996030654</c:v>
                </c:pt>
                <c:pt idx="52">
                  <c:v>2751627.4079269399</c:v>
                </c:pt>
                <c:pt idx="53">
                  <c:v>2558852.3866441059</c:v>
                </c:pt>
                <c:pt idx="54">
                  <c:v>2374594.6047737836</c:v>
                </c:pt>
                <c:pt idx="55">
                  <c:v>2199229.8585394868</c:v>
                </c:pt>
                <c:pt idx="56">
                  <c:v>2032983.133907927</c:v>
                </c:pt>
                <c:pt idx="57">
                  <c:v>1875949.3872938091</c:v>
                </c:pt>
                <c:pt idx="58">
                  <c:v>1728112.9837268237</c:v>
                </c:pt>
                <c:pt idx="59">
                  <c:v>1589365.6267027401</c:v>
                </c:pt>
                <c:pt idx="60">
                  <c:v>1459522.6907731851</c:v>
                </c:pt>
                <c:pt idx="61">
                  <c:v>1338337.9287584648</c:v>
                </c:pt>
                <c:pt idx="62">
                  <c:v>1225516.5724154986</c:v>
                </c:pt>
                <c:pt idx="63">
                  <c:v>1120726.880516279</c:v>
                </c:pt>
                <c:pt idx="64">
                  <c:v>1023610.2135134281</c:v>
                </c:pt>
                <c:pt idx="65">
                  <c:v>933789.73103618575</c:v>
                </c:pt>
                <c:pt idx="66">
                  <c:v>850877.81892979238</c:v>
                </c:pt>
                <c:pt idx="67">
                  <c:v>774482.35778132535</c:v>
                </c:pt>
                <c:pt idx="68">
                  <c:v>704211.94603313133</c:v>
                </c:pt>
                <c:pt idx="69">
                  <c:v>639680.18885704433</c:v>
                </c:pt>
                <c:pt idx="70">
                  <c:v>580509.15977148514</c:v>
                </c:pt>
                <c:pt idx="71">
                  <c:v>526332.13620337239</c:v>
                </c:pt>
                <c:pt idx="72">
                  <c:v>476795.70337405097</c:v>
                </c:pt>
                <c:pt idx="73">
                  <c:v>431561.31345723878</c:v>
                </c:pt>
                <c:pt idx="74">
                  <c:v>390306.37925619737</c:v>
                </c:pt>
                <c:pt idx="75">
                  <c:v>352724.97393707163</c:v>
                </c:pt>
                <c:pt idx="76">
                  <c:v>318528.20082783926</c:v>
                </c:pt>
                <c:pt idx="77">
                  <c:v>287444.29008706124</c:v>
                </c:pt>
                <c:pt idx="78">
                  <c:v>259218.47225820375</c:v>
                </c:pt>
                <c:pt idx="79">
                  <c:v>233612.6724138562</c:v>
                </c:pt>
                <c:pt idx="80">
                  <c:v>210405.06279222274</c:v>
                </c:pt>
                <c:pt idx="81">
                  <c:v>189389.50654734351</c:v>
                </c:pt>
                <c:pt idx="82">
                  <c:v>170374.92047024603</c:v>
                </c:pt>
                <c:pt idx="83">
                  <c:v>153184.58027458604</c:v>
                </c:pt>
                <c:pt idx="84">
                  <c:v>137655.38825324998</c:v>
                </c:pt>
                <c:pt idx="85">
                  <c:v>123637.11977218094</c:v>
                </c:pt>
                <c:pt idx="86">
                  <c:v>110991.66214160988</c:v>
                </c:pt>
                <c:pt idx="87">
                  <c:v>99592.256858502355</c:v>
                </c:pt>
                <c:pt idx="88">
                  <c:v>89322.754012564954</c:v>
                </c:pt>
                <c:pt idx="89">
                  <c:v>80076.885757634023</c:v>
                </c:pt>
                <c:pt idx="90">
                  <c:v>71757.564137739857</c:v>
                </c:pt>
                <c:pt idx="91">
                  <c:v>64276.207191682828</c:v>
                </c:pt>
                <c:pt idx="92">
                  <c:v>57552.096112525694</c:v>
                </c:pt>
                <c:pt idx="93">
                  <c:v>51511.765282282016</c:v>
                </c:pt>
                <c:pt idx="94">
                  <c:v>46088.426212766994</c:v>
                </c:pt>
                <c:pt idx="95">
                  <c:v>41221.425778936406</c:v>
                </c:pt>
                <c:pt idx="96">
                  <c:v>36855.738611074281</c:v>
                </c:pt>
                <c:pt idx="97">
                  <c:v>32941.493099064959</c:v>
                </c:pt>
                <c:pt idx="98">
                  <c:v>29433.530139904673</c:v>
                </c:pt>
                <c:pt idx="99">
                  <c:v>26290.993514507714</c:v>
                </c:pt>
              </c:numCache>
            </c:numRef>
          </c:yVal>
          <c:smooth val="0"/>
          <c:extLst>
            <c:ext xmlns:c16="http://schemas.microsoft.com/office/drawing/2014/chart" uri="{C3380CC4-5D6E-409C-BE32-E72D297353CC}">
              <c16:uniqueId val="{00000003-D0E7-4F5D-B260-E63B1670CF8F}"/>
            </c:ext>
          </c:extLst>
        </c:ser>
        <c:ser>
          <c:idx val="1"/>
          <c:order val="1"/>
          <c:tx>
            <c:v>Right bound mass discharge rate (ug/yr)</c:v>
          </c:tx>
          <c:spPr>
            <a:ln w="38100">
              <a:prstDash val="dash"/>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503673.17509955307</c:v>
                </c:pt>
                <c:pt idx="1">
                  <c:v>611292.14097010985</c:v>
                </c:pt>
                <c:pt idx="2">
                  <c:v>729553.85879151034</c:v>
                </c:pt>
                <c:pt idx="3">
                  <c:v>909656.79915311933</c:v>
                </c:pt>
                <c:pt idx="4">
                  <c:v>1261388.3665099472</c:v>
                </c:pt>
                <c:pt idx="5">
                  <c:v>1929080.8335596493</c:v>
                </c:pt>
                <c:pt idx="6">
                  <c:v>3061727.5357399164</c:v>
                </c:pt>
                <c:pt idx="7">
                  <c:v>4730623.3123894474</c:v>
                </c:pt>
                <c:pt idx="8">
                  <c:v>6842139.8168143127</c:v>
                </c:pt>
                <c:pt idx="9">
                  <c:v>9138887.219434347</c:v>
                </c:pt>
                <c:pt idx="10">
                  <c:v>11291140.565955644</c:v>
                </c:pt>
                <c:pt idx="11">
                  <c:v>13007883.012105359</c:v>
                </c:pt>
                <c:pt idx="12">
                  <c:v>14108186.781626515</c:v>
                </c:pt>
                <c:pt idx="13">
                  <c:v>14538022.746734345</c:v>
                </c:pt>
                <c:pt idx="14">
                  <c:v>14347820.986968707</c:v>
                </c:pt>
                <c:pt idx="15">
                  <c:v>13653548.028217057</c:v>
                </c:pt>
                <c:pt idx="16">
                  <c:v>12598499.202332111</c:v>
                </c:pt>
                <c:pt idx="17">
                  <c:v>11324427.409027664</c:v>
                </c:pt>
                <c:pt idx="18">
                  <c:v>9953999.9761408642</c:v>
                </c:pt>
                <c:pt idx="19">
                  <c:v>8582957.1557485573</c:v>
                </c:pt>
                <c:pt idx="20">
                  <c:v>7279077.2184653226</c:v>
                </c:pt>
                <c:pt idx="21">
                  <c:v>6085130.6206098972</c:v>
                </c:pt>
                <c:pt idx="22">
                  <c:v>5023644.9682160756</c:v>
                </c:pt>
                <c:pt idx="23">
                  <c:v>4102040.2639446212</c:v>
                </c:pt>
                <c:pt idx="24">
                  <c:v>3317317.308934819</c:v>
                </c:pt>
                <c:pt idx="25">
                  <c:v>2659929.1009679083</c:v>
                </c:pt>
                <c:pt idx="26">
                  <c:v>2116747.2801788379</c:v>
                </c:pt>
                <c:pt idx="27">
                  <c:v>1673191.3427351995</c:v>
                </c:pt>
                <c:pt idx="28">
                  <c:v>1314658.2361382742</c:v>
                </c:pt>
                <c:pt idx="29">
                  <c:v>1027407.6254674224</c:v>
                </c:pt>
                <c:pt idx="30">
                  <c:v>799047.66904597334</c:v>
                </c:pt>
                <c:pt idx="31">
                  <c:v>618743.21212811454</c:v>
                </c:pt>
                <c:pt idx="32">
                  <c:v>477242.15008957603</c:v>
                </c:pt>
                <c:pt idx="33">
                  <c:v>366791.2108724867</c:v>
                </c:pt>
                <c:pt idx="34">
                  <c:v>280991.69755694846</c:v>
                </c:pt>
                <c:pt idx="35">
                  <c:v>214629.36837342728</c:v>
                </c:pt>
                <c:pt idx="36">
                  <c:v>163500.34398852824</c:v>
                </c:pt>
                <c:pt idx="37">
                  <c:v>124246.09663883904</c:v>
                </c:pt>
                <c:pt idx="38">
                  <c:v>94204.478615737578</c:v>
                </c:pt>
                <c:pt idx="39">
                  <c:v>71279.71942839316</c:v>
                </c:pt>
                <c:pt idx="40">
                  <c:v>53831.794512226574</c:v>
                </c:pt>
                <c:pt idx="41">
                  <c:v>40584.092714008555</c:v>
                </c:pt>
                <c:pt idx="42">
                  <c:v>30547.542824479082</c:v>
                </c:pt>
                <c:pt idx="43">
                  <c:v>22959.05110409086</c:v>
                </c:pt>
                <c:pt idx="44">
                  <c:v>17232.075328972274</c:v>
                </c:pt>
                <c:pt idx="45">
                  <c:v>12917.29544187487</c:v>
                </c:pt>
                <c:pt idx="46">
                  <c:v>9671.5564780135992</c:v>
                </c:pt>
                <c:pt idx="47">
                  <c:v>7233.5052832116762</c:v>
                </c:pt>
                <c:pt idx="48">
                  <c:v>5404.5880719403976</c:v>
                </c:pt>
                <c:pt idx="49">
                  <c:v>4034.3040575721584</c:v>
                </c:pt>
                <c:pt idx="50">
                  <c:v>3008.8129986295012</c:v>
                </c:pt>
                <c:pt idx="51">
                  <c:v>2242.1688020822558</c:v>
                </c:pt>
                <c:pt idx="52">
                  <c:v>1669.5978033346207</c:v>
                </c:pt>
                <c:pt idx="53">
                  <c:v>1242.3612489219877</c:v>
                </c:pt>
                <c:pt idx="54">
                  <c:v>923.83989071042049</c:v>
                </c:pt>
                <c:pt idx="55">
                  <c:v>686.55772949783852</c:v>
                </c:pt>
                <c:pt idx="56">
                  <c:v>509.92497765703939</c:v>
                </c:pt>
                <c:pt idx="57">
                  <c:v>378.53011239882454</c:v>
                </c:pt>
                <c:pt idx="58">
                  <c:v>280.84996754894644</c:v>
                </c:pt>
                <c:pt idx="59">
                  <c:v>208.27728890620213</c:v>
                </c:pt>
                <c:pt idx="60">
                  <c:v>154.38882469288134</c:v>
                </c:pt>
                <c:pt idx="61">
                  <c:v>114.39528529032499</c:v>
                </c:pt>
                <c:pt idx="62">
                  <c:v>84.728554069530858</c:v>
                </c:pt>
                <c:pt idx="63">
                  <c:v>62.732297659303434</c:v>
                </c:pt>
                <c:pt idx="64">
                  <c:v>46.430349277707506</c:v>
                </c:pt>
                <c:pt idx="65">
                  <c:v>34.353504471935672</c:v>
                </c:pt>
                <c:pt idx="66">
                  <c:v>25.410129192877864</c:v>
                </c:pt>
                <c:pt idx="67">
                  <c:v>18.789588624495227</c:v>
                </c:pt>
                <c:pt idx="68">
                  <c:v>13.890234564443588</c:v>
                </c:pt>
                <c:pt idx="69">
                  <c:v>10.265749571973556</c:v>
                </c:pt>
                <c:pt idx="70">
                  <c:v>7.5851987591387857</c:v>
                </c:pt>
                <c:pt idx="71">
                  <c:v>5.6033082309384783</c:v>
                </c:pt>
                <c:pt idx="72">
                  <c:v>4.1383667021900807</c:v>
                </c:pt>
                <c:pt idx="73">
                  <c:v>3.0558051281048617</c:v>
                </c:pt>
                <c:pt idx="74">
                  <c:v>2.2560024201252205</c:v>
                </c:pt>
                <c:pt idx="75">
                  <c:v>1.6652344417571621</c:v>
                </c:pt>
                <c:pt idx="76">
                  <c:v>1.2289594235686188</c:v>
                </c:pt>
                <c:pt idx="77">
                  <c:v>0.90683901814224288</c:v>
                </c:pt>
                <c:pt idx="78">
                  <c:v>0.66904798013740552</c:v>
                </c:pt>
                <c:pt idx="79">
                  <c:v>0.49354008702289498</c:v>
                </c:pt>
                <c:pt idx="80">
                  <c:v>0.36402330422859058</c:v>
                </c:pt>
                <c:pt idx="81">
                  <c:v>0.26846075697915905</c:v>
                </c:pt>
                <c:pt idx="82">
                  <c:v>0.19796134803699419</c:v>
                </c:pt>
                <c:pt idx="83">
                  <c:v>0.14595900413076626</c:v>
                </c:pt>
                <c:pt idx="84">
                  <c:v>0.10760564225673185</c:v>
                </c:pt>
                <c:pt idx="85">
                  <c:v>7.9322332277683552E-2</c:v>
                </c:pt>
                <c:pt idx="86">
                  <c:v>5.8467518031082681E-2</c:v>
                </c:pt>
                <c:pt idx="87">
                  <c:v>4.3091829599402165E-2</c:v>
                </c:pt>
                <c:pt idx="88">
                  <c:v>3.175693039045388E-2</c:v>
                </c:pt>
                <c:pt idx="89">
                  <c:v>2.3401705301298537E-2</c:v>
                </c:pt>
                <c:pt idx="90">
                  <c:v>1.724343911444327E-2</c:v>
                </c:pt>
                <c:pt idx="91">
                  <c:v>1.2704850136598765E-2</c:v>
                </c:pt>
                <c:pt idx="92">
                  <c:v>9.3602245577047542E-3</c:v>
                </c:pt>
                <c:pt idx="93">
                  <c:v>6.8956585031028925E-3</c:v>
                </c:pt>
                <c:pt idx="94">
                  <c:v>5.0797178092915063E-3</c:v>
                </c:pt>
                <c:pt idx="95">
                  <c:v>3.7417891983704452E-3</c:v>
                </c:pt>
                <c:pt idx="96">
                  <c:v>2.7561089673396222E-3</c:v>
                </c:pt>
                <c:pt idx="97">
                  <c:v>2.0299818914030904E-3</c:v>
                </c:pt>
                <c:pt idx="98">
                  <c:v>1.4950921546998416E-3</c:v>
                </c:pt>
                <c:pt idx="99">
                  <c:v>1.1010955877172302E-3</c:v>
                </c:pt>
              </c:numCache>
            </c:numRef>
          </c:yVal>
          <c:smooth val="0"/>
          <c:extLst>
            <c:ext xmlns:c16="http://schemas.microsoft.com/office/drawing/2014/chart" uri="{C3380CC4-5D6E-409C-BE32-E72D297353CC}">
              <c16:uniqueId val="{00000004-D0E7-4F5D-B260-E63B1670CF8F}"/>
            </c:ext>
          </c:extLst>
        </c:ser>
        <c:ser>
          <c:idx val="2"/>
          <c:order val="2"/>
          <c:tx>
            <c:v>Left bound mass discharge rate (ug/yr)</c:v>
          </c:tx>
          <c:spPr>
            <a:ln w="38100">
              <a:prstDash val="sysDashDotDot"/>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84480.299508755634</c:v>
                </c:pt>
                <c:pt idx="1">
                  <c:v>81069.626539196048</c:v>
                </c:pt>
                <c:pt idx="2">
                  <c:v>82223.871479484616</c:v>
                </c:pt>
                <c:pt idx="3">
                  <c:v>84650.45645706974</c:v>
                </c:pt>
                <c:pt idx="4">
                  <c:v>87590.789252134273</c:v>
                </c:pt>
                <c:pt idx="5">
                  <c:v>90776.964916429744</c:v>
                </c:pt>
                <c:pt idx="6">
                  <c:v>94092.179896303875</c:v>
                </c:pt>
                <c:pt idx="7">
                  <c:v>97478.701751248038</c:v>
                </c:pt>
                <c:pt idx="8">
                  <c:v>100905.96943486536</c:v>
                </c:pt>
                <c:pt idx="9">
                  <c:v>104358.33592688423</c:v>
                </c:pt>
                <c:pt idx="10">
                  <c:v>107830.88892378617</c:v>
                </c:pt>
                <c:pt idx="11">
                  <c:v>111329.06997750893</c:v>
                </c:pt>
                <c:pt idx="12">
                  <c:v>114869.90678811142</c:v>
                </c:pt>
                <c:pt idx="13">
                  <c:v>118483.50351528829</c:v>
                </c:pt>
                <c:pt idx="14">
                  <c:v>122214.00769451429</c:v>
                </c:pt>
                <c:pt idx="15">
                  <c:v>126119.74784934572</c:v>
                </c:pt>
                <c:pt idx="16">
                  <c:v>130272.57730209018</c:v>
                </c:pt>
                <c:pt idx="17">
                  <c:v>134756.64737702004</c:v>
                </c:pt>
                <c:pt idx="18">
                  <c:v>139666.89312958156</c:v>
                </c:pt>
                <c:pt idx="19">
                  <c:v>145107.49291288611</c:v>
                </c:pt>
                <c:pt idx="20">
                  <c:v>151190.50087052429</c:v>
                </c:pt>
                <c:pt idx="21">
                  <c:v>158034.77575545086</c:v>
                </c:pt>
                <c:pt idx="22">
                  <c:v>165765.25416047851</c:v>
                </c:pt>
                <c:pt idx="23">
                  <c:v>174512.54752132425</c:v>
                </c:pt>
                <c:pt idx="24">
                  <c:v>184412.78355794447</c:v>
                </c:pt>
                <c:pt idx="25">
                  <c:v>195607.56731404964</c:v>
                </c:pt>
                <c:pt idx="26">
                  <c:v>208243.90786897845</c:v>
                </c:pt>
                <c:pt idx="27">
                  <c:v>222473.9466286572</c:v>
                </c:pt>
                <c:pt idx="28">
                  <c:v>238454.3326352789</c:v>
                </c:pt>
                <c:pt idx="29">
                  <c:v>256345.11807862841</c:v>
                </c:pt>
                <c:pt idx="30">
                  <c:v>276308.08945157641</c:v>
                </c:pt>
                <c:pt idx="31">
                  <c:v>298504.50126363768</c:v>
                </c:pt>
                <c:pt idx="32">
                  <c:v>323092.23387353448</c:v>
                </c:pt>
                <c:pt idx="33">
                  <c:v>350222.44896569801</c:v>
                </c:pt>
                <c:pt idx="34">
                  <c:v>380035.86054145073</c:v>
                </c:pt>
                <c:pt idx="35">
                  <c:v>412658.77249099454</c:v>
                </c:pt>
                <c:pt idx="36">
                  <c:v>448199.05391995132</c:v>
                </c:pt>
                <c:pt idx="37">
                  <c:v>486742.23002443154</c:v>
                </c:pt>
                <c:pt idx="38">
                  <c:v>528347.8603436416</c:v>
                </c:pt>
                <c:pt idx="39">
                  <c:v>573046.35953612719</c:v>
                </c:pt>
                <c:pt idx="40">
                  <c:v>620836.39088977315</c:v>
                </c:pt>
                <c:pt idx="41">
                  <c:v>671682.93230378465</c:v>
                </c:pt>
                <c:pt idx="42">
                  <c:v>725516.08115401573</c:v>
                </c:pt>
                <c:pt idx="43">
                  <c:v>782230.63069959357</c:v>
                </c:pt>
                <c:pt idx="44">
                  <c:v>841686.418544602</c:v>
                </c:pt>
                <c:pt idx="45">
                  <c:v>903709.41870482475</c:v>
                </c:pt>
                <c:pt idx="46">
                  <c:v>968093.52413759835</c:v>
                </c:pt>
                <c:pt idx="47">
                  <c:v>1034602.9468111654</c:v>
                </c:pt>
                <c:pt idx="48">
                  <c:v>1102975.1477592331</c:v>
                </c:pt>
                <c:pt idx="49">
                  <c:v>1172924.1999999608</c:v>
                </c:pt>
                <c:pt idx="50">
                  <c:v>1244144.482358692</c:v>
                </c:pt>
                <c:pt idx="51">
                  <c:v>1316314.6016059255</c:v>
                </c:pt>
                <c:pt idx="52">
                  <c:v>1389101.4432827318</c:v>
                </c:pt>
                <c:pt idx="53">
                  <c:v>1462164.2574599215</c:v>
                </c:pt>
                <c:pt idx="54">
                  <c:v>1535158.6937846965</c:v>
                </c:pt>
                <c:pt idx="55">
                  <c:v>1607740.7098595789</c:v>
                </c:pt>
                <c:pt idx="56">
                  <c:v>1679570.2876792545</c:v>
                </c:pt>
                <c:pt idx="57">
                  <c:v>1750314.9039988467</c:v>
                </c:pt>
                <c:pt idx="58">
                  <c:v>1819652.7116791501</c:v>
                </c:pt>
                <c:pt idx="59">
                  <c:v>1887275.3998902442</c:v>
                </c:pt>
                <c:pt idx="60">
                  <c:v>1952890.7112730748</c:v>
                </c:pt>
                <c:pt idx="61">
                  <c:v>2016224.6035531107</c:v>
                </c:pt>
                <c:pt idx="62">
                  <c:v>2077023.0515305691</c:v>
                </c:pt>
                <c:pt idx="63">
                  <c:v>2135053.492756587</c:v>
                </c:pt>
                <c:pt idx="64">
                  <c:v>2190105.9265101659</c:v>
                </c:pt>
                <c:pt idx="65">
                  <c:v>2241993.6809244365</c:v>
                </c:pt>
                <c:pt idx="66">
                  <c:v>2290553.8673092839</c:v>
                </c:pt>
                <c:pt idx="67">
                  <c:v>2335647.54394294</c:v>
                </c:pt>
                <c:pt idx="68">
                  <c:v>2377159.6139348471</c:v>
                </c:pt>
                <c:pt idx="69">
                  <c:v>2414998.4832845391</c:v>
                </c:pt>
                <c:pt idx="70">
                  <c:v>2449095.5060703475</c:v>
                </c:pt>
                <c:pt idx="71">
                  <c:v>2479404.2438932173</c:v>
                </c:pt>
                <c:pt idx="72">
                  <c:v>2505899.5663687424</c:v>
                </c:pt>
                <c:pt idx="73">
                  <c:v>2528576.6186951119</c:v>
                </c:pt>
                <c:pt idx="74">
                  <c:v>2547449.6812101626</c:v>
                </c:pt>
                <c:pt idx="75">
                  <c:v>2562550.9444652619</c:v>
                </c:pt>
                <c:pt idx="76">
                  <c:v>2573929.2217566841</c:v>
                </c:pt>
                <c:pt idx="77">
                  <c:v>2581648.6193296453</c:v>
                </c:pt>
                <c:pt idx="78">
                  <c:v>2585787.1826589974</c:v>
                </c:pt>
                <c:pt idx="79">
                  <c:v>2586435.535362049</c:v>
                </c:pt>
                <c:pt idx="80">
                  <c:v>2583695.5254505384</c:v>
                </c:pt>
                <c:pt idx="81">
                  <c:v>2577678.8918138221</c:v>
                </c:pt>
                <c:pt idx="82">
                  <c:v>2568505.9620697661</c:v>
                </c:pt>
                <c:pt idx="83">
                  <c:v>2556304.391243272</c:v>
                </c:pt>
                <c:pt idx="84">
                  <c:v>2541207.9491513022</c:v>
                </c:pt>
                <c:pt idx="85">
                  <c:v>2523355.3628977509</c:v>
                </c:pt>
                <c:pt idx="86">
                  <c:v>2502889.2195188431</c:v>
                </c:pt>
                <c:pt idx="87">
                  <c:v>2479954.9325743741</c:v>
                </c:pt>
                <c:pt idx="88">
                  <c:v>2454699.7753521255</c:v>
                </c:pt>
                <c:pt idx="89">
                  <c:v>2427271.9823424215</c:v>
                </c:pt>
                <c:pt idx="90">
                  <c:v>2397819.9197429074</c:v>
                </c:pt>
                <c:pt idx="91">
                  <c:v>2366491.324967009</c:v>
                </c:pt>
                <c:pt idx="92">
                  <c:v>2333432.6144471555</c:v>
                </c:pt>
                <c:pt idx="93">
                  <c:v>2298788.2584396112</c:v>
                </c:pt>
                <c:pt idx="94">
                  <c:v>2262700.2210456575</c:v>
                </c:pt>
                <c:pt idx="95">
                  <c:v>2225307.4632558785</c:v>
                </c:pt>
                <c:pt idx="96">
                  <c:v>2186745.5064941016</c:v>
                </c:pt>
                <c:pt idx="97">
                  <c:v>2147146.0538779143</c:v>
                </c:pt>
                <c:pt idx="98">
                  <c:v>2106636.6662160819</c:v>
                </c:pt>
                <c:pt idx="99">
                  <c:v>2065340.4896235887</c:v>
                </c:pt>
              </c:numCache>
            </c:numRef>
          </c:yVal>
          <c:smooth val="0"/>
          <c:extLst>
            <c:ext xmlns:c16="http://schemas.microsoft.com/office/drawing/2014/chart" uri="{C3380CC4-5D6E-409C-BE32-E72D297353CC}">
              <c16:uniqueId val="{00000005-D0E7-4F5D-B260-E63B1670CF8F}"/>
            </c:ext>
          </c:extLst>
        </c:ser>
        <c:dLbls>
          <c:showLegendKey val="0"/>
          <c:showVal val="0"/>
          <c:showCatName val="0"/>
          <c:showSerName val="0"/>
          <c:showPercent val="0"/>
          <c:showBubbleSize val="0"/>
        </c:dLbls>
        <c:axId val="91426336"/>
        <c:axId val="91441216"/>
      </c:scatterChart>
      <c:valAx>
        <c:axId val="91426336"/>
        <c:scaling>
          <c:orientation val="minMax"/>
          <c:max val="105"/>
          <c:min val="0"/>
        </c:scaling>
        <c:delete val="0"/>
        <c:axPos val="b"/>
        <c:title>
          <c:tx>
            <c:rich>
              <a:bodyPr/>
              <a:lstStyle/>
              <a:p>
                <a:pPr>
                  <a:defRPr altLang="zh-CN" sz="1500" b="0"/>
                </a:pPr>
                <a:r>
                  <a:rPr lang="en-US"/>
                  <a:t>Time (year)</a:t>
                </a:r>
              </a:p>
            </c:rich>
          </c:tx>
          <c:overlay val="0"/>
        </c:title>
        <c:numFmt formatCode="General" sourceLinked="1"/>
        <c:majorTickMark val="none"/>
        <c:minorTickMark val="none"/>
        <c:tickLblPos val="nextTo"/>
        <c:spPr>
          <a:ln w="25400"/>
        </c:spPr>
        <c:txPr>
          <a:bodyPr/>
          <a:lstStyle/>
          <a:p>
            <a:pPr>
              <a:defRPr sz="1200"/>
            </a:pPr>
            <a:endParaRPr lang="zh-CN"/>
          </a:p>
        </c:txPr>
        <c:crossAx val="91441216"/>
        <c:crosses val="autoZero"/>
        <c:crossBetween val="midCat"/>
      </c:valAx>
      <c:valAx>
        <c:axId val="91441216"/>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altLang="zh-CN" sz="1500" b="0"/>
                </a:pPr>
                <a:r>
                  <a:rPr lang="en-US"/>
                  <a:t>Mass discharge rate (ug/yr)</a:t>
                </a:r>
              </a:p>
            </c:rich>
          </c:tx>
          <c:overlay val="0"/>
        </c:title>
        <c:numFmt formatCode="0.00E+00" sourceLinked="1"/>
        <c:majorTickMark val="none"/>
        <c:minorTickMark val="none"/>
        <c:tickLblPos val="nextTo"/>
        <c:spPr>
          <a:ln w="25400"/>
        </c:spPr>
        <c:txPr>
          <a:bodyPr/>
          <a:lstStyle/>
          <a:p>
            <a:pPr>
              <a:defRPr sz="1200"/>
            </a:pPr>
            <a:endParaRPr lang="zh-CN"/>
          </a:p>
        </c:txPr>
        <c:crossAx val="91426336"/>
        <c:crosses val="autoZero"/>
        <c:crossBetween val="midCat"/>
      </c:valAx>
    </c:plotArea>
    <c:legend>
      <c:legendPos val="r"/>
      <c:layout>
        <c:manualLayout>
          <c:xMode val="edge"/>
          <c:yMode val="edge"/>
          <c:x val="0.65099836370397035"/>
          <c:y val="0.12437454954019231"/>
          <c:w val="0.30181815245347621"/>
          <c:h val="0.15517961363607696"/>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1.xml"/><Relationship Id="rId5" Type="http://schemas.openxmlformats.org/officeDocument/2006/relationships/image" Target="../media/image6.png"/><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3.xml"/><Relationship Id="rId5" Type="http://schemas.openxmlformats.org/officeDocument/2006/relationships/image" Target="../media/image6.png"/><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4.sv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7.png"/><Relationship Id="rId18" Type="http://schemas.openxmlformats.org/officeDocument/2006/relationships/image" Target="../media/image22.png"/><Relationship Id="rId3" Type="http://schemas.openxmlformats.org/officeDocument/2006/relationships/image" Target="../media/image9.png"/><Relationship Id="rId7" Type="http://schemas.openxmlformats.org/officeDocument/2006/relationships/image" Target="../media/image13.png"/><Relationship Id="rId12" Type="http://schemas.openxmlformats.org/officeDocument/2006/relationships/image" Target="../media/image16.png"/><Relationship Id="rId17" Type="http://schemas.openxmlformats.org/officeDocument/2006/relationships/image" Target="../media/image21.png"/><Relationship Id="rId2" Type="http://schemas.openxmlformats.org/officeDocument/2006/relationships/image" Target="../media/image8.png"/><Relationship Id="rId16" Type="http://schemas.openxmlformats.org/officeDocument/2006/relationships/image" Target="../media/image20.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5.png"/><Relationship Id="rId5" Type="http://schemas.openxmlformats.org/officeDocument/2006/relationships/image" Target="../media/image11.png"/><Relationship Id="rId15" Type="http://schemas.openxmlformats.org/officeDocument/2006/relationships/image" Target="../media/image19.png"/><Relationship Id="rId10" Type="http://schemas.openxmlformats.org/officeDocument/2006/relationships/image" Target="../media/image15.png"/><Relationship Id="rId4" Type="http://schemas.openxmlformats.org/officeDocument/2006/relationships/image" Target="../media/image10.png"/><Relationship Id="rId9" Type="http://schemas.openxmlformats.org/officeDocument/2006/relationships/image" Target="../media/image1.jpeg"/><Relationship Id="rId14" Type="http://schemas.openxmlformats.org/officeDocument/2006/relationships/image" Target="../media/image18.jpeg"/></Relationships>
</file>

<file path=xl/drawings/drawing1.xml><?xml version="1.0" encoding="utf-8"?>
<xdr:wsDr xmlns:xdr="http://schemas.openxmlformats.org/drawingml/2006/spreadsheetDrawing" xmlns:a="http://schemas.openxmlformats.org/drawingml/2006/main">
  <xdr:twoCellAnchor>
    <xdr:from>
      <xdr:col>14</xdr:col>
      <xdr:colOff>67625</xdr:colOff>
      <xdr:row>6</xdr:row>
      <xdr:rowOff>171393</xdr:rowOff>
    </xdr:from>
    <xdr:to>
      <xdr:col>23</xdr:col>
      <xdr:colOff>183613</xdr:colOff>
      <xdr:row>31</xdr:row>
      <xdr:rowOff>83099</xdr:rowOff>
    </xdr:to>
    <xdr:grpSp>
      <xdr:nvGrpSpPr>
        <xdr:cNvPr id="2" name="Group 1">
          <a:extLst>
            <a:ext uri="{FF2B5EF4-FFF2-40B4-BE49-F238E27FC236}">
              <a16:creationId xmlns:a16="http://schemas.microsoft.com/office/drawing/2014/main" id="{30C216D9-45D8-4CCA-B5A3-196A4C44E56E}"/>
            </a:ext>
          </a:extLst>
        </xdr:cNvPr>
        <xdr:cNvGrpSpPr/>
      </xdr:nvGrpSpPr>
      <xdr:grpSpPr>
        <a:xfrm>
          <a:off x="10138725" y="1555693"/>
          <a:ext cx="6288188" cy="4356706"/>
          <a:chOff x="9067800" y="1047750"/>
          <a:chExt cx="5950243"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91092"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Straight Arrow Connector 29">
            <a:extLst>
              <a:ext uri="{FF2B5EF4-FFF2-40B4-BE49-F238E27FC236}">
                <a16:creationId xmlns:a16="http://schemas.microsoft.com/office/drawing/2014/main" id="{020EC25D-9F3F-C746-1932-9EF19E9962C9}"/>
              </a:ext>
            </a:extLst>
          </xdr:cNvPr>
          <xdr:cNvCxnSpPr>
            <a:cxnSpLocks/>
          </xdr:cNvCxnSpPr>
        </xdr:nvCxnSpPr>
        <xdr:spPr>
          <a:xfrm>
            <a:off x="13650102" y="2673885"/>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31" name="Group 30">
            <a:extLst>
              <a:ext uri="{FF2B5EF4-FFF2-40B4-BE49-F238E27FC236}">
                <a16:creationId xmlns:a16="http://schemas.microsoft.com/office/drawing/2014/main" id="{3F73F6DF-57A9-869E-D5F5-D73464708712}"/>
              </a:ext>
            </a:extLst>
          </xdr:cNvPr>
          <xdr:cNvGrpSpPr/>
        </xdr:nvGrpSpPr>
        <xdr:grpSpPr>
          <a:xfrm>
            <a:off x="13502170" y="3008060"/>
            <a:ext cx="318605" cy="390928"/>
            <a:chOff x="5257800" y="5810626"/>
            <a:chExt cx="318605" cy="390928"/>
          </a:xfrm>
        </xdr:grpSpPr>
        <xdr:sp macro="" textlink="">
          <xdr:nvSpPr>
            <xdr:cNvPr id="44" name="Rectangle 43">
              <a:extLst>
                <a:ext uri="{FF2B5EF4-FFF2-40B4-BE49-F238E27FC236}">
                  <a16:creationId xmlns:a16="http://schemas.microsoft.com/office/drawing/2014/main" id="{8DC03012-4141-C7DA-44AB-BE5164B4D80F}"/>
                </a:ext>
              </a:extLst>
            </xdr:cNvPr>
            <xdr:cNvSpPr/>
          </xdr:nvSpPr>
          <xdr:spPr>
            <a:xfrm>
              <a:off x="5311930" y="5955333"/>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5" name="TextBox 88">
              <a:extLst>
                <a:ext uri="{FF2B5EF4-FFF2-40B4-BE49-F238E27FC236}">
                  <a16:creationId xmlns:a16="http://schemas.microsoft.com/office/drawing/2014/main" id="{66FD5F30-A43D-A3C0-2DE6-49B7140DDBD4}"/>
                </a:ext>
              </a:extLst>
            </xdr:cNvPr>
            <xdr:cNvSpPr txBox="1"/>
          </xdr:nvSpPr>
          <xdr:spPr>
            <a:xfrm>
              <a:off x="5257800" y="5810626"/>
              <a:ext cx="318605" cy="323005"/>
            </a:xfrm>
            <a:prstGeom prst="rect">
              <a:avLst/>
            </a:prstGeom>
            <a:solidFill>
              <a:schemeClr val="bg2"/>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55713" y="5108732"/>
            <a:ext cx="114940" cy="410294"/>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75558" y="5003921"/>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541602" y="4765935"/>
            <a:ext cx="1476441" cy="55187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pic>
        <xdr:nvPicPr>
          <xdr:cNvPr id="43" name="Picture 42">
            <a:extLst>
              <a:ext uri="{FF2B5EF4-FFF2-40B4-BE49-F238E27FC236}">
                <a16:creationId xmlns:a16="http://schemas.microsoft.com/office/drawing/2014/main" id="{8FABD844-A92A-C085-20D4-3C0DD8A35E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clientData/>
  </xdr:twoCellAnchor>
  <xdr:twoCellAnchor>
    <xdr:from>
      <xdr:col>19</xdr:col>
      <xdr:colOff>26258</xdr:colOff>
      <xdr:row>29</xdr:row>
      <xdr:rowOff>163836</xdr:rowOff>
    </xdr:from>
    <xdr:to>
      <xdr:col>21</xdr:col>
      <xdr:colOff>31079</xdr:colOff>
      <xdr:row>31</xdr:row>
      <xdr:rowOff>29635</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2242071" y="5273999"/>
          <a:ext cx="1290696" cy="218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175287</xdr:colOff>
      <xdr:row>23</xdr:row>
      <xdr:rowOff>100615</xdr:rowOff>
    </xdr:from>
    <xdr:to>
      <xdr:col>8</xdr:col>
      <xdr:colOff>64263</xdr:colOff>
      <xdr:row>24</xdr:row>
      <xdr:rowOff>92995</xdr:rowOff>
    </xdr:to>
    <xdr:sp macro="[0]!M0_Set_default_PFAS" textlink="">
      <xdr:nvSpPr>
        <xdr:cNvPr id="44247" name="矩形 44246">
          <a:extLst>
            <a:ext uri="{FF2B5EF4-FFF2-40B4-BE49-F238E27FC236}">
              <a16:creationId xmlns:a16="http://schemas.microsoft.com/office/drawing/2014/main" id="{0EDF0191-11F9-42D1-823F-F82ADCB73758}"/>
            </a:ext>
          </a:extLst>
        </xdr:cNvPr>
        <xdr:cNvSpPr/>
      </xdr:nvSpPr>
      <xdr:spPr>
        <a:xfrm>
          <a:off x="5226423" y="6051335"/>
          <a:ext cx="1260000" cy="184804"/>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175287</xdr:colOff>
      <xdr:row>4</xdr:row>
      <xdr:rowOff>111464</xdr:rowOff>
    </xdr:from>
    <xdr:to>
      <xdr:col>8</xdr:col>
      <xdr:colOff>64263</xdr:colOff>
      <xdr:row>5</xdr:row>
      <xdr:rowOff>101807</xdr:rowOff>
    </xdr:to>
    <xdr:sp macro="[0]!M0_Set_default_Soil" textlink="">
      <xdr:nvSpPr>
        <xdr:cNvPr id="44248" name="矩形 44247">
          <a:extLst>
            <a:ext uri="{FF2B5EF4-FFF2-40B4-BE49-F238E27FC236}">
              <a16:creationId xmlns:a16="http://schemas.microsoft.com/office/drawing/2014/main" id="{3F003C4C-3127-45C6-A4F2-C54FF08F412A}"/>
            </a:ext>
          </a:extLst>
        </xdr:cNvPr>
        <xdr:cNvSpPr/>
      </xdr:nvSpPr>
      <xdr:spPr>
        <a:xfrm>
          <a:off x="5226423" y="1997222"/>
          <a:ext cx="1260000" cy="182767"/>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291041</xdr:colOff>
      <xdr:row>41</xdr:row>
      <xdr:rowOff>116417</xdr:rowOff>
    </xdr:from>
    <xdr:to>
      <xdr:col>17</xdr:col>
      <xdr:colOff>625436</xdr:colOff>
      <xdr:row>42</xdr:row>
      <xdr:rowOff>143449</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1175936" y="8958601"/>
          <a:ext cx="1883642" cy="216384"/>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319911</xdr:colOff>
      <xdr:row>43</xdr:row>
      <xdr:rowOff>179916</xdr:rowOff>
    </xdr:from>
    <xdr:to>
      <xdr:col>17</xdr:col>
      <xdr:colOff>631174</xdr:colOff>
      <xdr:row>44</xdr:row>
      <xdr:rowOff>189352</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1204806" y="9400805"/>
          <a:ext cx="1860510" cy="198788"/>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6</xdr:col>
          <xdr:colOff>177800</xdr:colOff>
          <xdr:row>18</xdr:row>
          <xdr:rowOff>12700</xdr:rowOff>
        </xdr:from>
        <xdr:to>
          <xdr:col>8</xdr:col>
          <xdr:colOff>63500</xdr:colOff>
          <xdr:row>18</xdr:row>
          <xdr:rowOff>190500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α</a:t>
              </a:r>
              <a:r>
                <a:rPr lang="en-US" sz="1000" b="0" i="1" u="none" strike="noStrike" baseline="-25000">
                  <a:solidFill>
                    <a:srgbClr val="000000"/>
                  </a:solidFill>
                  <a:latin typeface="Arial" pitchFamily="2" charset="0"/>
                  <a:cs typeface="Arial" pitchFamily="2" charset="0"/>
                </a:rPr>
                <a:t>L</a:t>
              </a:r>
              <a:r>
                <a:rPr lang="en-US" sz="1000" b="0" i="1" u="none" strike="noStrike" baseline="0">
                  <a:solidFill>
                    <a:srgbClr val="000000"/>
                  </a:solidFill>
                  <a:latin typeface="Arial" pitchFamily="2" charset="0"/>
                  <a:cs typeface="Arial" pitchFamily="2" charset="0"/>
                </a:rPr>
                <a:t> </a:t>
              </a:r>
              <a:endParaRPr lang="en-US" sz="1000" b="0" i="0" u="none" strike="noStrike" baseline="0">
                <a:solidFill>
                  <a:srgbClr val="000000"/>
                </a:solidFill>
                <a:latin typeface="Arial" pitchFamily="2" charset="0"/>
                <a:cs typeface="Arial" pitchFamily="2" charset="0"/>
              </a:endParaRPr>
            </a:p>
            <a:p>
              <a:pPr algn="l" rtl="0">
                <a:defRPr sz="1000"/>
              </a:pPr>
              <a:r>
                <a:rPr lang="en-US"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20</xdr:row>
          <xdr:rowOff>25400</xdr:rowOff>
        </xdr:from>
        <xdr:to>
          <xdr:col>8</xdr:col>
          <xdr:colOff>63500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19</xdr:row>
          <xdr:rowOff>25400</xdr:rowOff>
        </xdr:from>
        <xdr:to>
          <xdr:col>8</xdr:col>
          <xdr:colOff>63500</xdr:colOff>
          <xdr:row>19</xdr:row>
          <xdr:rowOff>203200</xdr:rowOff>
        </xdr:to>
        <xdr:sp macro="" textlink="">
          <xdr:nvSpPr>
            <xdr:cNvPr id="44052" name="Button 20" descr="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Arial" pitchFamily="2" charset="0"/>
                  <a:cs typeface="Arial" pitchFamily="2" charset="0"/>
                </a:rPr>
                <a:t>    </a:t>
              </a:r>
              <a:r>
                <a:rPr lang="en-US" sz="800" b="0" i="0" u="none" strike="noStrike" baseline="0">
                  <a:solidFill>
                    <a:srgbClr val="000000"/>
                  </a:solidFill>
                  <a:latin typeface="Arial" pitchFamily="2" charset="0"/>
                  <a:cs typeface="Arial" pitchFamily="2" charset="0"/>
                </a:rPr>
                <a:t>  </a:t>
              </a:r>
              <a:r>
                <a:rPr lang="en-US" sz="900" b="0" i="0" u="none" strike="noStrike" baseline="0">
                  <a:solidFill>
                    <a:srgbClr val="000000"/>
                  </a:solidFill>
                  <a:latin typeface="Arial" pitchFamily="2" charset="0"/>
                  <a:cs typeface="Arial" pitchFamily="2" charset="0"/>
                </a:rPr>
                <a:t> </a:t>
              </a:r>
              <a:r>
                <a:rPr lang="en-US" sz="1000" b="0" i="0" u="none" strike="noStrike" baseline="0">
                  <a:solidFill>
                    <a:srgbClr val="000000"/>
                  </a:solidFill>
                  <a:latin typeface="Arial" pitchFamily="2" charset="0"/>
                  <a:cs typeface="Arial" pitchFamily="2" charset="0"/>
                </a:rPr>
                <a:t> Estimate</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21</xdr:row>
          <xdr:rowOff>25400</xdr:rowOff>
        </xdr:from>
        <xdr:to>
          <xdr:col>8</xdr:col>
          <xdr:colOff>63500</xdr:colOff>
          <xdr:row>21</xdr:row>
          <xdr:rowOff>203200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32</xdr:row>
          <xdr:rowOff>25400</xdr:rowOff>
        </xdr:from>
        <xdr:to>
          <xdr:col>8</xdr:col>
          <xdr:colOff>101600</xdr:colOff>
          <xdr:row>32</xdr:row>
          <xdr:rowOff>203200</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33</xdr:row>
          <xdr:rowOff>25400</xdr:rowOff>
        </xdr:from>
        <xdr:to>
          <xdr:col>8</xdr:col>
          <xdr:colOff>101600</xdr:colOff>
          <xdr:row>33</xdr:row>
          <xdr:rowOff>203200</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44</xdr:row>
          <xdr:rowOff>25400</xdr:rowOff>
        </xdr:from>
        <xdr:to>
          <xdr:col>8</xdr:col>
          <xdr:colOff>101600</xdr:colOff>
          <xdr:row>45</xdr:row>
          <xdr:rowOff>12700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7</xdr:col>
      <xdr:colOff>876290</xdr:colOff>
      <xdr:row>7</xdr:row>
      <xdr:rowOff>26777</xdr:rowOff>
    </xdr:from>
    <xdr:to>
      <xdr:col>7</xdr:col>
      <xdr:colOff>1071561</xdr:colOff>
      <xdr:row>7</xdr:row>
      <xdr:rowOff>195977</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63147" y="2513861"/>
          <a:ext cx="195271" cy="169200"/>
        </a:xfrm>
        <a:prstGeom prst="rect">
          <a:avLst/>
        </a:prstGeom>
      </xdr:spPr>
    </xdr:pic>
    <xdr:clientData/>
  </xdr:twoCellAnchor>
  <xdr:twoCellAnchor>
    <xdr:from>
      <xdr:col>10</xdr:col>
      <xdr:colOff>227765</xdr:colOff>
      <xdr:row>22</xdr:row>
      <xdr:rowOff>62668</xdr:rowOff>
    </xdr:from>
    <xdr:to>
      <xdr:col>16</xdr:col>
      <xdr:colOff>160560</xdr:colOff>
      <xdr:row>40</xdr:row>
      <xdr:rowOff>59679</xdr:rowOff>
    </xdr:to>
    <xdr:grpSp>
      <xdr:nvGrpSpPr>
        <xdr:cNvPr id="44033" name="Group 44032">
          <a:extLst>
            <a:ext uri="{FF2B5EF4-FFF2-40B4-BE49-F238E27FC236}">
              <a16:creationId xmlns:a16="http://schemas.microsoft.com/office/drawing/2014/main" id="{A6C8B07C-1A78-BF76-6F24-DB8A679E8780}"/>
            </a:ext>
          </a:extLst>
        </xdr:cNvPr>
        <xdr:cNvGrpSpPr/>
      </xdr:nvGrpSpPr>
      <xdr:grpSpPr>
        <a:xfrm>
          <a:off x="7479465" y="5777668"/>
          <a:ext cx="5304895" cy="3794311"/>
          <a:chOff x="6976289" y="5190499"/>
          <a:chExt cx="4200051" cy="3140567"/>
        </a:xfrm>
      </xdr:grpSpPr>
      <xdr:grpSp>
        <xdr:nvGrpSpPr>
          <xdr:cNvPr id="44239" name="Group 44238">
            <a:extLst>
              <a:ext uri="{FF2B5EF4-FFF2-40B4-BE49-F238E27FC236}">
                <a16:creationId xmlns:a16="http://schemas.microsoft.com/office/drawing/2014/main" id="{D0DA89FA-2288-120D-10F1-28625758FFBE}"/>
              </a:ext>
            </a:extLst>
          </xdr:cNvPr>
          <xdr:cNvGrpSpPr/>
        </xdr:nvGrpSpPr>
        <xdr:grpSpPr>
          <a:xfrm>
            <a:off x="6976289" y="5190499"/>
            <a:ext cx="4200051" cy="3140567"/>
            <a:chOff x="14420847" y="5941452"/>
            <a:chExt cx="4161370" cy="3330297"/>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4143" name="Group 44142">
              <a:extLst>
                <a:ext uri="{FF2B5EF4-FFF2-40B4-BE49-F238E27FC236}">
                  <a16:creationId xmlns:a16="http://schemas.microsoft.com/office/drawing/2014/main" id="{CDEA812C-2BCF-342C-2E46-C259D3946A71}"/>
                </a:ext>
              </a:extLst>
            </xdr:cNvPr>
            <xdr:cNvGrpSpPr/>
          </xdr:nvGrpSpPr>
          <xdr:grpSpPr>
            <a:xfrm>
              <a:off x="14420847" y="5941452"/>
              <a:ext cx="4161370" cy="3330297"/>
              <a:chOff x="14000433" y="5570306"/>
              <a:chExt cx="4161370" cy="3330297"/>
            </a:xfrm>
          </xdr:grpSpPr>
          <xdr:grpSp>
            <xdr:nvGrpSpPr>
              <xdr:cNvPr id="44130" name="Group 44129">
                <a:extLst>
                  <a:ext uri="{FF2B5EF4-FFF2-40B4-BE49-F238E27FC236}">
                    <a16:creationId xmlns:a16="http://schemas.microsoft.com/office/drawing/2014/main" id="{651B070F-B80B-2701-83A5-C29F82EFCA5A}"/>
                  </a:ext>
                </a:extLst>
              </xdr:cNvPr>
              <xdr:cNvGrpSpPr/>
            </xdr:nvGrpSpPr>
            <xdr:grpSpPr>
              <a:xfrm>
                <a:off x="14000433" y="5570306"/>
                <a:ext cx="4161370" cy="3330297"/>
                <a:chOff x="14000433" y="5570306"/>
                <a:chExt cx="4161370" cy="3330297"/>
              </a:xfrm>
            </xdr:grpSpPr>
            <xdr:grpSp>
              <xdr:nvGrpSpPr>
                <xdr:cNvPr id="16" name="Group 26305">
                  <a:extLst>
                    <a:ext uri="{FF2B5EF4-FFF2-40B4-BE49-F238E27FC236}">
                      <a16:creationId xmlns:a16="http://schemas.microsoft.com/office/drawing/2014/main" id="{B543C453-AE1A-17DB-EDEA-16960A3AE429}"/>
                    </a:ext>
                  </a:extLst>
                </xdr:cNvPr>
                <xdr:cNvGrpSpPr/>
              </xdr:nvGrpSpPr>
              <xdr:grpSpPr>
                <a:xfrm>
                  <a:off x="14000433" y="5570306"/>
                  <a:ext cx="4161370" cy="3330297"/>
                  <a:chOff x="10123058" y="10989375"/>
                  <a:chExt cx="6036663" cy="3934725"/>
                </a:xfrm>
              </xdr:grpSpPr>
              <xdr:grpSp>
                <xdr:nvGrpSpPr>
                  <xdr:cNvPr id="17" name="Group 26302">
                    <a:extLst>
                      <a:ext uri="{FF2B5EF4-FFF2-40B4-BE49-F238E27FC236}">
                        <a16:creationId xmlns:a16="http://schemas.microsoft.com/office/drawing/2014/main" id="{3D440C85-84D5-3516-E069-0395C3E54867}"/>
                      </a:ext>
                    </a:extLst>
                  </xdr:cNvPr>
                  <xdr:cNvGrpSpPr/>
                </xdr:nvGrpSpPr>
                <xdr:grpSpPr>
                  <a:xfrm>
                    <a:off x="10123058" y="10989375"/>
                    <a:ext cx="6036663" cy="3934725"/>
                    <a:chOff x="6892870" y="10335913"/>
                    <a:chExt cx="6045727" cy="3933520"/>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6892870" y="10335913"/>
                      <a:ext cx="6045727" cy="3933520"/>
                      <a:chOff x="6978099" y="10136492"/>
                      <a:chExt cx="6046272" cy="3918846"/>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24" y="10136492"/>
                        <a:ext cx="6036747" cy="3918846"/>
                        <a:chOff x="7459409" y="11125336"/>
                        <a:chExt cx="6021187" cy="3934424"/>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244869"/>
                          <a:ext cx="5975227" cy="3814891"/>
                          <a:chOff x="4267200" y="2205315"/>
                          <a:chExt cx="5975227" cy="3814891"/>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001398" y="14205596"/>
                          <a:ext cx="138114" cy="491409"/>
                          <a:chOff x="656350" y="2751886"/>
                          <a:chExt cx="138114"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22059"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696188"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465473"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10045652" y="14210306"/>
                          <a:ext cx="143263" cy="743094"/>
                          <a:chOff x="187946" y="2686345"/>
                          <a:chExt cx="143263"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15335"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389906" y="13438725"/>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748197"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0792659"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185626" y="13704600"/>
                      <a:ext cx="161253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402099" y="12584787"/>
                      <a:ext cx="1347695" cy="30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10140185" y="12547180"/>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10286218" y="12560347"/>
                    <a:ext cx="1831862" cy="30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grpSp>
            <xdr:sp macro="" textlink="">
              <xdr:nvSpPr>
                <xdr:cNvPr id="11" name="Cylinder 25">
                  <a:extLst>
                    <a:ext uri="{FF2B5EF4-FFF2-40B4-BE49-F238E27FC236}">
                      <a16:creationId xmlns:a16="http://schemas.microsoft.com/office/drawing/2014/main" id="{747D2D77-B754-A504-AABA-0E2496617EBC}"/>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12" name="Picture 26">
                  <a:extLst>
                    <a:ext uri="{FF2B5EF4-FFF2-40B4-BE49-F238E27FC236}">
                      <a16:creationId xmlns:a16="http://schemas.microsoft.com/office/drawing/2014/main" id="{65171CCF-0475-F9A3-2010-674B7B5E8BA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10" name="Rectangle 24">
                  <a:extLst>
                    <a:ext uri="{FF2B5EF4-FFF2-40B4-BE49-F238E27FC236}">
                      <a16:creationId xmlns:a16="http://schemas.microsoft.com/office/drawing/2014/main" id="{005AB70C-742E-5D2F-587B-C33A41F89984}"/>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6395946" y="7133083"/>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6580673" y="6969224"/>
                <a:ext cx="1025346"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0</xdr:colOff>
      <xdr:row>9</xdr:row>
      <xdr:rowOff>0</xdr:rowOff>
    </xdr:from>
    <xdr:to>
      <xdr:col>15</xdr:col>
      <xdr:colOff>357187</xdr:colOff>
      <xdr:row>22</xdr:row>
      <xdr:rowOff>107157</xdr:rowOff>
    </xdr:to>
    <xdr:graphicFrame macro="">
      <xdr:nvGraphicFramePr>
        <xdr:cNvPr id="5" name="Chart 4">
          <a:extLst>
            <a:ext uri="{FF2B5EF4-FFF2-40B4-BE49-F238E27FC236}">
              <a16:creationId xmlns:a16="http://schemas.microsoft.com/office/drawing/2014/main" id="{4DCCC2DA-8C16-BCE1-2C29-90622E245E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881102</xdr:colOff>
      <xdr:row>26</xdr:row>
      <xdr:rowOff>23147</xdr:rowOff>
    </xdr:from>
    <xdr:to>
      <xdr:col>7</xdr:col>
      <xdr:colOff>1076373</xdr:colOff>
      <xdr:row>26</xdr:row>
      <xdr:rowOff>192347</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67959" y="6575192"/>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70521" y="2297059"/>
          <a:ext cx="195271" cy="169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57150</xdr:colOff>
      <xdr:row>6</xdr:row>
      <xdr:rowOff>163354</xdr:rowOff>
    </xdr:from>
    <xdr:to>
      <xdr:col>5</xdr:col>
      <xdr:colOff>827405</xdr:colOff>
      <xdr:row>15</xdr:row>
      <xdr:rowOff>444024</xdr:rowOff>
    </xdr:to>
    <xdr:graphicFrame macro="">
      <xdr:nvGraphicFramePr>
        <xdr:cNvPr id="4" name="Chart 3">
          <a:extLst>
            <a:ext uri="{FF2B5EF4-FFF2-40B4-BE49-F238E27FC236}">
              <a16:creationId xmlns:a16="http://schemas.microsoft.com/office/drawing/2014/main" id="{A69F0C84-F426-259F-7747-91DB144166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14882</xdr:colOff>
      <xdr:row>23</xdr:row>
      <xdr:rowOff>147195</xdr:rowOff>
    </xdr:from>
    <xdr:to>
      <xdr:col>11</xdr:col>
      <xdr:colOff>26644</xdr:colOff>
      <xdr:row>24</xdr:row>
      <xdr:rowOff>134284</xdr:rowOff>
    </xdr:to>
    <xdr:sp macro="[0]!M1_Set_default_PFAS" textlink="">
      <xdr:nvSpPr>
        <xdr:cNvPr id="13" name="矩形 12">
          <a:extLst>
            <a:ext uri="{FF2B5EF4-FFF2-40B4-BE49-F238E27FC236}">
              <a16:creationId xmlns:a16="http://schemas.microsoft.com/office/drawing/2014/main" id="{47FB12C6-202D-B2A2-FC57-2F73A14829A2}"/>
            </a:ext>
          </a:extLst>
        </xdr:cNvPr>
        <xdr:cNvSpPr/>
      </xdr:nvSpPr>
      <xdr:spPr>
        <a:xfrm>
          <a:off x="8134945" y="6495608"/>
          <a:ext cx="1326212" cy="187114"/>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25400</xdr:colOff>
          <xdr:row>18</xdr:row>
          <xdr:rowOff>0</xdr:rowOff>
        </xdr:from>
        <xdr:to>
          <xdr:col>11</xdr:col>
          <xdr:colOff>38100</xdr:colOff>
          <xdr:row>18</xdr:row>
          <xdr:rowOff>190500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000" b="0" i="1" u="none" strike="noStrike" baseline="0">
                  <a:solidFill>
                    <a:srgbClr val="000000"/>
                  </a:solidFill>
                  <a:latin typeface="Arial" pitchFamily="2" charset="0"/>
                  <a:cs typeface="Arial" pitchFamily="2" charset="0"/>
                </a:rPr>
                <a:t> α</a:t>
              </a:r>
              <a:r>
                <a:rPr lang="en-US" sz="1000" b="0" i="1" u="none" strike="noStrike" baseline="-25000">
                  <a:solidFill>
                    <a:srgbClr val="000000"/>
                  </a:solidFill>
                  <a:latin typeface="Arial" pitchFamily="2" charset="0"/>
                  <a:cs typeface="Arial" pitchFamily="2" charset="0"/>
                </a:rPr>
                <a:t>L</a:t>
              </a:r>
              <a:r>
                <a:rPr lang="en-US" sz="1000" b="0" i="0" u="none" strike="noStrike" baseline="0">
                  <a:solidFill>
                    <a:srgbClr val="000000"/>
                  </a:solidFill>
                  <a:latin typeface="Arial" pitchFamily="2" charset="0"/>
                  <a:cs typeface="Arial" pitchFamily="2" charset="0"/>
                </a:rPr>
                <a:t>  </a:t>
              </a: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0</xdr:rowOff>
        </xdr:from>
        <xdr:to>
          <xdr:col>11</xdr:col>
          <xdr:colOff>38100</xdr:colOff>
          <xdr:row>19</xdr:row>
          <xdr:rowOff>190500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θ</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11</xdr:col>
          <xdr:colOff>38100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SF</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11</xdr:col>
          <xdr:colOff>38100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12700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11</xdr:col>
          <xdr:colOff>12700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232306</xdr:colOff>
      <xdr:row>41</xdr:row>
      <xdr:rowOff>82954</xdr:rowOff>
    </xdr:from>
    <xdr:to>
      <xdr:col>19</xdr:col>
      <xdr:colOff>737683</xdr:colOff>
      <xdr:row>42</xdr:row>
      <xdr:rowOff>94247</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15127025" y="10231048"/>
          <a:ext cx="1620596" cy="22560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244958</xdr:colOff>
      <xdr:row>43</xdr:row>
      <xdr:rowOff>153771</xdr:rowOff>
    </xdr:from>
    <xdr:to>
      <xdr:col>19</xdr:col>
      <xdr:colOff>754062</xdr:colOff>
      <xdr:row>44</xdr:row>
      <xdr:rowOff>168798</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15139677" y="10730490"/>
          <a:ext cx="1624323" cy="22934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1984657</xdr:colOff>
      <xdr:row>6</xdr:row>
      <xdr:rowOff>28581</xdr:rowOff>
    </xdr:from>
    <xdr:to>
      <xdr:col>13</xdr:col>
      <xdr:colOff>2172465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819597" y="3007033"/>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 </a:t>
              </a:r>
              <a:r>
                <a:rPr lang="en-US"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13</xdr:col>
      <xdr:colOff>250072</xdr:colOff>
      <xdr:row>22</xdr:row>
      <xdr:rowOff>159808</xdr:rowOff>
    </xdr:from>
    <xdr:to>
      <xdr:col>18</xdr:col>
      <xdr:colOff>242661</xdr:colOff>
      <xdr:row>39</xdr:row>
      <xdr:rowOff>275677</xdr:rowOff>
    </xdr:to>
    <xdr:grpSp>
      <xdr:nvGrpSpPr>
        <xdr:cNvPr id="22" name="Group 21">
          <a:extLst>
            <a:ext uri="{FF2B5EF4-FFF2-40B4-BE49-F238E27FC236}">
              <a16:creationId xmlns:a16="http://schemas.microsoft.com/office/drawing/2014/main" id="{A6A5DBB8-715D-4E77-BC9A-434D33612520}"/>
            </a:ext>
          </a:extLst>
        </xdr:cNvPr>
        <xdr:cNvGrpSpPr/>
      </xdr:nvGrpSpPr>
      <xdr:grpSpPr>
        <a:xfrm>
          <a:off x="10918072" y="6281208"/>
          <a:ext cx="5542489" cy="3913169"/>
          <a:chOff x="6971912" y="5190499"/>
          <a:chExt cx="4204427" cy="3140567"/>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2" y="5190499"/>
            <a:ext cx="4204427" cy="3140567"/>
            <a:chOff x="14416511" y="5941452"/>
            <a:chExt cx="4165706" cy="3330297"/>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1" y="5941452"/>
              <a:ext cx="4165706" cy="3330297"/>
              <a:chOff x="13996097" y="5570306"/>
              <a:chExt cx="4165706" cy="3330297"/>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7" y="5570306"/>
                <a:ext cx="4165706" cy="3330297"/>
                <a:chOff x="13996097" y="5570306"/>
                <a:chExt cx="4165706" cy="3330297"/>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7" y="5570306"/>
                  <a:ext cx="4165706" cy="3330297"/>
                  <a:chOff x="10116768" y="10989375"/>
                  <a:chExt cx="6042953" cy="3934725"/>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0989375"/>
                    <a:ext cx="6042953" cy="3934725"/>
                    <a:chOff x="6886570" y="10335913"/>
                    <a:chExt cx="6052026" cy="3933520"/>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335913"/>
                      <a:ext cx="6052026" cy="3933520"/>
                      <a:chOff x="6971799" y="10136492"/>
                      <a:chExt cx="6052572" cy="3918846"/>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136492"/>
                        <a:ext cx="6052572" cy="3918846"/>
                        <a:chOff x="7443625" y="11125336"/>
                        <a:chExt cx="6036971" cy="3934424"/>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001398" y="14205596"/>
                          <a:ext cx="138114" cy="491409"/>
                          <a:chOff x="656350" y="2751886"/>
                          <a:chExt cx="138114" cy="2543246"/>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35094"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758338"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625127" cy="20928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00078" y="11790830"/>
                          <a:ext cx="1967577" cy="701468"/>
                          <a:chOff x="1242684" y="1838442"/>
                          <a:chExt cx="1967577" cy="701468"/>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242684" y="1838442"/>
                            <a:ext cx="1967577" cy="533995"/>
                            <a:chOff x="3284412" y="1972380"/>
                            <a:chExt cx="1595227" cy="533995"/>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0" name="Straight Connector 26155">
                              <a:extLst>
                                <a:ext uri="{FF2B5EF4-FFF2-40B4-BE49-F238E27FC236}">
                                  <a16:creationId xmlns:a16="http://schemas.microsoft.com/office/drawing/2014/main" id="{4946D086-5452-2C89-0AD7-F937829BCEE9}"/>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4" name="Straight Connector 26159">
                              <a:extLst>
                                <a:ext uri="{FF2B5EF4-FFF2-40B4-BE49-F238E27FC236}">
                                  <a16:creationId xmlns:a16="http://schemas.microsoft.com/office/drawing/2014/main" id="{956FA05F-59E9-03F6-0494-5FE733746C1D}"/>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10045652" y="14210306"/>
                          <a:ext cx="143263" cy="743094"/>
                          <a:chOff x="187946" y="2686345"/>
                          <a:chExt cx="143263"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7" name="TextBox 372">
                          <a:extLst>
                            <a:ext uri="{FF2B5EF4-FFF2-40B4-BE49-F238E27FC236}">
                              <a16:creationId xmlns:a16="http://schemas.microsoft.com/office/drawing/2014/main" id="{21CAD7E7-6C50-603B-00ED-8B3CA8A88490}"/>
                            </a:ext>
                          </a:extLst>
                        </xdr:cNvPr>
                        <xdr:cNvSpPr txBox="1"/>
                      </xdr:nvSpPr>
                      <xdr:spPr>
                        <a:xfrm>
                          <a:off x="9802120"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26158" name="Straight Connector 26053">
                          <a:extLst>
                            <a:ext uri="{FF2B5EF4-FFF2-40B4-BE49-F238E27FC236}">
                              <a16:creationId xmlns:a16="http://schemas.microsoft.com/office/drawing/2014/main" id="{620A7E1A-2784-998B-2B2C-AC93F803E87A}"/>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759785"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0819153"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384436" y="12584786"/>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35391"/>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26052" name="Picture 26">
                  <a:extLst>
                    <a:ext uri="{FF2B5EF4-FFF2-40B4-BE49-F238E27FC236}">
                      <a16:creationId xmlns:a16="http://schemas.microsoft.com/office/drawing/2014/main" id="{D8623CEF-F909-6B15-F358-BD236D5326F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395946" y="7090432"/>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595682" y="6916739"/>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9</xdr:row>
      <xdr:rowOff>0</xdr:rowOff>
    </xdr:from>
    <xdr:to>
      <xdr:col>16</xdr:col>
      <xdr:colOff>868680</xdr:colOff>
      <xdr:row>22</xdr:row>
      <xdr:rowOff>107157</xdr:rowOff>
    </xdr:to>
    <xdr:graphicFrame macro="">
      <xdr:nvGraphicFramePr>
        <xdr:cNvPr id="2" name="Chart 1">
          <a:extLst>
            <a:ext uri="{FF2B5EF4-FFF2-40B4-BE49-F238E27FC236}">
              <a16:creationId xmlns:a16="http://schemas.microsoft.com/office/drawing/2014/main" id="{D5F5C6CA-F845-4C7A-9F38-3AD250D538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61912</xdr:colOff>
      <xdr:row>6</xdr:row>
      <xdr:rowOff>161687</xdr:rowOff>
    </xdr:from>
    <xdr:to>
      <xdr:col>5</xdr:col>
      <xdr:colOff>766445</xdr:colOff>
      <xdr:row>15</xdr:row>
      <xdr:rowOff>411401</xdr:rowOff>
    </xdr:to>
    <xdr:graphicFrame macro="">
      <xdr:nvGraphicFramePr>
        <xdr:cNvPr id="3" name="Chart 2">
          <a:extLst>
            <a:ext uri="{FF2B5EF4-FFF2-40B4-BE49-F238E27FC236}">
              <a16:creationId xmlns:a16="http://schemas.microsoft.com/office/drawing/2014/main" id="{05DE2042-577B-C99B-C2DD-230D54CC96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I13" totalsRowShown="0" headerRowDxfId="20" dataDxfId="19">
  <autoFilter ref="A1:I13" xr:uid="{6382C3FC-0F8A-4E33-9261-2232D4556F10}"/>
  <tableColumns count="9">
    <tableColumn id="1" xr3:uid="{7F118C14-005D-4660-BAE3-BD68558EEDFB}" name="name" dataDxfId="18"/>
    <tableColumn id="2" xr3:uid="{A041D421-DC04-4BA6-A7AA-4E227250D43A}" name="theta_r" dataDxfId="17"/>
    <tableColumn id="3" xr3:uid="{EB5CC5C9-C6FB-48A2-96FF-97D2CFDEFF9E}" name="theta_s" dataDxfId="16"/>
    <tableColumn id="4" xr3:uid="{92EA45A0-2D1A-4BEE-B7EC-9AB491DB7FC0}" name="alpha" dataDxfId="15"/>
    <tableColumn id="5" xr3:uid="{16C956D0-EF75-432B-9357-4D4298867279}" name="n" dataDxfId="14"/>
    <tableColumn id="6" xr3:uid="{6A4001F0-B8B1-4940-B133-A96EEA8597E8}" name="bulk_density" dataDxfId="13"/>
    <tableColumn id="7" xr3:uid="{8EBEB501-58F6-4F12-BA63-8D7A943DA98E}" name="Ks" dataDxfId="12"/>
    <tableColumn id="9" xr3:uid="{35969FD1-0B56-4CB8-A277-0276DE957E16}" name="d50" dataDxfId="11"/>
    <tableColumn id="8" xr3:uid="{7D383580-2655-44B8-8BCD-A57F71140F2D}" name="foc"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12" totalsRowShown="0" headerRowDxfId="9" dataDxfId="8">
  <autoFilter ref="A1:H12" xr:uid="{9ACBC1B3-1243-4C42-AB7F-9F2B014CB526}"/>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showRowColHeaders="0" tabSelected="1" topLeftCell="A6" zoomScaleNormal="100" workbookViewId="0">
      <selection activeCell="K53" sqref="K53"/>
    </sheetView>
  </sheetViews>
  <sheetFormatPr baseColWidth="10" defaultColWidth="0" defaultRowHeight="14" zeroHeight="1"/>
  <cols>
    <col min="1" max="1" width="6.1640625" style="36" customWidth="1"/>
    <col min="2" max="10" width="9" style="36" customWidth="1"/>
    <col min="11" max="11" width="18" style="36" customWidth="1"/>
    <col min="12" max="26" width="9" style="36" customWidth="1"/>
    <col min="27" max="16383" width="9" style="36" hidden="1"/>
    <col min="16384" max="16384" width="6.1640625" style="36" hidden="1"/>
  </cols>
  <sheetData>
    <row r="1" spans="1:15" ht="33.75" customHeight="1">
      <c r="A1" s="356" t="s">
        <v>0</v>
      </c>
      <c r="B1" s="356"/>
      <c r="C1" s="356"/>
      <c r="D1" s="356"/>
      <c r="E1" s="356"/>
      <c r="F1" s="356"/>
      <c r="G1" s="356"/>
      <c r="H1" s="356"/>
      <c r="I1" s="356"/>
      <c r="J1" s="356"/>
      <c r="K1" s="356"/>
      <c r="O1" s="80"/>
    </row>
    <row r="2" spans="1:15" ht="15" customHeight="1">
      <c r="A2" s="170"/>
      <c r="B2" s="139"/>
      <c r="C2" s="139"/>
      <c r="D2" s="139"/>
      <c r="E2" s="139"/>
      <c r="F2" s="139"/>
      <c r="G2" s="139"/>
      <c r="H2" s="139"/>
      <c r="I2" s="139"/>
      <c r="J2" s="139"/>
      <c r="K2" s="139"/>
      <c r="L2" s="154"/>
    </row>
    <row r="3" spans="1:15" ht="15" customHeight="1">
      <c r="A3" s="359" t="s">
        <v>274</v>
      </c>
      <c r="B3" s="359"/>
      <c r="C3" s="359"/>
      <c r="D3" s="359"/>
      <c r="E3" s="359"/>
      <c r="F3" s="359"/>
      <c r="G3" s="359"/>
      <c r="H3" s="359"/>
      <c r="I3" s="359"/>
      <c r="J3" s="359"/>
      <c r="K3" s="359"/>
      <c r="L3" s="154"/>
    </row>
    <row r="4" spans="1:15" ht="16">
      <c r="A4" s="362" t="s">
        <v>1</v>
      </c>
      <c r="B4" s="362"/>
      <c r="C4" s="362"/>
      <c r="D4" s="362"/>
      <c r="E4" s="362"/>
      <c r="F4" s="362"/>
      <c r="G4" s="81"/>
      <c r="H4" s="81"/>
      <c r="I4" s="81"/>
      <c r="J4" s="82"/>
      <c r="K4" s="82"/>
      <c r="L4" s="82"/>
    </row>
    <row r="5" spans="1:15" ht="16">
      <c r="A5" s="360" t="s">
        <v>2</v>
      </c>
      <c r="B5" s="360"/>
      <c r="C5" s="360"/>
      <c r="D5" s="360"/>
      <c r="E5" s="360"/>
      <c r="F5" s="360"/>
    </row>
    <row r="6" spans="1:15">
      <c r="A6" s="361" t="s">
        <v>271</v>
      </c>
      <c r="B6" s="361"/>
      <c r="C6" s="361"/>
      <c r="D6" s="361"/>
      <c r="E6" s="361"/>
      <c r="F6" s="361"/>
    </row>
    <row r="7" spans="1:15"/>
    <row r="8" spans="1:15">
      <c r="A8" s="354" t="s">
        <v>3</v>
      </c>
      <c r="B8" s="355"/>
      <c r="C8" s="355"/>
      <c r="D8" s="355"/>
    </row>
    <row r="9" spans="1:15">
      <c r="A9" s="355"/>
      <c r="B9" s="355"/>
      <c r="C9" s="355"/>
      <c r="D9" s="355"/>
    </row>
    <row r="10" spans="1:15">
      <c r="A10" s="357" t="s">
        <v>270</v>
      </c>
      <c r="B10" s="357"/>
      <c r="C10" s="357"/>
      <c r="D10" s="357"/>
      <c r="E10" s="357"/>
      <c r="F10" s="357"/>
      <c r="G10" s="357"/>
      <c r="H10" s="357"/>
      <c r="I10" s="357"/>
      <c r="J10" s="357"/>
      <c r="K10" s="357"/>
    </row>
    <row r="11" spans="1:15">
      <c r="A11" s="357"/>
      <c r="B11" s="357"/>
      <c r="C11" s="357"/>
      <c r="D11" s="357"/>
      <c r="E11" s="357"/>
      <c r="F11" s="357"/>
      <c r="G11" s="357"/>
      <c r="H11" s="357"/>
      <c r="I11" s="357"/>
      <c r="J11" s="357"/>
      <c r="K11" s="357"/>
    </row>
    <row r="12" spans="1:15">
      <c r="A12" s="357"/>
      <c r="B12" s="357"/>
      <c r="C12" s="357"/>
      <c r="D12" s="357"/>
      <c r="E12" s="357"/>
      <c r="F12" s="357"/>
      <c r="G12" s="357"/>
      <c r="H12" s="357"/>
      <c r="I12" s="357"/>
      <c r="J12" s="357"/>
      <c r="K12" s="357"/>
    </row>
    <row r="13" spans="1:15">
      <c r="A13" s="357"/>
      <c r="B13" s="357"/>
      <c r="C13" s="357"/>
      <c r="D13" s="357"/>
      <c r="E13" s="357"/>
      <c r="F13" s="357"/>
      <c r="G13" s="357"/>
      <c r="H13" s="357"/>
      <c r="I13" s="357"/>
      <c r="J13" s="357"/>
      <c r="K13" s="357"/>
    </row>
    <row r="14" spans="1:15">
      <c r="A14" s="357"/>
      <c r="B14" s="357"/>
      <c r="C14" s="357"/>
      <c r="D14" s="357"/>
      <c r="E14" s="357"/>
      <c r="F14" s="357"/>
      <c r="G14" s="357"/>
      <c r="H14" s="357"/>
      <c r="I14" s="357"/>
      <c r="J14" s="357"/>
      <c r="K14" s="357"/>
    </row>
    <row r="15" spans="1:15">
      <c r="A15" s="357" t="s">
        <v>4</v>
      </c>
      <c r="B15" s="357"/>
      <c r="C15" s="357"/>
      <c r="D15" s="357"/>
      <c r="E15" s="357"/>
      <c r="F15" s="357"/>
      <c r="G15" s="357"/>
      <c r="H15" s="357"/>
      <c r="I15" s="357"/>
      <c r="J15" s="357"/>
      <c r="K15" s="357"/>
    </row>
    <row r="16" spans="1:15">
      <c r="A16" s="357"/>
      <c r="B16" s="357"/>
      <c r="C16" s="357"/>
      <c r="D16" s="357"/>
      <c r="E16" s="357"/>
      <c r="F16" s="357"/>
      <c r="G16" s="357"/>
      <c r="H16" s="357"/>
      <c r="I16" s="357"/>
      <c r="J16" s="357"/>
      <c r="K16" s="357"/>
    </row>
    <row r="17" spans="1:11">
      <c r="A17" s="357"/>
      <c r="B17" s="357"/>
      <c r="C17" s="357"/>
      <c r="D17" s="357"/>
      <c r="E17" s="357"/>
      <c r="F17" s="357"/>
      <c r="G17" s="357"/>
      <c r="H17" s="357"/>
      <c r="I17" s="357"/>
      <c r="J17" s="357"/>
      <c r="K17" s="357"/>
    </row>
    <row r="18" spans="1:11">
      <c r="A18" s="357"/>
      <c r="B18" s="357"/>
      <c r="C18" s="357"/>
      <c r="D18" s="357"/>
      <c r="E18" s="357"/>
      <c r="F18" s="357"/>
      <c r="G18" s="357"/>
      <c r="H18" s="357"/>
      <c r="I18" s="357"/>
      <c r="J18" s="357"/>
      <c r="K18" s="357"/>
    </row>
    <row r="19" spans="1:11">
      <c r="A19" s="357"/>
      <c r="B19" s="357"/>
      <c r="C19" s="357"/>
      <c r="D19" s="357"/>
      <c r="E19" s="357"/>
      <c r="F19" s="357"/>
      <c r="G19" s="357"/>
      <c r="H19" s="357"/>
      <c r="I19" s="357"/>
      <c r="J19" s="357"/>
      <c r="K19" s="357"/>
    </row>
    <row r="20" spans="1:11">
      <c r="A20" s="357"/>
      <c r="B20" s="357"/>
      <c r="C20" s="357"/>
      <c r="D20" s="357"/>
      <c r="E20" s="357"/>
      <c r="F20" s="357"/>
      <c r="G20" s="357"/>
      <c r="H20" s="357"/>
      <c r="I20" s="357"/>
      <c r="J20" s="357"/>
      <c r="K20" s="357"/>
    </row>
    <row r="21" spans="1:11">
      <c r="A21" s="357"/>
      <c r="B21" s="357"/>
      <c r="C21" s="357"/>
      <c r="D21" s="357"/>
      <c r="E21" s="357"/>
      <c r="F21" s="357"/>
      <c r="G21" s="357"/>
      <c r="H21" s="357"/>
      <c r="I21" s="357"/>
      <c r="J21" s="357"/>
      <c r="K21" s="357"/>
    </row>
    <row r="22" spans="1:11">
      <c r="A22" s="357"/>
      <c r="B22" s="357"/>
      <c r="C22" s="357"/>
      <c r="D22" s="357"/>
      <c r="E22" s="357"/>
      <c r="F22" s="357"/>
      <c r="G22" s="357"/>
      <c r="H22" s="357"/>
      <c r="I22" s="357"/>
      <c r="J22" s="357"/>
      <c r="K22" s="357"/>
    </row>
    <row r="23" spans="1:11">
      <c r="A23" s="357"/>
      <c r="B23" s="357"/>
      <c r="C23" s="357"/>
      <c r="D23" s="357"/>
      <c r="E23" s="357"/>
      <c r="F23" s="357"/>
      <c r="G23" s="357"/>
      <c r="H23" s="357"/>
      <c r="I23" s="357"/>
      <c r="J23" s="357"/>
      <c r="K23" s="357"/>
    </row>
    <row r="24" spans="1:11">
      <c r="A24" s="357"/>
      <c r="B24" s="357"/>
      <c r="C24" s="357"/>
      <c r="D24" s="357"/>
      <c r="E24" s="357"/>
      <c r="F24" s="357"/>
      <c r="G24" s="357"/>
      <c r="H24" s="357"/>
      <c r="I24" s="357"/>
      <c r="J24" s="357"/>
      <c r="K24" s="357"/>
    </row>
    <row r="25" spans="1:11">
      <c r="A25" s="357"/>
      <c r="B25" s="357"/>
      <c r="C25" s="357"/>
      <c r="D25" s="357"/>
      <c r="E25" s="357"/>
      <c r="F25" s="357"/>
      <c r="G25" s="357"/>
      <c r="H25" s="357"/>
      <c r="I25" s="357"/>
      <c r="J25" s="357"/>
      <c r="K25" s="357"/>
    </row>
    <row r="26" spans="1:11">
      <c r="A26" s="357"/>
      <c r="B26" s="357"/>
      <c r="C26" s="357"/>
      <c r="D26" s="357"/>
      <c r="E26" s="357"/>
      <c r="F26" s="357"/>
      <c r="G26" s="357"/>
      <c r="H26" s="357"/>
      <c r="I26" s="357"/>
      <c r="J26" s="357"/>
      <c r="K26" s="357"/>
    </row>
    <row r="27" spans="1:11">
      <c r="A27" s="357"/>
      <c r="B27" s="357"/>
      <c r="C27" s="357"/>
      <c r="D27" s="357"/>
      <c r="E27" s="357"/>
      <c r="F27" s="357"/>
      <c r="G27" s="357"/>
      <c r="H27" s="357"/>
      <c r="I27" s="357"/>
      <c r="J27" s="357"/>
      <c r="K27" s="357"/>
    </row>
    <row r="28" spans="1:11">
      <c r="A28" s="357"/>
      <c r="B28" s="357"/>
      <c r="C28" s="357"/>
      <c r="D28" s="357"/>
      <c r="E28" s="357"/>
      <c r="F28" s="357"/>
      <c r="G28" s="357"/>
      <c r="H28" s="357"/>
      <c r="I28" s="357"/>
      <c r="J28" s="357"/>
      <c r="K28" s="357"/>
    </row>
    <row r="29" spans="1:11">
      <c r="A29" s="357" t="s">
        <v>5</v>
      </c>
      <c r="B29" s="357"/>
      <c r="C29" s="357"/>
      <c r="D29" s="357"/>
      <c r="E29" s="357"/>
      <c r="F29" s="357"/>
      <c r="G29" s="357"/>
      <c r="H29" s="357"/>
      <c r="I29" s="357"/>
      <c r="J29" s="357"/>
      <c r="K29" s="357"/>
    </row>
    <row r="30" spans="1:11">
      <c r="A30" s="357"/>
      <c r="B30" s="357"/>
      <c r="C30" s="357"/>
      <c r="D30" s="357"/>
      <c r="E30" s="357"/>
      <c r="F30" s="357"/>
      <c r="G30" s="357"/>
      <c r="H30" s="357"/>
      <c r="I30" s="357"/>
      <c r="J30" s="357"/>
      <c r="K30" s="357"/>
    </row>
    <row r="31" spans="1:11">
      <c r="A31" s="357"/>
      <c r="B31" s="357"/>
      <c r="C31" s="357"/>
      <c r="D31" s="357"/>
      <c r="E31" s="357"/>
      <c r="F31" s="357"/>
      <c r="G31" s="357"/>
      <c r="H31" s="357"/>
      <c r="I31" s="357"/>
      <c r="J31" s="357"/>
      <c r="K31" s="357"/>
    </row>
    <row r="32" spans="1:11">
      <c r="A32" s="357"/>
      <c r="B32" s="357"/>
      <c r="C32" s="357"/>
      <c r="D32" s="357"/>
      <c r="E32" s="357"/>
      <c r="F32" s="357"/>
      <c r="G32" s="357"/>
      <c r="H32" s="357"/>
      <c r="I32" s="357"/>
      <c r="J32" s="357"/>
      <c r="K32" s="357"/>
    </row>
    <row r="33" spans="1:23">
      <c r="A33" s="357"/>
      <c r="B33" s="357"/>
      <c r="C33" s="357"/>
      <c r="D33" s="357"/>
      <c r="E33" s="357"/>
      <c r="F33" s="357"/>
      <c r="G33" s="357"/>
      <c r="H33" s="357"/>
      <c r="I33" s="357"/>
      <c r="J33" s="357"/>
      <c r="K33" s="357"/>
      <c r="O33" s="358" t="s">
        <v>6</v>
      </c>
      <c r="P33" s="358"/>
      <c r="Q33" s="358"/>
      <c r="R33" s="358"/>
      <c r="S33" s="358"/>
      <c r="T33" s="358"/>
      <c r="U33" s="358"/>
      <c r="V33" s="358"/>
      <c r="W33" s="358"/>
    </row>
    <row r="34" spans="1:23">
      <c r="A34" s="357"/>
      <c r="B34" s="357"/>
      <c r="C34" s="357"/>
      <c r="D34" s="357"/>
      <c r="E34" s="357"/>
      <c r="F34" s="357"/>
      <c r="G34" s="357"/>
      <c r="H34" s="357"/>
      <c r="I34" s="357"/>
      <c r="J34" s="357"/>
      <c r="K34" s="357"/>
      <c r="O34" s="358"/>
      <c r="P34" s="358"/>
      <c r="Q34" s="358"/>
      <c r="R34" s="358"/>
      <c r="S34" s="358"/>
      <c r="T34" s="358"/>
      <c r="U34" s="358"/>
      <c r="V34" s="358"/>
      <c r="W34" s="358"/>
    </row>
    <row r="35" spans="1:23">
      <c r="A35" s="363" t="s">
        <v>7</v>
      </c>
      <c r="B35" s="363"/>
      <c r="C35" s="363"/>
      <c r="D35" s="363"/>
      <c r="E35" s="363"/>
      <c r="F35" s="363"/>
      <c r="G35" s="363"/>
      <c r="H35" s="363"/>
      <c r="I35" s="363"/>
      <c r="J35" s="363"/>
      <c r="K35" s="363"/>
      <c r="O35" s="358"/>
      <c r="P35" s="358"/>
      <c r="Q35" s="358"/>
      <c r="R35" s="358"/>
      <c r="S35" s="358"/>
      <c r="T35" s="358"/>
      <c r="U35" s="358"/>
      <c r="V35" s="358"/>
      <c r="W35" s="358"/>
    </row>
    <row r="36" spans="1:23">
      <c r="A36" s="363"/>
      <c r="B36" s="363"/>
      <c r="C36" s="363"/>
      <c r="D36" s="363"/>
      <c r="E36" s="363"/>
      <c r="F36" s="363"/>
      <c r="G36" s="363"/>
      <c r="H36" s="363"/>
      <c r="I36" s="363"/>
      <c r="J36" s="363"/>
      <c r="K36" s="363"/>
      <c r="O36" s="358"/>
      <c r="P36" s="358"/>
      <c r="Q36" s="358"/>
      <c r="R36" s="358"/>
      <c r="S36" s="358"/>
      <c r="T36" s="358"/>
      <c r="U36" s="358"/>
      <c r="V36" s="358"/>
      <c r="W36" s="358"/>
    </row>
    <row r="37" spans="1:23">
      <c r="A37" s="363" t="s">
        <v>275</v>
      </c>
      <c r="B37" s="363"/>
      <c r="C37" s="363"/>
      <c r="D37" s="363"/>
      <c r="E37" s="363"/>
      <c r="F37" s="363"/>
      <c r="G37" s="363"/>
      <c r="H37" s="363"/>
      <c r="I37" s="363"/>
      <c r="J37" s="363"/>
      <c r="K37" s="363"/>
      <c r="O37" s="358"/>
      <c r="P37" s="358"/>
      <c r="Q37" s="358"/>
      <c r="R37" s="358"/>
      <c r="S37" s="358"/>
      <c r="T37" s="358"/>
      <c r="U37" s="358"/>
      <c r="V37" s="358"/>
      <c r="W37" s="358"/>
    </row>
    <row r="38" spans="1:23">
      <c r="A38" s="363"/>
      <c r="B38" s="363"/>
      <c r="C38" s="363"/>
      <c r="D38" s="363"/>
      <c r="E38" s="363"/>
      <c r="F38" s="363"/>
      <c r="G38" s="363"/>
      <c r="H38" s="363"/>
      <c r="I38" s="363"/>
      <c r="J38" s="363"/>
      <c r="K38" s="363"/>
      <c r="O38" s="353" t="s">
        <v>8</v>
      </c>
      <c r="P38" s="353"/>
      <c r="Q38" s="353"/>
      <c r="R38" s="353"/>
      <c r="S38" s="353"/>
      <c r="T38" s="353"/>
      <c r="U38" s="353"/>
      <c r="V38" s="165"/>
      <c r="W38" s="165"/>
    </row>
    <row r="39" spans="1:23">
      <c r="A39" s="363"/>
      <c r="B39" s="363"/>
      <c r="C39" s="363"/>
      <c r="D39" s="363"/>
      <c r="E39" s="363"/>
      <c r="F39" s="363"/>
      <c r="G39" s="363"/>
      <c r="H39" s="363"/>
      <c r="I39" s="363"/>
      <c r="J39" s="363"/>
      <c r="K39" s="363"/>
      <c r="O39" s="353"/>
      <c r="P39" s="353"/>
      <c r="Q39" s="353"/>
      <c r="R39" s="353"/>
      <c r="S39" s="353"/>
      <c r="T39" s="353"/>
      <c r="U39" s="353"/>
      <c r="V39" s="165"/>
      <c r="W39" s="165"/>
    </row>
    <row r="40" spans="1:23" ht="20">
      <c r="A40" s="363"/>
      <c r="B40" s="363"/>
      <c r="C40" s="363"/>
      <c r="D40" s="363"/>
      <c r="E40" s="363"/>
      <c r="F40" s="363"/>
      <c r="G40" s="363"/>
      <c r="H40" s="363"/>
      <c r="I40" s="363"/>
      <c r="J40" s="363"/>
      <c r="K40" s="363"/>
      <c r="O40" s="163" t="s">
        <v>9</v>
      </c>
      <c r="P40" s="169"/>
      <c r="Q40" s="169"/>
      <c r="R40" s="169"/>
      <c r="S40" s="169"/>
      <c r="T40" s="169"/>
      <c r="U40" s="169"/>
      <c r="V40" s="165"/>
      <c r="W40" s="165"/>
    </row>
    <row r="41" spans="1:23" ht="16">
      <c r="A41" s="168"/>
      <c r="B41" s="168"/>
      <c r="C41" s="168"/>
      <c r="D41" s="168"/>
      <c r="E41" s="168"/>
      <c r="F41" s="168"/>
      <c r="G41" s="168"/>
      <c r="H41" s="168"/>
      <c r="I41" s="168"/>
      <c r="J41" s="168"/>
      <c r="K41" s="168"/>
      <c r="O41" s="163" t="s">
        <v>10</v>
      </c>
      <c r="P41" s="163"/>
      <c r="Q41" s="163"/>
      <c r="R41" s="163"/>
      <c r="S41" s="163"/>
      <c r="T41" s="163"/>
      <c r="U41" s="165"/>
      <c r="V41" s="165"/>
      <c r="W41" s="165"/>
    </row>
    <row r="42" spans="1:23" ht="16">
      <c r="A42" s="354" t="s">
        <v>11</v>
      </c>
      <c r="B42" s="355"/>
      <c r="C42" s="355"/>
      <c r="D42" s="355"/>
      <c r="E42" s="38"/>
      <c r="F42" s="38"/>
      <c r="G42" s="38"/>
      <c r="H42" s="38"/>
      <c r="I42" s="38"/>
      <c r="J42" s="38"/>
      <c r="K42" s="38"/>
      <c r="O42" s="163" t="s">
        <v>12</v>
      </c>
      <c r="P42" s="163"/>
      <c r="Q42" s="163"/>
      <c r="R42" s="163"/>
      <c r="S42" s="163"/>
      <c r="T42" s="163"/>
    </row>
    <row r="43" spans="1:23" ht="16">
      <c r="A43" s="355"/>
      <c r="B43" s="355"/>
      <c r="C43" s="355"/>
      <c r="D43" s="355"/>
      <c r="E43" s="38"/>
      <c r="F43" s="38"/>
      <c r="G43" s="38"/>
      <c r="H43" s="38"/>
      <c r="I43" s="38"/>
      <c r="J43" s="38"/>
      <c r="K43" s="38"/>
      <c r="O43" s="163" t="s">
        <v>13</v>
      </c>
      <c r="P43" s="167"/>
      <c r="Q43" s="167"/>
      <c r="R43" s="167"/>
      <c r="S43" s="167"/>
      <c r="T43" s="167"/>
      <c r="U43" s="38"/>
      <c r="V43" s="38"/>
      <c r="W43" s="38"/>
    </row>
    <row r="44" spans="1:23" ht="16">
      <c r="A44" s="352" t="s">
        <v>279</v>
      </c>
      <c r="B44" s="352"/>
      <c r="C44" s="352"/>
      <c r="D44" s="352"/>
      <c r="E44" s="352"/>
      <c r="F44" s="352"/>
      <c r="G44" s="352"/>
      <c r="H44" s="352"/>
      <c r="I44" s="352"/>
      <c r="J44" s="352"/>
      <c r="K44" s="352"/>
      <c r="O44" s="163" t="s">
        <v>14</v>
      </c>
      <c r="P44" s="167"/>
      <c r="Q44" s="167"/>
      <c r="R44" s="167"/>
      <c r="S44" s="167"/>
      <c r="T44" s="167"/>
      <c r="U44" s="42"/>
      <c r="V44" s="38"/>
      <c r="W44" s="38"/>
    </row>
    <row r="45" spans="1:23" ht="16">
      <c r="A45" s="352"/>
      <c r="B45" s="352"/>
      <c r="C45" s="352"/>
      <c r="D45" s="352"/>
      <c r="E45" s="352"/>
      <c r="F45" s="352"/>
      <c r="G45" s="352"/>
      <c r="H45" s="352"/>
      <c r="I45" s="352"/>
      <c r="J45" s="352"/>
      <c r="K45" s="352"/>
      <c r="O45" s="163" t="s">
        <v>15</v>
      </c>
      <c r="P45" s="166"/>
      <c r="Q45" s="166"/>
      <c r="R45" s="166"/>
      <c r="S45" s="166"/>
      <c r="T45" s="166"/>
      <c r="U45" s="42"/>
      <c r="V45" s="38"/>
      <c r="W45" s="38"/>
    </row>
    <row r="46" spans="1:23" ht="16">
      <c r="A46" s="352" t="s">
        <v>16</v>
      </c>
      <c r="B46" s="352"/>
      <c r="C46" s="352"/>
      <c r="D46" s="352"/>
      <c r="E46" s="352"/>
      <c r="F46" s="352"/>
      <c r="G46" s="352"/>
      <c r="H46" s="352"/>
      <c r="I46" s="352"/>
      <c r="J46" s="352"/>
      <c r="K46" s="352"/>
      <c r="O46" s="163" t="s">
        <v>17</v>
      </c>
      <c r="P46" s="166"/>
      <c r="Q46" s="166"/>
      <c r="R46" s="166"/>
      <c r="S46" s="166"/>
      <c r="T46" s="166"/>
      <c r="U46" s="42"/>
      <c r="V46" s="38"/>
      <c r="W46" s="38"/>
    </row>
    <row r="47" spans="1:23" ht="16">
      <c r="A47" s="352"/>
      <c r="B47" s="352"/>
      <c r="C47" s="352"/>
      <c r="D47" s="352"/>
      <c r="E47" s="352"/>
      <c r="F47" s="352"/>
      <c r="G47" s="352"/>
      <c r="H47" s="352"/>
      <c r="I47" s="352"/>
      <c r="J47" s="352"/>
      <c r="K47" s="352"/>
      <c r="O47" s="163"/>
      <c r="P47" s="166"/>
      <c r="Q47" s="166"/>
      <c r="R47" s="166"/>
      <c r="S47" s="166"/>
      <c r="T47" s="166"/>
      <c r="U47" s="42"/>
      <c r="V47" s="38"/>
      <c r="W47" s="38"/>
    </row>
    <row r="48" spans="1:23" ht="16">
      <c r="A48" s="352" t="s">
        <v>18</v>
      </c>
      <c r="B48" s="352"/>
      <c r="C48" s="352"/>
      <c r="D48" s="352"/>
      <c r="E48" s="352"/>
      <c r="F48" s="352"/>
      <c r="G48" s="352"/>
      <c r="H48" s="352"/>
      <c r="I48" s="352"/>
      <c r="J48" s="352"/>
      <c r="K48" s="352"/>
      <c r="O48" s="163"/>
      <c r="P48" s="166"/>
      <c r="Q48" s="166"/>
      <c r="R48" s="166"/>
      <c r="S48" s="166"/>
      <c r="T48" s="166"/>
      <c r="U48" s="165"/>
      <c r="V48" s="38"/>
      <c r="W48" s="38"/>
    </row>
    <row r="49" spans="1:23" ht="16">
      <c r="A49" s="352"/>
      <c r="B49" s="352"/>
      <c r="C49" s="352"/>
      <c r="D49" s="352"/>
      <c r="E49" s="352"/>
      <c r="F49" s="352"/>
      <c r="G49" s="352"/>
      <c r="H49" s="352"/>
      <c r="I49" s="352"/>
      <c r="J49" s="352"/>
      <c r="K49" s="352"/>
      <c r="O49" s="163"/>
      <c r="P49" s="166"/>
      <c r="Q49" s="166"/>
      <c r="R49" s="166"/>
      <c r="S49" s="166"/>
      <c r="T49" s="166"/>
      <c r="U49" s="165"/>
      <c r="V49" s="38"/>
      <c r="W49" s="38"/>
    </row>
    <row r="50" spans="1:23" ht="16">
      <c r="A50" s="352" t="s">
        <v>19</v>
      </c>
      <c r="B50" s="352"/>
      <c r="C50" s="352"/>
      <c r="D50" s="352"/>
      <c r="E50" s="352"/>
      <c r="F50" s="352"/>
      <c r="G50" s="352"/>
      <c r="H50" s="352"/>
      <c r="I50" s="352"/>
      <c r="J50" s="352"/>
      <c r="K50" s="352"/>
      <c r="O50" s="163"/>
      <c r="P50" s="166"/>
      <c r="Q50" s="166"/>
      <c r="R50" s="166"/>
      <c r="S50" s="166"/>
      <c r="T50" s="166"/>
      <c r="U50" s="165"/>
      <c r="V50" s="38"/>
      <c r="W50" s="38"/>
    </row>
    <row r="51" spans="1:23">
      <c r="A51" s="352"/>
      <c r="B51" s="352"/>
      <c r="C51" s="352"/>
      <c r="D51" s="352"/>
      <c r="E51" s="352"/>
      <c r="F51" s="352"/>
      <c r="G51" s="352"/>
      <c r="H51" s="352"/>
      <c r="I51" s="352"/>
      <c r="J51" s="352"/>
      <c r="K51" s="352"/>
      <c r="O51" s="41"/>
      <c r="P51" s="165"/>
      <c r="Q51" s="165"/>
      <c r="R51" s="165"/>
      <c r="S51" s="165"/>
      <c r="T51" s="165"/>
      <c r="U51" s="165"/>
      <c r="V51" s="38"/>
      <c r="W51" s="38"/>
    </row>
    <row r="52" spans="1:23">
      <c r="A52" s="164"/>
      <c r="B52" s="164"/>
      <c r="C52" s="164"/>
      <c r="D52" s="164"/>
      <c r="E52" s="164"/>
      <c r="F52" s="164"/>
      <c r="G52" s="164"/>
      <c r="H52" s="164"/>
      <c r="I52" s="164"/>
      <c r="J52" s="164"/>
      <c r="K52" s="164"/>
      <c r="O52" s="41"/>
      <c r="P52" s="165"/>
      <c r="Q52" s="165"/>
      <c r="R52" s="165"/>
      <c r="S52" s="165"/>
      <c r="T52" s="165"/>
      <c r="U52" s="165"/>
      <c r="V52" s="38"/>
      <c r="W52" s="38"/>
    </row>
    <row r="53" spans="1:23">
      <c r="A53" s="354" t="s">
        <v>20</v>
      </c>
      <c r="B53" s="354"/>
      <c r="C53" s="354"/>
      <c r="D53" s="354"/>
      <c r="O53" s="41"/>
      <c r="P53" s="38"/>
      <c r="Q53" s="38"/>
      <c r="R53" s="38"/>
      <c r="S53" s="38"/>
      <c r="T53" s="38"/>
      <c r="U53" s="38"/>
      <c r="V53" s="38"/>
      <c r="W53" s="38"/>
    </row>
    <row r="54" spans="1:23">
      <c r="A54" s="354"/>
      <c r="B54" s="354"/>
      <c r="C54" s="354"/>
      <c r="D54" s="354"/>
      <c r="O54" s="41"/>
      <c r="P54" s="38"/>
      <c r="Q54" s="38"/>
      <c r="R54" s="38"/>
      <c r="S54" s="38"/>
      <c r="T54" s="38"/>
      <c r="U54" s="38"/>
      <c r="V54" s="38"/>
      <c r="W54" s="38"/>
    </row>
    <row r="55" spans="1:23">
      <c r="A55" s="352" t="s">
        <v>273</v>
      </c>
      <c r="B55" s="352"/>
      <c r="C55" s="352"/>
      <c r="D55" s="352"/>
      <c r="E55" s="352"/>
      <c r="F55" s="352"/>
      <c r="G55" s="352"/>
      <c r="H55" s="352"/>
      <c r="I55" s="352"/>
      <c r="J55" s="352"/>
      <c r="K55" s="352"/>
      <c r="O55" s="38"/>
      <c r="P55" s="38"/>
      <c r="Q55" s="38"/>
      <c r="R55" s="38"/>
      <c r="S55" s="38"/>
      <c r="T55" s="38"/>
      <c r="U55" s="38"/>
      <c r="V55" s="38"/>
    </row>
    <row r="56" spans="1:23">
      <c r="A56" s="352"/>
      <c r="B56" s="352"/>
      <c r="C56" s="352"/>
      <c r="D56" s="352"/>
      <c r="E56" s="352"/>
      <c r="F56" s="352"/>
      <c r="G56" s="352"/>
      <c r="H56" s="352"/>
      <c r="I56" s="352"/>
      <c r="J56" s="352"/>
      <c r="K56" s="352"/>
    </row>
    <row r="57" spans="1:23">
      <c r="A57" s="352"/>
      <c r="B57" s="352"/>
      <c r="C57" s="352"/>
      <c r="D57" s="352"/>
      <c r="E57" s="352"/>
      <c r="F57" s="352"/>
      <c r="G57" s="352"/>
      <c r="H57" s="352"/>
      <c r="I57" s="352"/>
      <c r="J57" s="352"/>
      <c r="K57" s="352"/>
    </row>
    <row r="58" spans="1:23">
      <c r="A58" s="352"/>
      <c r="B58" s="352"/>
      <c r="C58" s="352"/>
      <c r="D58" s="352"/>
      <c r="E58" s="352"/>
      <c r="F58" s="352"/>
      <c r="G58" s="352"/>
      <c r="H58" s="352"/>
      <c r="I58" s="352"/>
      <c r="J58" s="352"/>
      <c r="K58" s="352"/>
    </row>
    <row r="59" spans="1:23">
      <c r="A59" s="352"/>
      <c r="B59" s="352"/>
      <c r="C59" s="352"/>
      <c r="D59" s="352"/>
      <c r="E59" s="352"/>
      <c r="F59" s="352"/>
      <c r="G59" s="352"/>
      <c r="H59" s="352"/>
      <c r="I59" s="352"/>
      <c r="J59" s="352"/>
      <c r="K59" s="352"/>
    </row>
    <row r="60" spans="1:23">
      <c r="A60" s="352"/>
      <c r="B60" s="352"/>
      <c r="C60" s="352"/>
      <c r="D60" s="352"/>
      <c r="E60" s="352"/>
      <c r="F60" s="352"/>
      <c r="G60" s="352"/>
      <c r="H60" s="352"/>
      <c r="I60" s="352"/>
      <c r="J60" s="352"/>
      <c r="K60" s="352"/>
    </row>
    <row r="61" spans="1:23">
      <c r="A61" s="352"/>
      <c r="B61" s="352"/>
      <c r="C61" s="352"/>
      <c r="D61" s="352"/>
      <c r="E61" s="352"/>
      <c r="F61" s="352"/>
      <c r="G61" s="352"/>
      <c r="H61" s="352"/>
      <c r="I61" s="352"/>
      <c r="J61" s="352"/>
      <c r="K61" s="352"/>
    </row>
    <row r="62" spans="1:23"/>
    <row r="63" spans="1:23">
      <c r="A63" s="354" t="s">
        <v>21</v>
      </c>
      <c r="B63" s="354"/>
      <c r="C63" s="354"/>
      <c r="D63" s="354"/>
      <c r="E63" s="354"/>
    </row>
    <row r="64" spans="1:23">
      <c r="A64" s="354"/>
      <c r="B64" s="354"/>
      <c r="C64" s="354"/>
      <c r="D64" s="354"/>
      <c r="E64" s="354"/>
    </row>
    <row r="65" spans="1:11">
      <c r="A65" s="352" t="s">
        <v>272</v>
      </c>
      <c r="B65" s="352"/>
      <c r="C65" s="352"/>
      <c r="D65" s="352"/>
      <c r="E65" s="352"/>
      <c r="F65" s="352"/>
      <c r="G65" s="352"/>
      <c r="H65" s="352"/>
      <c r="I65" s="352"/>
      <c r="J65" s="352"/>
      <c r="K65" s="352"/>
    </row>
    <row r="66" spans="1:11">
      <c r="A66" s="352"/>
      <c r="B66" s="352"/>
      <c r="C66" s="352"/>
      <c r="D66" s="352"/>
      <c r="E66" s="352"/>
      <c r="F66" s="352"/>
      <c r="G66" s="352"/>
      <c r="H66" s="352"/>
      <c r="I66" s="352"/>
      <c r="J66" s="352"/>
      <c r="K66" s="352"/>
    </row>
    <row r="67" spans="1:11">
      <c r="A67" s="352"/>
      <c r="B67" s="352"/>
      <c r="C67" s="352"/>
      <c r="D67" s="352"/>
      <c r="E67" s="352"/>
      <c r="F67" s="352"/>
      <c r="G67" s="352"/>
      <c r="H67" s="352"/>
      <c r="I67" s="352"/>
      <c r="J67" s="352"/>
      <c r="K67" s="352"/>
    </row>
    <row r="68" spans="1:11">
      <c r="A68" s="352"/>
      <c r="B68" s="352"/>
      <c r="C68" s="352"/>
      <c r="D68" s="352"/>
      <c r="E68" s="352"/>
      <c r="F68" s="352"/>
      <c r="G68" s="352"/>
      <c r="H68" s="352"/>
      <c r="I68" s="352"/>
      <c r="J68" s="352"/>
      <c r="K68" s="352"/>
    </row>
    <row r="69" spans="1:11">
      <c r="A69" s="352"/>
      <c r="B69" s="352"/>
      <c r="C69" s="352"/>
      <c r="D69" s="352"/>
      <c r="E69" s="352"/>
      <c r="F69" s="352"/>
      <c r="G69" s="352"/>
      <c r="H69" s="352"/>
      <c r="I69" s="352"/>
      <c r="J69" s="352"/>
      <c r="K69" s="352"/>
    </row>
    <row r="70" spans="1:11"/>
    <row r="71" spans="1:11"/>
  </sheetData>
  <sheetProtection algorithmName="SHA-512" hashValue="GIqp8Vjygf7A9o1rIaH1gCMip4RBv5BD2thgG/fz6ddwNVGpr/TjS5D249X56UXpmcxF/aK4LvEnElSgMJQSFg==" saltValue="1R4lepU/OWJ4OTN0ReYTkQ==" spinCount="100000" sheet="1" objects="1" scenarios="1"/>
  <mergeCells count="22">
    <mergeCell ref="A8:D9"/>
    <mergeCell ref="A1:K1"/>
    <mergeCell ref="A15:K28"/>
    <mergeCell ref="O33:W37"/>
    <mergeCell ref="A55:K61"/>
    <mergeCell ref="A3:K3"/>
    <mergeCell ref="A5:F5"/>
    <mergeCell ref="A6:F6"/>
    <mergeCell ref="A4:F4"/>
    <mergeCell ref="A10:K14"/>
    <mergeCell ref="A29:K34"/>
    <mergeCell ref="A35:K36"/>
    <mergeCell ref="A37:K40"/>
    <mergeCell ref="A65:K69"/>
    <mergeCell ref="O38:U39"/>
    <mergeCell ref="A42:D43"/>
    <mergeCell ref="A53:D54"/>
    <mergeCell ref="A63:E64"/>
    <mergeCell ref="A44:K45"/>
    <mergeCell ref="A46:K47"/>
    <mergeCell ref="A48:K49"/>
    <mergeCell ref="A50:K51"/>
  </mergeCells>
  <phoneticPr fontId="12"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showRowColHeaders="0" zoomScaleNormal="100" zoomScalePageLayoutView="68" workbookViewId="0">
      <selection activeCell="L3" sqref="L3"/>
    </sheetView>
  </sheetViews>
  <sheetFormatPr baseColWidth="10" defaultColWidth="0" defaultRowHeight="14" zeroHeight="1"/>
  <cols>
    <col min="1" max="1" width="0.6640625" style="36" customWidth="1"/>
    <col min="2" max="2" width="41.6640625" style="36" customWidth="1"/>
    <col min="3" max="3" width="3.83203125" style="236" customWidth="1"/>
    <col min="4" max="4" width="11.33203125" style="208" customWidth="1"/>
    <col min="5" max="5" width="1.83203125" style="36" customWidth="1"/>
    <col min="6" max="6" width="11.33203125" style="36" customWidth="1"/>
    <col min="7" max="7" width="3.33203125" style="208" customWidth="1"/>
    <col min="8" max="8" width="15.83203125" style="36" customWidth="1"/>
    <col min="9" max="9" width="3.33203125" style="36" customWidth="1"/>
    <col min="10" max="10" width="2" style="36" customWidth="1"/>
    <col min="11" max="11" width="38" style="36" customWidth="1"/>
    <col min="12" max="12" width="8.33203125" style="36" customWidth="1"/>
    <col min="13" max="13" width="4.33203125" style="36" customWidth="1"/>
    <col min="14" max="14" width="0.83203125" style="36" customWidth="1"/>
    <col min="15" max="15" width="11.6640625" style="36" customWidth="1"/>
    <col min="16" max="16" width="7.33203125" style="36" customWidth="1"/>
    <col min="17" max="17" width="11.6640625" style="208" customWidth="1"/>
    <col min="18" max="18" width="13.33203125" style="225" customWidth="1"/>
    <col min="19" max="19" width="8.33203125" style="36" customWidth="1"/>
    <col min="20" max="20" width="5.33203125" style="36" customWidth="1"/>
    <col min="21" max="41" width="9" style="36" hidden="1" customWidth="1"/>
    <col min="42" max="16384" width="9" style="36" hidden="1"/>
  </cols>
  <sheetData>
    <row r="1" spans="1:22" ht="45" customHeight="1">
      <c r="A1" s="277" t="s">
        <v>22</v>
      </c>
      <c r="B1" s="277"/>
      <c r="C1" s="277"/>
      <c r="D1" s="277"/>
      <c r="E1" s="277"/>
      <c r="F1" s="277"/>
      <c r="G1" s="277"/>
      <c r="H1" s="277"/>
      <c r="I1" s="277"/>
      <c r="J1" s="188"/>
      <c r="K1" s="39"/>
      <c r="L1" s="39"/>
      <c r="M1" s="39"/>
      <c r="N1" s="39"/>
      <c r="O1" s="39"/>
      <c r="P1" s="39"/>
      <c r="Q1" s="39"/>
      <c r="R1" s="39"/>
    </row>
    <row r="2" spans="1:22" ht="22" customHeight="1">
      <c r="A2" s="189"/>
      <c r="B2" s="391" t="s">
        <v>23</v>
      </c>
      <c r="C2" s="391"/>
      <c r="D2" s="391"/>
      <c r="E2" s="391"/>
      <c r="F2" s="391"/>
      <c r="G2" s="391"/>
      <c r="H2" s="391"/>
      <c r="I2" s="391"/>
      <c r="J2" s="39"/>
      <c r="K2" s="190"/>
      <c r="L2" s="190"/>
      <c r="M2" s="190"/>
      <c r="N2" s="190"/>
      <c r="O2" s="190"/>
      <c r="P2" s="190"/>
      <c r="Q2" s="190"/>
      <c r="R2" s="190"/>
    </row>
    <row r="3" spans="1:22" ht="50.25" customHeight="1">
      <c r="A3" s="191"/>
      <c r="B3" s="389" t="s">
        <v>24</v>
      </c>
      <c r="C3" s="389"/>
      <c r="D3" s="389"/>
      <c r="E3" s="389"/>
      <c r="F3" s="389"/>
      <c r="G3" s="389"/>
      <c r="H3" s="389"/>
      <c r="I3" s="389"/>
      <c r="J3" s="192"/>
      <c r="K3" s="193"/>
      <c r="L3" s="192"/>
      <c r="M3" s="192"/>
      <c r="N3" s="192"/>
      <c r="O3" s="192"/>
      <c r="P3" s="192"/>
      <c r="Q3" s="192"/>
      <c r="R3" s="192"/>
    </row>
    <row r="4" spans="1:22" ht="31.5" customHeight="1" thickBot="1">
      <c r="B4" s="390"/>
      <c r="C4" s="390"/>
      <c r="D4" s="390"/>
      <c r="E4" s="390"/>
      <c r="F4" s="390"/>
      <c r="G4" s="390"/>
      <c r="H4" s="390"/>
      <c r="I4" s="390"/>
      <c r="J4" s="194"/>
      <c r="K4" s="194"/>
      <c r="L4" s="194"/>
      <c r="M4" s="194"/>
      <c r="N4" s="194"/>
      <c r="O4" s="194"/>
      <c r="P4" s="194"/>
      <c r="Q4" s="194"/>
      <c r="R4" s="194"/>
    </row>
    <row r="5" spans="1:22" ht="15" customHeight="1">
      <c r="B5" s="364" t="s">
        <v>25</v>
      </c>
      <c r="C5" s="365"/>
      <c r="D5" s="365"/>
      <c r="E5" s="195"/>
      <c r="F5" s="368" t="s">
        <v>26</v>
      </c>
      <c r="G5" s="196"/>
      <c r="H5" s="197"/>
      <c r="I5" s="198"/>
      <c r="K5" s="383" t="s">
        <v>27</v>
      </c>
      <c r="L5" s="384"/>
      <c r="M5" s="384"/>
      <c r="N5" s="384"/>
      <c r="O5" s="384"/>
      <c r="P5" s="384"/>
      <c r="Q5" s="384"/>
      <c r="R5" s="385"/>
    </row>
    <row r="6" spans="1:22" ht="15" customHeight="1" thickBot="1">
      <c r="A6" s="199"/>
      <c r="B6" s="366"/>
      <c r="C6" s="367"/>
      <c r="D6" s="367"/>
      <c r="E6" s="200"/>
      <c r="F6" s="369"/>
      <c r="G6" s="201"/>
      <c r="H6" s="202"/>
      <c r="I6" s="203"/>
      <c r="K6" s="386"/>
      <c r="L6" s="387"/>
      <c r="M6" s="387"/>
      <c r="N6" s="387"/>
      <c r="O6" s="387"/>
      <c r="P6" s="387"/>
      <c r="Q6" s="387"/>
      <c r="R6" s="388"/>
    </row>
    <row r="7" spans="1:22" ht="17" customHeight="1">
      <c r="A7" s="199"/>
      <c r="B7" s="204" t="s">
        <v>28</v>
      </c>
      <c r="C7" s="205" t="s">
        <v>29</v>
      </c>
      <c r="D7" s="206" t="s">
        <v>30</v>
      </c>
      <c r="E7" s="207"/>
      <c r="F7" s="8">
        <v>300</v>
      </c>
      <c r="I7" s="209"/>
      <c r="K7" s="210" t="s">
        <v>31</v>
      </c>
      <c r="L7" s="211"/>
      <c r="M7" s="211"/>
      <c r="N7" s="211"/>
      <c r="O7" s="211"/>
      <c r="P7" s="212"/>
      <c r="Q7" s="379" t="s">
        <v>32</v>
      </c>
      <c r="R7" s="381" t="s">
        <v>33</v>
      </c>
    </row>
    <row r="8" spans="1:22" ht="17" customHeight="1">
      <c r="A8" s="199"/>
      <c r="B8" s="204" t="s">
        <v>34</v>
      </c>
      <c r="C8" s="205" t="s">
        <v>35</v>
      </c>
      <c r="D8" s="206" t="s">
        <v>36</v>
      </c>
      <c r="E8" s="207"/>
      <c r="F8" s="26">
        <v>2500</v>
      </c>
      <c r="H8" s="213" t="s">
        <v>37</v>
      </c>
      <c r="I8" s="209"/>
      <c r="K8" s="127" t="s">
        <v>38</v>
      </c>
      <c r="O8" s="214"/>
      <c r="P8" s="37"/>
      <c r="Q8" s="380"/>
      <c r="R8" s="382"/>
    </row>
    <row r="9" spans="1:22" ht="17" customHeight="1">
      <c r="A9" s="199"/>
      <c r="B9" s="204" t="s">
        <v>39</v>
      </c>
      <c r="C9" s="205" t="s">
        <v>40</v>
      </c>
      <c r="D9" s="215" t="s">
        <v>41</v>
      </c>
      <c r="E9" s="207"/>
      <c r="F9" s="9">
        <v>293.14999999999998</v>
      </c>
      <c r="H9" s="40" t="s">
        <v>42</v>
      </c>
      <c r="I9" s="216"/>
      <c r="K9" s="217"/>
      <c r="P9" s="37"/>
      <c r="Q9" s="380"/>
      <c r="R9" s="382"/>
    </row>
    <row r="10" spans="1:22" ht="17" customHeight="1">
      <c r="A10" s="199"/>
      <c r="B10" s="204" t="s">
        <v>43</v>
      </c>
      <c r="C10" s="205" t="s">
        <v>44</v>
      </c>
      <c r="D10" s="206" t="s">
        <v>45</v>
      </c>
      <c r="E10" s="207"/>
      <c r="F10" s="9">
        <v>25.92</v>
      </c>
      <c r="H10" s="218"/>
      <c r="I10" s="209"/>
      <c r="K10" s="217"/>
      <c r="P10" s="37"/>
      <c r="Q10" s="219" t="s">
        <v>46</v>
      </c>
      <c r="R10" s="220" t="s">
        <v>47</v>
      </c>
    </row>
    <row r="11" spans="1:22" ht="17" customHeight="1">
      <c r="A11" s="38"/>
      <c r="B11" s="204" t="s">
        <v>48</v>
      </c>
      <c r="C11" s="205" t="s">
        <v>49</v>
      </c>
      <c r="D11" s="206" t="s">
        <v>50</v>
      </c>
      <c r="E11" s="207"/>
      <c r="F11" s="27">
        <v>1.53</v>
      </c>
      <c r="G11" s="221"/>
      <c r="I11" s="209"/>
      <c r="K11" s="217"/>
      <c r="P11" s="222"/>
      <c r="Q11" s="30">
        <v>0</v>
      </c>
      <c r="R11" s="32">
        <v>100</v>
      </c>
    </row>
    <row r="12" spans="1:22" ht="17" customHeight="1">
      <c r="A12" s="199"/>
      <c r="B12" s="204" t="s">
        <v>51</v>
      </c>
      <c r="C12" s="205" t="s">
        <v>52</v>
      </c>
      <c r="D12" s="206" t="s">
        <v>53</v>
      </c>
      <c r="E12" s="207"/>
      <c r="F12" s="9">
        <v>44.87</v>
      </c>
      <c r="H12" s="218"/>
      <c r="I12" s="209"/>
      <c r="K12" s="217"/>
      <c r="P12" s="222"/>
      <c r="Q12" s="30">
        <v>10</v>
      </c>
      <c r="R12" s="32">
        <v>100</v>
      </c>
    </row>
    <row r="13" spans="1:22" ht="17" customHeight="1">
      <c r="A13" s="199"/>
      <c r="B13" s="204" t="s">
        <v>54</v>
      </c>
      <c r="C13" s="205" t="s">
        <v>55</v>
      </c>
      <c r="D13" s="206" t="s">
        <v>56</v>
      </c>
      <c r="E13" s="207"/>
      <c r="F13" s="10">
        <v>6.4000000000000001E-2</v>
      </c>
      <c r="H13" s="218"/>
      <c r="I13" s="209"/>
      <c r="K13" s="217"/>
      <c r="P13" s="222"/>
      <c r="Q13" s="30">
        <v>50</v>
      </c>
      <c r="R13" s="32">
        <v>30</v>
      </c>
    </row>
    <row r="14" spans="1:22" ht="17" customHeight="1">
      <c r="A14" s="199"/>
      <c r="B14" s="204" t="s">
        <v>57</v>
      </c>
      <c r="C14" s="205" t="s">
        <v>58</v>
      </c>
      <c r="D14" s="206" t="s">
        <v>56</v>
      </c>
      <c r="E14" s="207"/>
      <c r="F14" s="93">
        <v>0.37</v>
      </c>
      <c r="H14" s="218"/>
      <c r="I14" s="209"/>
      <c r="K14" s="217"/>
      <c r="P14" s="222"/>
      <c r="Q14" s="30">
        <v>100</v>
      </c>
      <c r="R14" s="32">
        <v>10</v>
      </c>
    </row>
    <row r="15" spans="1:22" ht="17" customHeight="1">
      <c r="A15" s="199"/>
      <c r="B15" s="223" t="s">
        <v>59</v>
      </c>
      <c r="C15" s="205" t="s">
        <v>60</v>
      </c>
      <c r="D15" s="206" t="s">
        <v>61</v>
      </c>
      <c r="E15" s="207"/>
      <c r="F15" s="93">
        <v>4.5999999999999999E-2</v>
      </c>
      <c r="I15" s="209"/>
      <c r="K15" s="217"/>
      <c r="P15" s="222"/>
      <c r="Q15" s="30">
        <v>150</v>
      </c>
      <c r="R15" s="32">
        <v>2</v>
      </c>
    </row>
    <row r="16" spans="1:22" ht="17" customHeight="1">
      <c r="A16" s="199"/>
      <c r="B16" s="204" t="s">
        <v>62</v>
      </c>
      <c r="C16" s="205" t="s">
        <v>63</v>
      </c>
      <c r="D16" s="206" t="s">
        <v>64</v>
      </c>
      <c r="E16" s="207"/>
      <c r="F16" s="9">
        <v>0.41</v>
      </c>
      <c r="H16" s="218"/>
      <c r="I16" s="209"/>
      <c r="K16" s="217"/>
      <c r="P16" s="222"/>
      <c r="Q16" s="30">
        <v>250</v>
      </c>
      <c r="R16" s="33">
        <v>1</v>
      </c>
      <c r="S16" s="224"/>
      <c r="T16" s="225"/>
      <c r="U16" s="225"/>
      <c r="V16" s="225"/>
    </row>
    <row r="17" spans="1:23" ht="17" customHeight="1">
      <c r="A17" s="199"/>
      <c r="B17" s="204" t="s">
        <v>65</v>
      </c>
      <c r="C17" s="205" t="s">
        <v>66</v>
      </c>
      <c r="D17" s="206" t="s">
        <v>67</v>
      </c>
      <c r="E17" s="207"/>
      <c r="F17" s="11">
        <v>1.7999999999999999E-2</v>
      </c>
      <c r="H17" s="218"/>
      <c r="I17" s="209"/>
      <c r="K17" s="217"/>
      <c r="Q17" s="30">
        <v>300</v>
      </c>
      <c r="R17" s="32">
        <v>0.5</v>
      </c>
    </row>
    <row r="18" spans="1:23" ht="17" customHeight="1">
      <c r="A18" s="199"/>
      <c r="B18" s="204" t="s">
        <v>68</v>
      </c>
      <c r="C18" s="205" t="s">
        <v>69</v>
      </c>
      <c r="D18" s="206" t="s">
        <v>56</v>
      </c>
      <c r="E18" s="207"/>
      <c r="F18" s="9">
        <v>1.51</v>
      </c>
      <c r="H18" s="218"/>
      <c r="I18" s="209"/>
      <c r="K18" s="217"/>
      <c r="Q18" s="30"/>
      <c r="R18" s="34"/>
      <c r="T18" s="226"/>
    </row>
    <row r="19" spans="1:23" ht="17" customHeight="1">
      <c r="A19" s="199"/>
      <c r="B19" s="204" t="s">
        <v>70</v>
      </c>
      <c r="C19" s="205" t="s">
        <v>71</v>
      </c>
      <c r="D19" s="206" t="s">
        <v>61</v>
      </c>
      <c r="E19" s="207"/>
      <c r="F19" s="13">
        <v>13.908744469116712</v>
      </c>
      <c r="H19" s="218"/>
      <c r="I19" s="209"/>
      <c r="K19" s="217"/>
      <c r="Q19" s="30"/>
      <c r="R19" s="34"/>
      <c r="T19" s="226"/>
    </row>
    <row r="20" spans="1:23" ht="17" customHeight="1">
      <c r="A20" s="199"/>
      <c r="B20" s="204" t="s">
        <v>72</v>
      </c>
      <c r="C20" s="205" t="s">
        <v>73</v>
      </c>
      <c r="D20" s="206" t="s">
        <v>56</v>
      </c>
      <c r="E20" s="207"/>
      <c r="F20" s="14">
        <v>0.21890879227288193</v>
      </c>
      <c r="H20" s="218"/>
      <c r="I20" s="209"/>
      <c r="K20" s="217"/>
      <c r="Q20" s="30"/>
      <c r="R20" s="33"/>
      <c r="W20" s="208"/>
    </row>
    <row r="21" spans="1:23" ht="17" customHeight="1">
      <c r="A21" s="199"/>
      <c r="B21" s="223" t="s">
        <v>74</v>
      </c>
      <c r="C21" s="227" t="s">
        <v>75</v>
      </c>
      <c r="D21" s="206" t="s">
        <v>56</v>
      </c>
      <c r="E21" s="207"/>
      <c r="F21" s="28">
        <v>4.707582088954501</v>
      </c>
      <c r="I21" s="228"/>
      <c r="K21" s="217"/>
      <c r="Q21" s="30"/>
      <c r="R21" s="33"/>
    </row>
    <row r="22" spans="1:23" ht="17" customHeight="1" thickBot="1">
      <c r="A22" s="199"/>
      <c r="B22" s="229" t="s">
        <v>76</v>
      </c>
      <c r="C22" s="230" t="s">
        <v>77</v>
      </c>
      <c r="D22" s="231" t="s">
        <v>78</v>
      </c>
      <c r="E22" s="232"/>
      <c r="F22" s="29">
        <v>751.1533756331437</v>
      </c>
      <c r="G22" s="233"/>
      <c r="H22" s="234"/>
      <c r="I22" s="235"/>
      <c r="K22" s="217"/>
      <c r="Q22" s="30"/>
      <c r="R22" s="33"/>
      <c r="T22" s="224"/>
      <c r="U22" s="224"/>
      <c r="V22" s="224"/>
      <c r="W22" s="224"/>
    </row>
    <row r="23" spans="1:23" ht="17" customHeight="1" thickBot="1">
      <c r="K23" s="217"/>
      <c r="Q23" s="30"/>
      <c r="R23" s="33"/>
    </row>
    <row r="24" spans="1:23" ht="15" customHeight="1">
      <c r="B24" s="364" t="s">
        <v>79</v>
      </c>
      <c r="C24" s="365"/>
      <c r="D24" s="365"/>
      <c r="E24" s="195"/>
      <c r="F24" s="368" t="s">
        <v>26</v>
      </c>
      <c r="G24" s="196"/>
      <c r="H24" s="197"/>
      <c r="I24" s="198"/>
      <c r="K24" s="217"/>
      <c r="Q24" s="30"/>
      <c r="R24" s="33"/>
      <c r="S24" s="224"/>
      <c r="T24" s="225"/>
      <c r="U24" s="225"/>
      <c r="V24" s="225"/>
    </row>
    <row r="25" spans="1:23" ht="15" customHeight="1" thickBot="1">
      <c r="B25" s="366"/>
      <c r="C25" s="367"/>
      <c r="D25" s="367"/>
      <c r="E25" s="200"/>
      <c r="F25" s="369"/>
      <c r="G25" s="201"/>
      <c r="H25" s="202"/>
      <c r="I25" s="203"/>
      <c r="K25" s="331"/>
      <c r="L25" s="332"/>
      <c r="M25" s="332"/>
      <c r="N25" s="332"/>
      <c r="O25" s="332"/>
      <c r="P25" s="332"/>
      <c r="Q25" s="30"/>
      <c r="R25" s="33"/>
      <c r="S25" s="224"/>
      <c r="T25" s="225"/>
      <c r="U25" s="225"/>
      <c r="V25" s="225"/>
    </row>
    <row r="26" spans="1:23" ht="17" customHeight="1">
      <c r="B26" s="204" t="s">
        <v>80</v>
      </c>
      <c r="C26" s="205" t="s">
        <v>81</v>
      </c>
      <c r="D26" s="206" t="s">
        <v>82</v>
      </c>
      <c r="E26" s="207"/>
      <c r="F26" s="20">
        <v>62.1</v>
      </c>
      <c r="G26" s="238"/>
      <c r="I26" s="209"/>
      <c r="K26" s="331"/>
      <c r="L26" s="332"/>
      <c r="M26" s="332"/>
      <c r="N26" s="332"/>
      <c r="O26" s="332"/>
      <c r="P26" s="332"/>
      <c r="Q26" s="30"/>
      <c r="R26" s="33"/>
      <c r="S26" s="224"/>
      <c r="T26" s="225"/>
      <c r="U26" s="225"/>
      <c r="V26" s="225"/>
    </row>
    <row r="27" spans="1:23" ht="17" customHeight="1">
      <c r="B27" s="204" t="s">
        <v>80</v>
      </c>
      <c r="C27" s="205" t="s">
        <v>83</v>
      </c>
      <c r="D27" s="206" t="s">
        <v>56</v>
      </c>
      <c r="E27" s="207"/>
      <c r="F27" s="9">
        <v>0.19</v>
      </c>
      <c r="H27" s="213" t="s">
        <v>84</v>
      </c>
      <c r="I27" s="209"/>
      <c r="K27" s="331"/>
      <c r="L27" s="332"/>
      <c r="M27" s="332"/>
      <c r="N27" s="332"/>
      <c r="O27" s="332"/>
      <c r="P27" s="332"/>
      <c r="Q27" s="30"/>
      <c r="R27" s="33"/>
      <c r="S27" s="224"/>
      <c r="T27" s="225"/>
      <c r="U27" s="225"/>
      <c r="V27" s="225"/>
    </row>
    <row r="28" spans="1:23" ht="17" customHeight="1">
      <c r="B28" s="204" t="s">
        <v>80</v>
      </c>
      <c r="C28" s="205" t="s">
        <v>85</v>
      </c>
      <c r="D28" s="206" t="s">
        <v>86</v>
      </c>
      <c r="E28" s="207"/>
      <c r="F28" s="19">
        <v>71</v>
      </c>
      <c r="H28" s="40" t="s">
        <v>87</v>
      </c>
      <c r="I28" s="209"/>
      <c r="K28" s="331"/>
      <c r="L28" s="332"/>
      <c r="M28" s="332"/>
      <c r="N28" s="332"/>
      <c r="O28" s="332"/>
      <c r="P28" s="332"/>
      <c r="Q28" s="30"/>
      <c r="R28" s="33"/>
      <c r="S28" s="224"/>
      <c r="T28" s="225"/>
      <c r="U28" s="225"/>
      <c r="V28" s="225"/>
    </row>
    <row r="29" spans="1:23" ht="17" customHeight="1">
      <c r="B29" s="204" t="s">
        <v>88</v>
      </c>
      <c r="C29" s="205" t="s">
        <v>89</v>
      </c>
      <c r="D29" s="206" t="s">
        <v>90</v>
      </c>
      <c r="E29" s="207"/>
      <c r="F29" s="9">
        <v>414.07</v>
      </c>
      <c r="H29" s="218"/>
      <c r="I29" s="209"/>
      <c r="K29" s="331"/>
      <c r="L29" s="332"/>
      <c r="M29" s="332"/>
      <c r="N29" s="332"/>
      <c r="O29" s="332"/>
      <c r="P29" s="332"/>
      <c r="Q29" s="30"/>
      <c r="R29" s="33"/>
      <c r="S29" s="224"/>
      <c r="T29" s="225"/>
      <c r="U29" s="225"/>
      <c r="V29" s="225"/>
    </row>
    <row r="30" spans="1:23" ht="17" customHeight="1">
      <c r="B30" s="204" t="s">
        <v>91</v>
      </c>
      <c r="C30" s="205" t="s">
        <v>92</v>
      </c>
      <c r="D30" s="206" t="s">
        <v>93</v>
      </c>
      <c r="E30" s="207"/>
      <c r="F30" s="12">
        <v>4.8999999999999997E-6</v>
      </c>
      <c r="H30" s="239"/>
      <c r="I30" s="209"/>
      <c r="K30" s="240"/>
      <c r="L30" s="241"/>
      <c r="M30" s="241"/>
      <c r="N30" s="241"/>
      <c r="O30" s="241"/>
      <c r="P30" s="332"/>
      <c r="Q30" s="30"/>
      <c r="R30" s="33"/>
      <c r="S30" s="224"/>
      <c r="T30" s="225"/>
      <c r="U30" s="225"/>
      <c r="V30" s="225"/>
    </row>
    <row r="31" spans="1:23" ht="17" customHeight="1">
      <c r="B31" s="204" t="s">
        <v>94</v>
      </c>
      <c r="C31" s="242" t="s">
        <v>95</v>
      </c>
      <c r="D31" s="206" t="s">
        <v>96</v>
      </c>
      <c r="E31" s="207"/>
      <c r="F31" s="9">
        <v>237.2</v>
      </c>
      <c r="G31" s="243"/>
      <c r="H31" s="218"/>
      <c r="I31" s="209"/>
      <c r="K31" s="244" t="s">
        <v>29</v>
      </c>
      <c r="L31" s="241" t="str">
        <f>IF(LEN($F$7)&gt;0, "= " &amp;F7 &amp; " cm", "")</f>
        <v>= 300 cm</v>
      </c>
      <c r="M31" s="241"/>
      <c r="N31" s="241"/>
      <c r="O31" s="241"/>
      <c r="P31" s="332"/>
      <c r="Q31" s="30"/>
      <c r="R31" s="33"/>
      <c r="S31" s="224"/>
      <c r="T31" s="225"/>
      <c r="U31" s="225"/>
      <c r="V31" s="225"/>
    </row>
    <row r="32" spans="1:23" ht="17" customHeight="1">
      <c r="B32" s="204" t="s">
        <v>97</v>
      </c>
      <c r="C32" s="205" t="s">
        <v>98</v>
      </c>
      <c r="D32" s="206" t="s">
        <v>99</v>
      </c>
      <c r="E32" s="207"/>
      <c r="F32" s="20">
        <v>136.19999999999999</v>
      </c>
      <c r="G32" s="243"/>
      <c r="H32" s="218"/>
      <c r="I32" s="209"/>
      <c r="K32" s="244" t="s">
        <v>100</v>
      </c>
      <c r="L32" s="241" t="str">
        <f>IF(LEN($F$41)&gt;0, "= " &amp; F41 &amp; " m/yr", "")</f>
        <v>= 365 m/yr</v>
      </c>
      <c r="M32" s="241"/>
      <c r="N32" s="241"/>
      <c r="O32" s="241"/>
      <c r="P32" s="332"/>
      <c r="Q32" s="30"/>
      <c r="R32" s="33"/>
      <c r="S32" s="224"/>
      <c r="T32" s="225"/>
      <c r="U32" s="225"/>
      <c r="V32" s="225"/>
    </row>
    <row r="33" spans="2:26" ht="17" customHeight="1">
      <c r="B33" s="204" t="s">
        <v>101</v>
      </c>
      <c r="C33" s="205" t="s">
        <v>102</v>
      </c>
      <c r="D33" s="206" t="s">
        <v>99</v>
      </c>
      <c r="E33" s="207"/>
      <c r="F33" s="140">
        <v>0.55841999999999992</v>
      </c>
      <c r="G33" s="243"/>
      <c r="H33" s="218"/>
      <c r="I33" s="209"/>
      <c r="K33" s="244" t="s">
        <v>103</v>
      </c>
      <c r="L33" s="241" t="str">
        <f>IF(LEN(F42)&gt;0, "= " &amp;  TEXT(F42, "0.00")  &amp; " m", "")</f>
        <v>= 3.00 m</v>
      </c>
      <c r="M33" s="241"/>
      <c r="N33" s="241"/>
      <c r="O33" s="241"/>
      <c r="P33" s="332"/>
      <c r="Q33" s="30"/>
      <c r="R33" s="33"/>
      <c r="S33" s="224"/>
      <c r="T33" s="225"/>
      <c r="U33" s="225"/>
      <c r="V33" s="225"/>
    </row>
    <row r="34" spans="2:26" ht="17" customHeight="1">
      <c r="B34" s="245" t="s">
        <v>104</v>
      </c>
      <c r="C34" s="246" t="s">
        <v>105</v>
      </c>
      <c r="D34" s="247" t="s">
        <v>106</v>
      </c>
      <c r="E34" s="248"/>
      <c r="F34" s="21">
        <v>3.6923528244082638E-3</v>
      </c>
      <c r="H34" s="239"/>
      <c r="I34" s="209"/>
      <c r="K34" s="244" t="s">
        <v>107</v>
      </c>
      <c r="L34" s="241" t="str">
        <f>IF(LEN(F43)&gt;0, "= " &amp; F43 &amp; " m", "")</f>
        <v>= 0.35 m</v>
      </c>
      <c r="M34" s="241"/>
      <c r="N34" s="241"/>
      <c r="O34" s="241"/>
      <c r="P34" s="332"/>
      <c r="Q34" s="30"/>
      <c r="R34" s="33"/>
      <c r="S34" s="224"/>
      <c r="T34" s="225"/>
      <c r="U34" s="225"/>
      <c r="V34" s="225"/>
    </row>
    <row r="35" spans="2:26" ht="18" customHeight="1">
      <c r="B35" s="376" t="s">
        <v>108</v>
      </c>
      <c r="C35" s="377"/>
      <c r="D35" s="377"/>
      <c r="E35" s="377"/>
      <c r="F35" s="378"/>
      <c r="H35" s="239"/>
      <c r="I35" s="209"/>
      <c r="K35" s="244" t="s">
        <v>109</v>
      </c>
      <c r="L35" s="249" t="str">
        <f>IF(LEN(F45)&gt;0, "= " &amp; TEXT(F45, "0.00") &amp; " m", "")</f>
        <v>= 0.32 m</v>
      </c>
      <c r="M35" s="241"/>
      <c r="N35" s="241"/>
      <c r="O35" s="241"/>
      <c r="P35" s="332"/>
      <c r="Q35" s="30"/>
      <c r="R35" s="33"/>
      <c r="S35" s="224"/>
      <c r="T35" s="225"/>
      <c r="U35" s="225"/>
      <c r="V35" s="225"/>
    </row>
    <row r="36" spans="2:26" ht="17" customHeight="1">
      <c r="B36" s="250" t="s">
        <v>110</v>
      </c>
      <c r="C36" s="251" t="s">
        <v>111</v>
      </c>
      <c r="D36" s="252" t="s">
        <v>56</v>
      </c>
      <c r="E36" s="253"/>
      <c r="F36" s="15">
        <v>0.5</v>
      </c>
      <c r="H36" s="218"/>
      <c r="I36" s="209"/>
      <c r="K36" s="244" t="s">
        <v>112</v>
      </c>
      <c r="L36" s="241" t="str">
        <f>IF(LEN(F10)&gt;0, "= " &amp; F10 &amp; " cm/yr", "")</f>
        <v>= 25.92 cm/yr</v>
      </c>
      <c r="M36" s="241"/>
      <c r="N36" s="241"/>
      <c r="O36" s="241"/>
      <c r="P36" s="332"/>
      <c r="Q36" s="30"/>
      <c r="R36" s="33"/>
      <c r="S36" s="224"/>
      <c r="T36" s="225"/>
      <c r="U36" s="225"/>
      <c r="V36" s="225"/>
    </row>
    <row r="37" spans="2:26" ht="17" customHeight="1" thickBot="1">
      <c r="B37" s="229" t="s">
        <v>113</v>
      </c>
      <c r="C37" s="254" t="s">
        <v>114</v>
      </c>
      <c r="D37" s="231" t="s">
        <v>115</v>
      </c>
      <c r="E37" s="255"/>
      <c r="F37" s="22">
        <v>1E-4</v>
      </c>
      <c r="G37" s="233"/>
      <c r="H37" s="256"/>
      <c r="I37" s="235"/>
      <c r="K37" s="240"/>
      <c r="L37" s="241"/>
      <c r="M37" s="241"/>
      <c r="N37" s="241"/>
      <c r="O37" s="241"/>
      <c r="P37" s="332"/>
      <c r="Q37" s="30"/>
      <c r="R37" s="33"/>
      <c r="S37" s="224"/>
      <c r="U37" s="208"/>
    </row>
    <row r="38" spans="2:26" ht="17" customHeight="1" thickBot="1">
      <c r="K38" s="240"/>
      <c r="L38" s="241"/>
      <c r="M38" s="241"/>
      <c r="N38" s="241"/>
      <c r="O38" s="241"/>
      <c r="P38" s="332"/>
      <c r="Q38" s="30"/>
      <c r="R38" s="33"/>
      <c r="S38" s="224"/>
    </row>
    <row r="39" spans="2:26" ht="15" customHeight="1">
      <c r="B39" s="364" t="s">
        <v>116</v>
      </c>
      <c r="C39" s="365"/>
      <c r="D39" s="365"/>
      <c r="E39" s="195"/>
      <c r="F39" s="368" t="s">
        <v>26</v>
      </c>
      <c r="G39" s="196"/>
      <c r="H39" s="197"/>
      <c r="I39" s="198"/>
      <c r="K39" s="331"/>
      <c r="L39" s="332"/>
      <c r="M39" s="332"/>
      <c r="N39" s="332"/>
      <c r="O39" s="332"/>
      <c r="P39" s="332"/>
      <c r="Q39" s="30"/>
      <c r="R39" s="34"/>
      <c r="S39" s="224"/>
    </row>
    <row r="40" spans="2:26" ht="15" customHeight="1" thickBot="1">
      <c r="B40" s="366"/>
      <c r="C40" s="367"/>
      <c r="D40" s="367"/>
      <c r="E40" s="200"/>
      <c r="F40" s="369"/>
      <c r="G40" s="201"/>
      <c r="H40" s="202"/>
      <c r="I40" s="203"/>
      <c r="K40" s="257"/>
      <c r="L40" s="258"/>
      <c r="M40" s="258"/>
      <c r="N40" s="258"/>
      <c r="O40" s="258"/>
      <c r="P40" s="259"/>
      <c r="Q40" s="31"/>
      <c r="R40" s="35"/>
      <c r="S40" s="224"/>
    </row>
    <row r="41" spans="2:26" ht="17" customHeight="1" thickBot="1">
      <c r="B41" s="260" t="s">
        <v>117</v>
      </c>
      <c r="C41" s="261" t="s">
        <v>118</v>
      </c>
      <c r="D41" s="262" t="s">
        <v>119</v>
      </c>
      <c r="E41" s="263"/>
      <c r="F41" s="175">
        <v>365</v>
      </c>
      <c r="H41" s="37"/>
      <c r="I41" s="209"/>
      <c r="K41" s="208"/>
      <c r="Q41" s="37"/>
    </row>
    <row r="42" spans="2:26" ht="17" customHeight="1">
      <c r="B42" s="204" t="s">
        <v>120</v>
      </c>
      <c r="C42" s="205" t="s">
        <v>103</v>
      </c>
      <c r="D42" s="206" t="s">
        <v>121</v>
      </c>
      <c r="E42" s="207"/>
      <c r="F42" s="175">
        <v>3</v>
      </c>
      <c r="H42" s="37"/>
      <c r="I42" s="209"/>
      <c r="K42" s="364" t="s">
        <v>122</v>
      </c>
      <c r="L42" s="365"/>
      <c r="M42" s="365"/>
      <c r="N42" s="195"/>
      <c r="O42" s="368" t="s">
        <v>26</v>
      </c>
      <c r="P42" s="264"/>
      <c r="Q42" s="265"/>
      <c r="R42" s="266"/>
      <c r="Y42" s="224"/>
      <c r="Z42" s="225"/>
    </row>
    <row r="43" spans="2:26" ht="17" customHeight="1" thickBot="1">
      <c r="B43" s="267" t="s">
        <v>123</v>
      </c>
      <c r="C43" s="268" t="s">
        <v>124</v>
      </c>
      <c r="D43" s="37" t="s">
        <v>121</v>
      </c>
      <c r="E43" s="269"/>
      <c r="F43" s="176">
        <v>0.35</v>
      </c>
      <c r="H43" s="37"/>
      <c r="I43" s="209"/>
      <c r="K43" s="366"/>
      <c r="L43" s="367"/>
      <c r="M43" s="367"/>
      <c r="N43" s="200"/>
      <c r="O43" s="369"/>
      <c r="P43" s="370" t="s">
        <v>125</v>
      </c>
      <c r="Q43" s="371"/>
      <c r="R43" s="372"/>
      <c r="V43" s="226"/>
      <c r="Y43" s="224"/>
      <c r="Z43" s="225"/>
    </row>
    <row r="44" spans="2:26" ht="17" customHeight="1">
      <c r="B44" s="204" t="s">
        <v>126</v>
      </c>
      <c r="C44" s="268" t="s">
        <v>127</v>
      </c>
      <c r="D44" s="37" t="s">
        <v>121</v>
      </c>
      <c r="E44" s="269"/>
      <c r="F44" s="177">
        <v>1.6799999999999999E-2</v>
      </c>
      <c r="H44" s="37"/>
      <c r="I44" s="209"/>
      <c r="K44" s="260" t="s">
        <v>128</v>
      </c>
      <c r="L44" s="261" t="s">
        <v>129</v>
      </c>
      <c r="M44" s="262" t="s">
        <v>130</v>
      </c>
      <c r="N44" s="263"/>
      <c r="O44" s="16">
        <v>100</v>
      </c>
      <c r="P44" s="370"/>
      <c r="Q44" s="371"/>
      <c r="R44" s="372"/>
      <c r="Y44" s="224"/>
      <c r="Z44" s="225"/>
    </row>
    <row r="45" spans="2:26" ht="15" customHeight="1">
      <c r="B45" s="267" t="s">
        <v>131</v>
      </c>
      <c r="C45" s="268" t="s">
        <v>132</v>
      </c>
      <c r="D45" s="37" t="s">
        <v>121</v>
      </c>
      <c r="E45" s="269"/>
      <c r="F45" s="177">
        <v>0.31961409763508913</v>
      </c>
      <c r="H45" s="37"/>
      <c r="I45" s="209"/>
      <c r="K45" s="204" t="s">
        <v>133</v>
      </c>
      <c r="L45" s="205" t="s">
        <v>134</v>
      </c>
      <c r="M45" s="206" t="s">
        <v>130</v>
      </c>
      <c r="N45" s="207"/>
      <c r="O45" s="17">
        <v>1</v>
      </c>
      <c r="P45" s="270"/>
      <c r="Q45" s="36"/>
      <c r="R45" s="271"/>
      <c r="U45" s="208"/>
      <c r="Y45" s="224"/>
      <c r="Z45" s="225"/>
    </row>
    <row r="46" spans="2:26" ht="15.75" customHeight="1" thickBot="1">
      <c r="B46" s="229" t="s">
        <v>135</v>
      </c>
      <c r="C46" s="230" t="s">
        <v>136</v>
      </c>
      <c r="D46" s="231" t="s">
        <v>137</v>
      </c>
      <c r="E46" s="232"/>
      <c r="F46" s="141">
        <v>151.02462144651173</v>
      </c>
      <c r="G46" s="272"/>
      <c r="H46" s="273"/>
      <c r="I46" s="235"/>
      <c r="K46" s="229" t="s">
        <v>138</v>
      </c>
      <c r="L46" s="230" t="s">
        <v>139</v>
      </c>
      <c r="M46" s="231" t="s">
        <v>140</v>
      </c>
      <c r="N46" s="232"/>
      <c r="O46" s="18">
        <v>4</v>
      </c>
      <c r="P46" s="373" t="s">
        <v>141</v>
      </c>
      <c r="Q46" s="374"/>
      <c r="R46" s="375"/>
      <c r="S46" s="224"/>
      <c r="T46" s="225"/>
      <c r="U46" s="225"/>
      <c r="V46" s="225"/>
    </row>
    <row r="47" spans="2:26" ht="13" customHeight="1">
      <c r="K47" s="208"/>
      <c r="Q47" s="37"/>
      <c r="Y47" s="224"/>
      <c r="Z47" s="225"/>
    </row>
    <row r="48" spans="2:26" ht="14" customHeight="1">
      <c r="K48" s="208"/>
      <c r="Q48" s="37"/>
      <c r="Y48" s="224"/>
      <c r="Z48" s="225"/>
    </row>
    <row r="49" spans="1:26">
      <c r="K49" s="208"/>
      <c r="O49" s="208"/>
      <c r="Q49" s="37"/>
      <c r="Y49" s="224"/>
      <c r="Z49" s="225"/>
    </row>
    <row r="50" spans="1:26" hidden="1">
      <c r="K50" s="208"/>
      <c r="Q50" s="37"/>
      <c r="Y50" s="224"/>
      <c r="Z50" s="225"/>
    </row>
    <row r="51" spans="1:26" hidden="1">
      <c r="K51" s="208"/>
      <c r="Q51" s="37"/>
      <c r="S51" s="224"/>
      <c r="T51" s="225"/>
      <c r="U51" s="225"/>
      <c r="V51" s="225"/>
    </row>
    <row r="52" spans="1:26" hidden="1">
      <c r="K52" s="208"/>
      <c r="Q52" s="37"/>
      <c r="S52" s="224"/>
      <c r="T52" s="225"/>
      <c r="U52" s="225"/>
      <c r="V52" s="225"/>
    </row>
    <row r="53" spans="1:26" hidden="1">
      <c r="D53" s="274"/>
      <c r="E53" s="275"/>
      <c r="F53" s="275"/>
      <c r="G53" s="275"/>
      <c r="H53" s="275"/>
      <c r="I53" s="275"/>
      <c r="J53" s="275"/>
      <c r="Q53" s="37"/>
      <c r="S53" s="224"/>
      <c r="T53" s="225"/>
      <c r="U53" s="225"/>
      <c r="V53" s="225"/>
    </row>
    <row r="54" spans="1:26" hidden="1">
      <c r="Q54" s="37"/>
      <c r="S54" s="224"/>
      <c r="T54" s="225"/>
      <c r="U54" s="225"/>
      <c r="V54" s="225"/>
    </row>
    <row r="55" spans="1:26" hidden="1">
      <c r="B55" s="393"/>
      <c r="C55" s="393"/>
      <c r="D55" s="393"/>
      <c r="E55" s="393"/>
      <c r="F55" s="393"/>
      <c r="G55" s="393"/>
      <c r="H55" s="393"/>
      <c r="Q55" s="37"/>
      <c r="S55" s="224"/>
      <c r="T55" s="225"/>
      <c r="U55" s="225"/>
      <c r="V55" s="225"/>
    </row>
    <row r="56" spans="1:26" hidden="1">
      <c r="A56" s="392"/>
      <c r="B56" s="393"/>
      <c r="C56" s="393"/>
      <c r="D56" s="393"/>
      <c r="E56" s="393"/>
      <c r="F56" s="393"/>
      <c r="G56" s="393"/>
      <c r="H56" s="393"/>
      <c r="I56" s="37"/>
      <c r="Q56" s="37"/>
      <c r="S56" s="224"/>
      <c r="T56" s="225"/>
      <c r="U56" s="225"/>
      <c r="V56" s="225"/>
    </row>
    <row r="57" spans="1:26" hidden="1">
      <c r="A57" s="392"/>
      <c r="B57" s="393"/>
      <c r="C57" s="393"/>
      <c r="D57" s="393"/>
      <c r="E57" s="393"/>
      <c r="F57" s="393"/>
      <c r="G57" s="393"/>
      <c r="H57" s="393"/>
      <c r="Q57" s="37"/>
      <c r="S57" s="224"/>
      <c r="T57" s="225"/>
      <c r="U57" s="225"/>
      <c r="V57" s="225"/>
    </row>
    <row r="58" spans="1:26" hidden="1">
      <c r="A58" s="392"/>
      <c r="B58" s="393"/>
      <c r="C58" s="393"/>
      <c r="D58" s="393"/>
      <c r="E58" s="393"/>
      <c r="F58" s="393"/>
      <c r="G58" s="393"/>
      <c r="H58" s="393"/>
      <c r="Q58" s="37"/>
      <c r="S58" s="224"/>
      <c r="T58" s="225"/>
      <c r="U58" s="225"/>
      <c r="V58" s="225"/>
    </row>
    <row r="59" spans="1:26" hidden="1">
      <c r="A59" s="392"/>
      <c r="B59" s="393"/>
      <c r="C59" s="393"/>
      <c r="D59" s="393"/>
      <c r="E59" s="393"/>
      <c r="F59" s="393"/>
      <c r="G59" s="393"/>
      <c r="H59" s="393"/>
      <c r="Q59" s="37"/>
      <c r="S59" s="224"/>
      <c r="T59" s="225"/>
      <c r="U59" s="225"/>
      <c r="V59" s="225"/>
    </row>
    <row r="60" spans="1:26" hidden="1">
      <c r="A60" s="392"/>
      <c r="Q60" s="37"/>
      <c r="S60" s="224"/>
      <c r="T60" s="225"/>
      <c r="U60" s="225"/>
      <c r="V60" s="225"/>
    </row>
    <row r="61" spans="1:26" hidden="1">
      <c r="A61" s="392"/>
      <c r="Q61" s="37"/>
      <c r="S61" s="224"/>
      <c r="U61" s="225"/>
      <c r="V61" s="225"/>
    </row>
    <row r="62" spans="1:26" hidden="1">
      <c r="A62" s="392"/>
      <c r="Q62" s="37"/>
      <c r="S62" s="224"/>
      <c r="U62" s="225"/>
      <c r="V62" s="225"/>
    </row>
    <row r="63" spans="1:26" hidden="1">
      <c r="A63" s="392"/>
      <c r="Q63" s="37"/>
      <c r="S63" s="224"/>
      <c r="U63" s="225"/>
      <c r="V63" s="225"/>
    </row>
    <row r="64" spans="1:26" hidden="1">
      <c r="A64" s="392"/>
      <c r="Q64" s="37"/>
      <c r="S64" s="224"/>
      <c r="U64" s="225"/>
      <c r="V64" s="225"/>
    </row>
    <row r="65" spans="1:22" hidden="1">
      <c r="A65" s="392"/>
      <c r="Q65" s="37"/>
      <c r="S65" s="224"/>
      <c r="U65" s="225"/>
      <c r="V65" s="225"/>
    </row>
    <row r="66" spans="1:22" hidden="1">
      <c r="A66" s="392"/>
      <c r="Q66" s="37"/>
      <c r="S66" s="224"/>
      <c r="U66" s="225"/>
      <c r="V66" s="225"/>
    </row>
    <row r="67" spans="1:22" hidden="1">
      <c r="A67" s="392"/>
      <c r="Q67" s="37"/>
      <c r="S67" s="224"/>
      <c r="U67" s="225"/>
      <c r="V67" s="225"/>
    </row>
    <row r="68" spans="1:22" hidden="1">
      <c r="Q68" s="37"/>
      <c r="S68" s="224"/>
      <c r="U68" s="225"/>
      <c r="V68" s="225"/>
    </row>
    <row r="69" spans="1:22" hidden="1">
      <c r="Q69" s="37"/>
      <c r="S69" s="224"/>
      <c r="U69" s="225"/>
      <c r="V69" s="225"/>
    </row>
    <row r="70" spans="1:22" hidden="1">
      <c r="Q70" s="37"/>
      <c r="S70" s="224"/>
      <c r="U70" s="225"/>
      <c r="V70" s="225"/>
    </row>
    <row r="71" spans="1:22" hidden="1">
      <c r="Q71" s="37"/>
      <c r="S71" s="224"/>
      <c r="U71" s="225"/>
      <c r="V71" s="225"/>
    </row>
    <row r="72" spans="1:22" hidden="1">
      <c r="Q72" s="37"/>
      <c r="S72" s="224"/>
      <c r="U72" s="225"/>
      <c r="V72" s="225"/>
    </row>
    <row r="73" spans="1:22" hidden="1">
      <c r="Q73" s="37"/>
      <c r="S73" s="224"/>
      <c r="U73" s="225"/>
      <c r="V73" s="225"/>
    </row>
    <row r="74" spans="1:22" hidden="1">
      <c r="Q74" s="37"/>
      <c r="S74" s="224"/>
      <c r="U74" s="225"/>
      <c r="V74" s="225"/>
    </row>
    <row r="75" spans="1:22" hidden="1">
      <c r="Q75" s="37"/>
      <c r="S75" s="224"/>
      <c r="U75" s="225"/>
      <c r="V75" s="225"/>
    </row>
    <row r="76" spans="1:22" hidden="1">
      <c r="Q76" s="37"/>
      <c r="S76" s="224"/>
      <c r="U76" s="225"/>
      <c r="V76" s="225"/>
    </row>
    <row r="77" spans="1:22" hidden="1">
      <c r="Q77" s="37"/>
      <c r="S77" s="224"/>
      <c r="U77" s="225"/>
      <c r="V77" s="225"/>
    </row>
    <row r="78" spans="1:22" hidden="1">
      <c r="Q78" s="37"/>
      <c r="S78" s="224"/>
      <c r="U78" s="225"/>
      <c r="V78" s="225"/>
    </row>
    <row r="79" spans="1:22" hidden="1">
      <c r="Q79" s="37"/>
      <c r="S79" s="224"/>
      <c r="U79" s="225"/>
      <c r="V79" s="225"/>
    </row>
    <row r="80" spans="1:22" hidden="1">
      <c r="Q80" s="37"/>
      <c r="S80" s="224"/>
      <c r="U80" s="225"/>
      <c r="V80" s="225"/>
    </row>
    <row r="81" spans="7:22" hidden="1">
      <c r="Q81" s="37"/>
      <c r="S81" s="224"/>
      <c r="U81" s="225"/>
      <c r="V81" s="225"/>
    </row>
    <row r="82" spans="7:22" hidden="1">
      <c r="Q82" s="37"/>
      <c r="S82" s="224"/>
      <c r="U82" s="225"/>
      <c r="V82" s="225"/>
    </row>
    <row r="83" spans="7:22" hidden="1">
      <c r="Q83" s="37"/>
      <c r="S83" s="224"/>
      <c r="U83" s="225"/>
      <c r="V83" s="225"/>
    </row>
    <row r="84" spans="7:22" hidden="1">
      <c r="Q84" s="37"/>
      <c r="S84" s="224"/>
      <c r="U84" s="225"/>
      <c r="V84" s="225"/>
    </row>
    <row r="85" spans="7:22" hidden="1">
      <c r="G85" s="36"/>
      <c r="Q85" s="37"/>
      <c r="S85" s="224"/>
      <c r="U85" s="225"/>
      <c r="V85" s="225"/>
    </row>
    <row r="86" spans="7:22" hidden="1">
      <c r="G86" s="36"/>
      <c r="Q86" s="37"/>
      <c r="S86" s="224"/>
      <c r="U86" s="225"/>
      <c r="V86" s="225"/>
    </row>
    <row r="87" spans="7:22" hidden="1">
      <c r="G87" s="36"/>
      <c r="Q87" s="37"/>
      <c r="S87" s="224"/>
      <c r="U87" s="225"/>
      <c r="V87" s="225"/>
    </row>
    <row r="88" spans="7:22" hidden="1">
      <c r="G88" s="36"/>
      <c r="Q88" s="37"/>
      <c r="S88" s="224"/>
      <c r="U88" s="225"/>
      <c r="V88" s="225"/>
    </row>
    <row r="89" spans="7:22" hidden="1">
      <c r="G89" s="36"/>
      <c r="Q89" s="37"/>
      <c r="S89" s="224"/>
      <c r="U89" s="225"/>
      <c r="V89" s="225"/>
    </row>
    <row r="90" spans="7:22" hidden="1">
      <c r="G90" s="36"/>
      <c r="Q90" s="37"/>
      <c r="S90" s="224"/>
      <c r="U90" s="225"/>
      <c r="V90" s="225"/>
    </row>
    <row r="91" spans="7:22" hidden="1">
      <c r="G91" s="36"/>
      <c r="Q91" s="37"/>
      <c r="S91" s="224"/>
      <c r="U91" s="225"/>
      <c r="V91" s="225"/>
    </row>
    <row r="92" spans="7:22" hidden="1">
      <c r="G92" s="36"/>
      <c r="Q92" s="37"/>
      <c r="S92" s="224"/>
      <c r="U92" s="225"/>
      <c r="V92" s="225"/>
    </row>
    <row r="93" spans="7:22" hidden="1">
      <c r="G93" s="36"/>
      <c r="Q93" s="37"/>
      <c r="S93" s="224"/>
      <c r="U93" s="225"/>
      <c r="V93" s="225"/>
    </row>
    <row r="94" spans="7:22" hidden="1">
      <c r="G94" s="36"/>
      <c r="Q94" s="37"/>
      <c r="S94" s="224"/>
      <c r="U94" s="225"/>
      <c r="V94" s="225"/>
    </row>
    <row r="95" spans="7:22" hidden="1">
      <c r="Q95" s="37"/>
      <c r="S95" s="224"/>
      <c r="U95" s="225"/>
      <c r="V95" s="225"/>
    </row>
    <row r="96" spans="7:22" hidden="1">
      <c r="Q96" s="37"/>
      <c r="S96" s="224"/>
      <c r="U96" s="225"/>
      <c r="V96" s="225"/>
    </row>
    <row r="97" spans="17:22" hidden="1">
      <c r="Q97" s="37"/>
      <c r="S97" s="224"/>
      <c r="U97" s="225"/>
      <c r="V97" s="225"/>
    </row>
    <row r="98" spans="17:22" hidden="1">
      <c r="Q98" s="37"/>
      <c r="S98" s="224"/>
      <c r="U98" s="225"/>
      <c r="V98" s="225"/>
    </row>
    <row r="99" spans="17:22" hidden="1">
      <c r="Q99" s="37"/>
      <c r="S99" s="224"/>
      <c r="U99" s="225"/>
      <c r="V99" s="225"/>
    </row>
    <row r="100" spans="17:22" hidden="1">
      <c r="Q100" s="37"/>
      <c r="S100" s="224"/>
      <c r="U100" s="225"/>
      <c r="V100" s="225"/>
    </row>
    <row r="101" spans="17:22" hidden="1">
      <c r="Q101" s="37"/>
      <c r="S101" s="224"/>
      <c r="U101" s="225"/>
      <c r="V101" s="225"/>
    </row>
    <row r="102" spans="17:22" hidden="1">
      <c r="Q102" s="37"/>
      <c r="S102" s="224"/>
      <c r="U102" s="225"/>
      <c r="V102" s="225"/>
    </row>
    <row r="103" spans="17:22" hidden="1">
      <c r="Q103" s="37"/>
      <c r="S103" s="224"/>
      <c r="U103" s="225"/>
      <c r="V103" s="225"/>
    </row>
    <row r="104" spans="17:22" hidden="1">
      <c r="Q104" s="37"/>
      <c r="S104" s="224"/>
      <c r="U104" s="225"/>
      <c r="V104" s="225"/>
    </row>
    <row r="105" spans="17:22" hidden="1">
      <c r="Q105" s="37"/>
      <c r="S105" s="224"/>
      <c r="U105" s="225"/>
      <c r="V105" s="225"/>
    </row>
    <row r="106" spans="17:22" hidden="1">
      <c r="Q106" s="37"/>
      <c r="S106" s="224"/>
      <c r="U106" s="225"/>
      <c r="V106" s="225"/>
    </row>
    <row r="107" spans="17:22" hidden="1">
      <c r="Q107" s="37"/>
      <c r="S107" s="224"/>
      <c r="U107" s="225"/>
      <c r="V107" s="225"/>
    </row>
    <row r="108" spans="17:22" hidden="1">
      <c r="Q108" s="37"/>
      <c r="S108" s="224"/>
      <c r="U108" s="225"/>
      <c r="V108" s="225"/>
    </row>
    <row r="109" spans="17:22" hidden="1">
      <c r="Q109" s="37"/>
      <c r="S109" s="224"/>
      <c r="U109" s="225"/>
      <c r="V109" s="225"/>
    </row>
    <row r="110" spans="17:22" hidden="1">
      <c r="Q110" s="37"/>
      <c r="S110" s="224"/>
      <c r="U110" s="225"/>
      <c r="V110" s="225"/>
    </row>
    <row r="111" spans="17:22" hidden="1">
      <c r="Q111" s="37"/>
      <c r="S111" s="224"/>
      <c r="U111" s="225"/>
      <c r="V111" s="225"/>
    </row>
    <row r="112" spans="17:22" hidden="1">
      <c r="Q112" s="37"/>
      <c r="S112" s="224"/>
      <c r="U112" s="225"/>
      <c r="V112" s="225"/>
    </row>
    <row r="113" spans="17:22" hidden="1">
      <c r="Q113" s="37"/>
      <c r="S113" s="224"/>
      <c r="U113" s="225"/>
      <c r="V113" s="225"/>
    </row>
    <row r="114" spans="17:22" hidden="1">
      <c r="Q114" s="37"/>
      <c r="S114" s="224"/>
      <c r="U114" s="225"/>
      <c r="V114" s="225"/>
    </row>
    <row r="115" spans="17:22" hidden="1">
      <c r="Q115" s="37"/>
      <c r="S115" s="224"/>
      <c r="U115" s="225"/>
      <c r="V115" s="225"/>
    </row>
    <row r="116" spans="17:22" hidden="1">
      <c r="Q116" s="37"/>
      <c r="S116" s="224"/>
      <c r="U116" s="225"/>
      <c r="V116" s="225"/>
    </row>
    <row r="117" spans="17:22" hidden="1">
      <c r="Q117" s="37"/>
      <c r="S117" s="224"/>
      <c r="U117" s="225"/>
      <c r="V117" s="225"/>
    </row>
    <row r="118" spans="17:22" hidden="1">
      <c r="Q118" s="37"/>
      <c r="S118" s="224"/>
      <c r="U118" s="225"/>
      <c r="V118" s="225"/>
    </row>
    <row r="119" spans="17:22" hidden="1">
      <c r="Q119" s="37"/>
      <c r="S119" s="224"/>
      <c r="U119" s="225"/>
      <c r="V119" s="225"/>
    </row>
    <row r="120" spans="17:22" hidden="1">
      <c r="Q120" s="37"/>
      <c r="S120" s="224"/>
      <c r="U120" s="225"/>
      <c r="V120" s="225"/>
    </row>
    <row r="121" spans="17:22" hidden="1">
      <c r="Q121" s="37"/>
      <c r="S121" s="224"/>
      <c r="U121" s="225"/>
      <c r="V121" s="225"/>
    </row>
    <row r="122" spans="17:22" hidden="1">
      <c r="Q122" s="37"/>
      <c r="S122" s="224"/>
      <c r="U122" s="225"/>
      <c r="V122" s="225"/>
    </row>
    <row r="123" spans="17:22" hidden="1">
      <c r="Q123" s="37"/>
      <c r="S123" s="224"/>
      <c r="U123" s="225"/>
      <c r="V123" s="225"/>
    </row>
    <row r="124" spans="17:22" hidden="1">
      <c r="Q124" s="37"/>
      <c r="S124" s="224"/>
      <c r="U124" s="225"/>
      <c r="V124" s="225"/>
    </row>
    <row r="125" spans="17:22" hidden="1">
      <c r="Q125" s="37"/>
      <c r="S125" s="224"/>
      <c r="U125" s="225"/>
      <c r="V125" s="225"/>
    </row>
    <row r="126" spans="17:22" hidden="1">
      <c r="Q126" s="37"/>
      <c r="S126" s="224"/>
      <c r="U126" s="225"/>
      <c r="V126" s="225"/>
    </row>
    <row r="127" spans="17:22" hidden="1">
      <c r="Q127" s="37"/>
      <c r="S127" s="224"/>
      <c r="U127" s="225"/>
      <c r="V127" s="225"/>
    </row>
    <row r="128" spans="17:22" hidden="1">
      <c r="Q128" s="37"/>
      <c r="S128" s="224"/>
      <c r="U128" s="225"/>
      <c r="V128" s="225"/>
    </row>
    <row r="129" spans="17:22" hidden="1">
      <c r="Q129" s="37"/>
      <c r="S129" s="224"/>
      <c r="U129" s="225"/>
      <c r="V129" s="225"/>
    </row>
    <row r="130" spans="17:22" hidden="1">
      <c r="Q130" s="37"/>
      <c r="S130" s="224"/>
      <c r="U130" s="225"/>
      <c r="V130" s="225"/>
    </row>
    <row r="131" spans="17:22" hidden="1">
      <c r="Q131" s="37"/>
      <c r="S131" s="224"/>
      <c r="U131" s="225"/>
      <c r="V131" s="225"/>
    </row>
    <row r="132" spans="17:22" hidden="1">
      <c r="Q132" s="37"/>
      <c r="S132" s="224"/>
      <c r="U132" s="225"/>
      <c r="V132" s="225"/>
    </row>
    <row r="133" spans="17:22" hidden="1">
      <c r="Q133" s="37"/>
      <c r="S133" s="224"/>
      <c r="U133" s="225"/>
      <c r="V133" s="225"/>
    </row>
    <row r="134" spans="17:22" hidden="1">
      <c r="Q134" s="37"/>
      <c r="S134" s="224"/>
      <c r="U134" s="225"/>
      <c r="V134" s="225"/>
    </row>
    <row r="135" spans="17:22" hidden="1">
      <c r="Q135" s="37"/>
      <c r="S135" s="224"/>
      <c r="U135" s="225"/>
      <c r="V135" s="225"/>
    </row>
    <row r="136" spans="17:22" hidden="1">
      <c r="Q136" s="37"/>
      <c r="S136" s="224"/>
      <c r="U136" s="225"/>
      <c r="V136" s="225"/>
    </row>
    <row r="137" spans="17:22" hidden="1">
      <c r="Q137" s="37"/>
      <c r="S137" s="224"/>
      <c r="U137" s="225"/>
      <c r="V137" s="225"/>
    </row>
    <row r="138" spans="17:22" hidden="1">
      <c r="Q138" s="37"/>
      <c r="S138" s="224"/>
      <c r="U138" s="225"/>
      <c r="V138" s="225"/>
    </row>
    <row r="139" spans="17:22" hidden="1">
      <c r="Q139" s="37"/>
      <c r="S139" s="224"/>
      <c r="U139" s="225"/>
      <c r="V139" s="225"/>
    </row>
    <row r="140" spans="17:22" hidden="1">
      <c r="Q140" s="37"/>
      <c r="S140" s="224"/>
      <c r="U140" s="225"/>
      <c r="V140" s="225"/>
    </row>
    <row r="141" spans="17:22" hidden="1">
      <c r="Q141" s="37"/>
      <c r="S141" s="224"/>
      <c r="U141" s="225"/>
      <c r="V141" s="225"/>
    </row>
    <row r="142" spans="17:22" hidden="1">
      <c r="Q142" s="37"/>
      <c r="S142" s="224"/>
      <c r="U142" s="225"/>
      <c r="V142" s="225"/>
    </row>
    <row r="143" spans="17:22" hidden="1">
      <c r="Q143" s="37"/>
      <c r="S143" s="224"/>
      <c r="U143" s="225"/>
      <c r="V143" s="225"/>
    </row>
    <row r="144" spans="17:22" hidden="1">
      <c r="Q144" s="37"/>
      <c r="S144" s="224"/>
      <c r="U144" s="225"/>
      <c r="V144" s="225"/>
    </row>
    <row r="145" spans="17:22" hidden="1">
      <c r="Q145" s="37"/>
      <c r="S145" s="224"/>
      <c r="U145" s="225"/>
      <c r="V145" s="225"/>
    </row>
    <row r="146" spans="17:22" hidden="1">
      <c r="Q146" s="37"/>
      <c r="S146" s="224"/>
      <c r="U146" s="225"/>
      <c r="V146" s="225"/>
    </row>
    <row r="147" spans="17:22" hidden="1">
      <c r="Q147" s="37"/>
      <c r="S147" s="224"/>
      <c r="U147" s="225"/>
      <c r="V147" s="225"/>
    </row>
    <row r="148" spans="17:22" hidden="1">
      <c r="Q148" s="37"/>
      <c r="S148" s="224"/>
      <c r="U148" s="225"/>
      <c r="V148" s="225"/>
    </row>
    <row r="149" spans="17:22" hidden="1">
      <c r="Q149" s="37"/>
      <c r="S149" s="224"/>
      <c r="U149" s="225"/>
      <c r="V149" s="225"/>
    </row>
    <row r="150" spans="17:22" hidden="1">
      <c r="Q150" s="37"/>
      <c r="S150" s="224"/>
      <c r="U150" s="225"/>
      <c r="V150" s="225"/>
    </row>
    <row r="151" spans="17:22" hidden="1">
      <c r="Q151" s="37"/>
      <c r="S151" s="224"/>
      <c r="U151" s="225"/>
      <c r="V151" s="225"/>
    </row>
    <row r="152" spans="17:22" hidden="1">
      <c r="Q152" s="37"/>
      <c r="S152" s="224"/>
      <c r="U152" s="225"/>
      <c r="V152" s="225"/>
    </row>
    <row r="153" spans="17:22" hidden="1">
      <c r="Q153" s="37"/>
      <c r="S153" s="224"/>
      <c r="U153" s="225"/>
      <c r="V153" s="225"/>
    </row>
    <row r="154" spans="17:22" hidden="1">
      <c r="Q154" s="37"/>
      <c r="S154" s="224"/>
      <c r="U154" s="225"/>
      <c r="V154" s="225"/>
    </row>
    <row r="155" spans="17:22" hidden="1">
      <c r="Q155" s="37"/>
      <c r="S155" s="224"/>
      <c r="U155" s="225"/>
      <c r="V155" s="225"/>
    </row>
    <row r="156" spans="17:22" hidden="1">
      <c r="Q156" s="37"/>
      <c r="S156" s="224"/>
      <c r="U156" s="225"/>
      <c r="V156" s="225"/>
    </row>
    <row r="157" spans="17:22" hidden="1">
      <c r="Q157" s="37"/>
      <c r="S157" s="224"/>
      <c r="U157" s="225"/>
      <c r="V157" s="225"/>
    </row>
    <row r="158" spans="17:22" hidden="1">
      <c r="Q158" s="37"/>
      <c r="S158" s="224"/>
      <c r="U158" s="225"/>
      <c r="V158" s="225"/>
    </row>
    <row r="159" spans="17:22" hidden="1">
      <c r="Q159" s="37"/>
      <c r="S159" s="224"/>
      <c r="U159" s="225"/>
      <c r="V159" s="225"/>
    </row>
    <row r="160" spans="17:22" hidden="1">
      <c r="Q160" s="37"/>
      <c r="S160" s="224"/>
      <c r="U160" s="225"/>
      <c r="V160" s="225"/>
    </row>
    <row r="161" spans="17:22" hidden="1">
      <c r="Q161" s="37"/>
      <c r="S161" s="224"/>
      <c r="U161" s="225"/>
      <c r="V161" s="225"/>
    </row>
    <row r="162" spans="17:22" hidden="1">
      <c r="Q162" s="37"/>
      <c r="S162" s="224"/>
      <c r="U162" s="225"/>
      <c r="V162" s="225"/>
    </row>
    <row r="163" spans="17:22" hidden="1">
      <c r="Q163" s="37"/>
      <c r="S163" s="224"/>
      <c r="U163" s="225"/>
      <c r="V163" s="225"/>
    </row>
    <row r="164" spans="17:22" hidden="1">
      <c r="Q164" s="37"/>
      <c r="S164" s="224"/>
      <c r="U164" s="225"/>
      <c r="V164" s="225"/>
    </row>
    <row r="165" spans="17:22" hidden="1">
      <c r="Q165" s="37"/>
      <c r="S165" s="224"/>
      <c r="U165" s="225"/>
      <c r="V165" s="225"/>
    </row>
    <row r="166" spans="17:22" hidden="1">
      <c r="Q166" s="37"/>
      <c r="S166" s="224"/>
      <c r="U166" s="225"/>
      <c r="V166" s="225"/>
    </row>
    <row r="167" spans="17:22" hidden="1">
      <c r="Q167" s="37"/>
      <c r="S167" s="224"/>
      <c r="U167" s="225"/>
      <c r="V167" s="225"/>
    </row>
    <row r="168" spans="17:22" hidden="1">
      <c r="Q168" s="37"/>
      <c r="S168" s="224"/>
      <c r="U168" s="225"/>
      <c r="V168" s="225"/>
    </row>
    <row r="169" spans="17:22" hidden="1">
      <c r="Q169" s="37"/>
      <c r="S169" s="224"/>
      <c r="U169" s="225"/>
      <c r="V169" s="225"/>
    </row>
    <row r="170" spans="17:22" hidden="1">
      <c r="Q170" s="37"/>
      <c r="S170" s="224"/>
      <c r="U170" s="225"/>
      <c r="V170" s="225"/>
    </row>
    <row r="171" spans="17:22" hidden="1">
      <c r="Q171" s="37"/>
      <c r="S171" s="224"/>
      <c r="U171" s="225"/>
      <c r="V171" s="225"/>
    </row>
    <row r="172" spans="17:22" hidden="1">
      <c r="Q172" s="37"/>
      <c r="S172" s="224"/>
      <c r="U172" s="225"/>
      <c r="V172" s="225"/>
    </row>
    <row r="173" spans="17:22" hidden="1">
      <c r="Q173" s="37"/>
      <c r="S173" s="224"/>
      <c r="U173" s="225"/>
      <c r="V173" s="225"/>
    </row>
    <row r="174" spans="17:22" hidden="1">
      <c r="Q174" s="37"/>
      <c r="S174" s="224"/>
      <c r="U174" s="225"/>
      <c r="V174" s="225"/>
    </row>
    <row r="175" spans="17:22" hidden="1">
      <c r="Q175" s="37"/>
      <c r="S175" s="224"/>
      <c r="U175" s="225"/>
      <c r="V175" s="225"/>
    </row>
    <row r="176" spans="17:22" hidden="1">
      <c r="Q176" s="37"/>
      <c r="S176" s="224"/>
      <c r="U176" s="225"/>
      <c r="V176" s="225"/>
    </row>
    <row r="177" spans="17:22" hidden="1">
      <c r="Q177" s="37"/>
      <c r="S177" s="224"/>
      <c r="U177" s="225"/>
      <c r="V177" s="225"/>
    </row>
    <row r="178" spans="17:22" hidden="1">
      <c r="Q178" s="37"/>
      <c r="S178" s="224"/>
      <c r="U178" s="225"/>
      <c r="V178" s="225"/>
    </row>
    <row r="179" spans="17:22" hidden="1">
      <c r="Q179" s="37"/>
      <c r="S179" s="224"/>
      <c r="U179" s="225"/>
      <c r="V179" s="225"/>
    </row>
    <row r="180" spans="17:22" hidden="1">
      <c r="Q180" s="37"/>
      <c r="S180" s="224"/>
      <c r="U180" s="225"/>
      <c r="V180" s="225"/>
    </row>
    <row r="181" spans="17:22" hidden="1">
      <c r="Q181" s="37"/>
      <c r="S181" s="224"/>
      <c r="U181" s="225"/>
      <c r="V181" s="225"/>
    </row>
    <row r="182" spans="17:22" hidden="1">
      <c r="Q182" s="37"/>
      <c r="S182" s="224"/>
      <c r="U182" s="225"/>
      <c r="V182" s="225"/>
    </row>
    <row r="183" spans="17:22" hidden="1">
      <c r="Q183" s="37"/>
      <c r="S183" s="224"/>
      <c r="U183" s="225"/>
      <c r="V183" s="225"/>
    </row>
    <row r="184" spans="17:22" hidden="1">
      <c r="Q184" s="37"/>
      <c r="S184" s="224"/>
      <c r="U184" s="225"/>
      <c r="V184" s="225"/>
    </row>
    <row r="185" spans="17:22" hidden="1">
      <c r="Q185" s="37"/>
      <c r="S185" s="224"/>
      <c r="U185" s="225"/>
      <c r="V185" s="225"/>
    </row>
    <row r="186" spans="17:22" hidden="1">
      <c r="Q186" s="37"/>
      <c r="S186" s="224"/>
      <c r="U186" s="225"/>
      <c r="V186" s="225"/>
    </row>
    <row r="187" spans="17:22" hidden="1">
      <c r="Q187" s="37"/>
      <c r="S187" s="224"/>
      <c r="U187" s="225"/>
      <c r="V187" s="225"/>
    </row>
    <row r="188" spans="17:22" hidden="1">
      <c r="Q188" s="37"/>
      <c r="S188" s="224"/>
      <c r="U188" s="225"/>
      <c r="V188" s="225"/>
    </row>
    <row r="189" spans="17:22" hidden="1">
      <c r="Q189" s="37"/>
      <c r="S189" s="224"/>
      <c r="U189" s="225"/>
      <c r="V189" s="225"/>
    </row>
    <row r="190" spans="17:22" hidden="1">
      <c r="Q190" s="37"/>
      <c r="S190" s="224"/>
      <c r="U190" s="225"/>
      <c r="V190" s="225"/>
    </row>
    <row r="191" spans="17:22" hidden="1">
      <c r="Q191" s="37"/>
      <c r="S191" s="224"/>
      <c r="U191" s="225"/>
      <c r="V191" s="225"/>
    </row>
    <row r="192" spans="17:22" hidden="1">
      <c r="Q192" s="37"/>
      <c r="S192" s="224"/>
      <c r="U192" s="225"/>
      <c r="V192" s="225"/>
    </row>
    <row r="193" spans="17:22" hidden="1">
      <c r="Q193" s="37"/>
      <c r="S193" s="224"/>
      <c r="U193" s="225"/>
      <c r="V193" s="225"/>
    </row>
    <row r="194" spans="17:22" hidden="1">
      <c r="Q194" s="37"/>
      <c r="S194" s="224"/>
      <c r="U194" s="225"/>
      <c r="V194" s="225"/>
    </row>
    <row r="195" spans="17:22" hidden="1">
      <c r="Q195" s="37"/>
      <c r="S195" s="224"/>
      <c r="U195" s="225"/>
      <c r="V195" s="225"/>
    </row>
    <row r="196" spans="17:22" hidden="1">
      <c r="Q196" s="37"/>
      <c r="S196" s="224"/>
      <c r="U196" s="225"/>
      <c r="V196" s="225"/>
    </row>
    <row r="197" spans="17:22" hidden="1">
      <c r="Q197" s="37"/>
      <c r="S197" s="224"/>
      <c r="U197" s="225"/>
      <c r="V197" s="225"/>
    </row>
    <row r="198" spans="17:22" hidden="1">
      <c r="Q198" s="37"/>
      <c r="S198" s="224"/>
      <c r="U198" s="225"/>
      <c r="V198" s="225"/>
    </row>
    <row r="199" spans="17:22" hidden="1">
      <c r="Q199" s="37"/>
      <c r="S199" s="224"/>
      <c r="U199" s="225"/>
      <c r="V199" s="225"/>
    </row>
    <row r="200" spans="17:22" hidden="1">
      <c r="Q200" s="37"/>
      <c r="S200" s="224"/>
      <c r="U200" s="225"/>
      <c r="V200" s="225"/>
    </row>
    <row r="201" spans="17:22" hidden="1">
      <c r="Q201" s="37"/>
      <c r="S201" s="224"/>
      <c r="U201" s="225"/>
      <c r="V201" s="225"/>
    </row>
    <row r="202" spans="17:22" hidden="1">
      <c r="Q202" s="37"/>
      <c r="S202" s="224"/>
      <c r="U202" s="225"/>
      <c r="V202" s="225"/>
    </row>
    <row r="203" spans="17:22" hidden="1">
      <c r="Q203" s="37"/>
      <c r="S203" s="224"/>
      <c r="U203" s="225"/>
      <c r="V203" s="225"/>
    </row>
    <row r="204" spans="17:22" hidden="1">
      <c r="Q204" s="37"/>
      <c r="S204" s="224"/>
      <c r="U204" s="225"/>
      <c r="V204" s="225"/>
    </row>
    <row r="205" spans="17:22" hidden="1">
      <c r="Q205" s="37"/>
      <c r="S205" s="224"/>
      <c r="U205" s="225"/>
      <c r="V205" s="225"/>
    </row>
    <row r="206" spans="17:22" hidden="1">
      <c r="Q206" s="37"/>
      <c r="S206" s="224"/>
      <c r="U206" s="225"/>
      <c r="V206" s="225"/>
    </row>
    <row r="207" spans="17:22" hidden="1">
      <c r="Q207" s="37"/>
      <c r="S207" s="224"/>
      <c r="U207" s="225"/>
      <c r="V207" s="225"/>
    </row>
    <row r="208" spans="17:22" hidden="1">
      <c r="Q208" s="37"/>
      <c r="S208" s="224"/>
      <c r="U208" s="225"/>
      <c r="V208" s="225"/>
    </row>
    <row r="209" spans="17:22" hidden="1">
      <c r="Q209" s="37"/>
      <c r="S209" s="224"/>
      <c r="U209" s="225"/>
      <c r="V209" s="225"/>
    </row>
    <row r="210" spans="17:22" hidden="1">
      <c r="Q210" s="37"/>
      <c r="S210" s="224"/>
      <c r="U210" s="225"/>
      <c r="V210" s="225"/>
    </row>
    <row r="211" spans="17:22" hidden="1">
      <c r="Q211" s="37"/>
      <c r="S211" s="224"/>
      <c r="U211" s="225"/>
      <c r="V211" s="225"/>
    </row>
    <row r="212" spans="17:22" hidden="1">
      <c r="Q212" s="37"/>
      <c r="S212" s="224"/>
      <c r="U212" s="225"/>
      <c r="V212" s="225"/>
    </row>
    <row r="213" spans="17:22" hidden="1">
      <c r="Q213" s="37"/>
      <c r="S213" s="224"/>
      <c r="U213" s="225"/>
      <c r="V213" s="225"/>
    </row>
    <row r="214" spans="17:22" hidden="1">
      <c r="Q214" s="37"/>
      <c r="S214" s="224"/>
      <c r="U214" s="225"/>
      <c r="V214" s="225"/>
    </row>
    <row r="215" spans="17:22" hidden="1">
      <c r="Q215" s="37"/>
      <c r="S215" s="224"/>
      <c r="U215" s="225"/>
      <c r="V215" s="225"/>
    </row>
    <row r="216" spans="17:22" hidden="1">
      <c r="Q216" s="37"/>
      <c r="S216" s="224"/>
      <c r="U216" s="225"/>
      <c r="V216" s="225"/>
    </row>
    <row r="217" spans="17:22" hidden="1">
      <c r="Q217" s="37"/>
      <c r="S217" s="224"/>
      <c r="U217" s="225"/>
      <c r="V217" s="225"/>
    </row>
    <row r="218" spans="17:22" hidden="1">
      <c r="Q218" s="37"/>
      <c r="S218" s="224"/>
      <c r="U218" s="225"/>
      <c r="V218" s="225"/>
    </row>
    <row r="219" spans="17:22" hidden="1">
      <c r="Q219" s="37"/>
      <c r="S219" s="224"/>
      <c r="U219" s="225"/>
      <c r="V219" s="225"/>
    </row>
    <row r="220" spans="17:22" hidden="1">
      <c r="Q220" s="37"/>
      <c r="S220" s="224"/>
      <c r="U220" s="225"/>
      <c r="V220" s="225"/>
    </row>
    <row r="221" spans="17:22" hidden="1">
      <c r="Q221" s="37"/>
      <c r="S221" s="224"/>
      <c r="U221" s="225"/>
      <c r="V221" s="225"/>
    </row>
    <row r="222" spans="17:22" hidden="1">
      <c r="Q222" s="37"/>
      <c r="S222" s="224"/>
      <c r="U222" s="225"/>
      <c r="V222" s="225"/>
    </row>
    <row r="223" spans="17:22" hidden="1">
      <c r="Q223" s="37"/>
      <c r="S223" s="224"/>
      <c r="U223" s="225"/>
      <c r="V223" s="225"/>
    </row>
    <row r="224" spans="17:22" hidden="1">
      <c r="Q224" s="37"/>
      <c r="S224" s="224"/>
      <c r="U224" s="225"/>
      <c r="V224" s="225"/>
    </row>
    <row r="225" spans="17:22" hidden="1">
      <c r="Q225" s="37"/>
      <c r="S225" s="224"/>
      <c r="U225" s="225"/>
      <c r="V225" s="225"/>
    </row>
    <row r="226" spans="17:22" hidden="1">
      <c r="Q226" s="37"/>
      <c r="S226" s="224"/>
      <c r="U226" s="225"/>
      <c r="V226" s="225"/>
    </row>
    <row r="227" spans="17:22" hidden="1">
      <c r="Q227" s="37"/>
      <c r="S227" s="224"/>
      <c r="U227" s="225"/>
      <c r="V227" s="225"/>
    </row>
    <row r="228" spans="17:22" hidden="1">
      <c r="Q228" s="37"/>
      <c r="S228" s="224"/>
      <c r="U228" s="225"/>
      <c r="V228" s="225"/>
    </row>
    <row r="229" spans="17:22" hidden="1">
      <c r="Q229" s="37"/>
      <c r="S229" s="224"/>
      <c r="U229" s="225"/>
      <c r="V229" s="225"/>
    </row>
    <row r="230" spans="17:22" hidden="1">
      <c r="Q230" s="37"/>
      <c r="S230" s="224"/>
      <c r="U230" s="225"/>
      <c r="V230" s="225"/>
    </row>
    <row r="231" spans="17:22" hidden="1">
      <c r="Q231" s="37"/>
      <c r="S231" s="224"/>
      <c r="U231" s="225"/>
      <c r="V231" s="225"/>
    </row>
    <row r="232" spans="17:22" hidden="1">
      <c r="Q232" s="37"/>
      <c r="S232" s="224"/>
      <c r="U232" s="225"/>
      <c r="V232" s="225"/>
    </row>
    <row r="233" spans="17:22" hidden="1">
      <c r="Q233" s="37"/>
      <c r="S233" s="224"/>
      <c r="U233" s="225"/>
      <c r="V233" s="225"/>
    </row>
    <row r="234" spans="17:22" hidden="1">
      <c r="Q234" s="37"/>
      <c r="S234" s="224"/>
      <c r="U234" s="225"/>
      <c r="V234" s="225"/>
    </row>
    <row r="235" spans="17:22" hidden="1">
      <c r="Q235" s="37"/>
      <c r="S235" s="224"/>
      <c r="U235" s="225"/>
      <c r="V235" s="225"/>
    </row>
    <row r="236" spans="17:22" hidden="1">
      <c r="Q236" s="37"/>
      <c r="S236" s="224"/>
      <c r="U236" s="225"/>
      <c r="V236" s="225"/>
    </row>
    <row r="237" spans="17:22" hidden="1">
      <c r="Q237" s="37"/>
      <c r="S237" s="224"/>
      <c r="U237" s="225"/>
      <c r="V237" s="225"/>
    </row>
    <row r="238" spans="17:22" hidden="1">
      <c r="Q238" s="37"/>
      <c r="S238" s="224"/>
      <c r="U238" s="225"/>
      <c r="V238" s="225"/>
    </row>
    <row r="239" spans="17:22" hidden="1">
      <c r="Q239" s="37"/>
      <c r="S239" s="224"/>
      <c r="U239" s="225"/>
      <c r="V239" s="225"/>
    </row>
    <row r="240" spans="17:22" hidden="1">
      <c r="Q240" s="37"/>
      <c r="S240" s="224"/>
      <c r="U240" s="225"/>
      <c r="V240" s="225"/>
    </row>
    <row r="241" spans="17:23" hidden="1">
      <c r="Q241" s="37"/>
      <c r="S241" s="224"/>
      <c r="U241" s="225"/>
      <c r="V241" s="225"/>
    </row>
    <row r="242" spans="17:23" hidden="1">
      <c r="Q242" s="37"/>
      <c r="S242" s="224"/>
      <c r="U242" s="225"/>
      <c r="V242" s="225"/>
    </row>
    <row r="243" spans="17:23" hidden="1">
      <c r="Q243" s="37"/>
      <c r="S243" s="224"/>
      <c r="U243" s="225"/>
      <c r="V243" s="225"/>
    </row>
    <row r="244" spans="17:23" hidden="1">
      <c r="Q244" s="37"/>
      <c r="S244" s="224"/>
      <c r="U244" s="225"/>
      <c r="V244" s="225"/>
    </row>
    <row r="245" spans="17:23" hidden="1">
      <c r="Q245" s="37"/>
      <c r="S245" s="224"/>
      <c r="U245" s="225"/>
      <c r="V245" s="225"/>
    </row>
    <row r="246" spans="17:23" hidden="1">
      <c r="Q246" s="37"/>
      <c r="S246" s="224"/>
      <c r="U246" s="225"/>
      <c r="V246" s="225"/>
      <c r="W246" s="225"/>
    </row>
    <row r="247" spans="17:23" hidden="1">
      <c r="Q247" s="37"/>
      <c r="S247" s="224"/>
      <c r="U247" s="225"/>
      <c r="V247" s="225"/>
      <c r="W247" s="225"/>
    </row>
    <row r="248" spans="17:23" hidden="1">
      <c r="Q248" s="37"/>
      <c r="S248" s="224"/>
      <c r="U248" s="225"/>
      <c r="V248" s="225"/>
      <c r="W248" s="225"/>
    </row>
    <row r="249" spans="17:23" hidden="1">
      <c r="Q249" s="37"/>
      <c r="S249" s="224"/>
      <c r="U249" s="225"/>
      <c r="V249" s="225"/>
      <c r="W249" s="225"/>
    </row>
    <row r="250" spans="17:23" hidden="1">
      <c r="Q250" s="37"/>
      <c r="S250" s="224"/>
      <c r="U250" s="225"/>
      <c r="V250" s="225"/>
      <c r="W250" s="225"/>
    </row>
    <row r="251" spans="17:23" hidden="1">
      <c r="Q251" s="37"/>
      <c r="S251" s="224"/>
      <c r="U251" s="225"/>
      <c r="V251" s="225"/>
      <c r="W251" s="225"/>
    </row>
    <row r="252" spans="17:23" hidden="1">
      <c r="Q252" s="37"/>
      <c r="S252" s="224"/>
      <c r="U252" s="225"/>
      <c r="V252" s="225"/>
      <c r="W252" s="225"/>
    </row>
    <row r="253" spans="17:23" hidden="1">
      <c r="Q253" s="37"/>
      <c r="S253" s="224"/>
      <c r="U253" s="225"/>
      <c r="V253" s="225"/>
      <c r="W253" s="225"/>
    </row>
    <row r="254" spans="17:23" hidden="1">
      <c r="Q254" s="37"/>
      <c r="S254" s="224"/>
      <c r="U254" s="225"/>
      <c r="V254" s="225"/>
      <c r="W254" s="225"/>
    </row>
    <row r="255" spans="17:23" hidden="1">
      <c r="Q255" s="37"/>
      <c r="S255" s="224"/>
      <c r="U255" s="225"/>
      <c r="V255" s="225"/>
      <c r="W255" s="225"/>
    </row>
    <row r="256" spans="17:23" hidden="1">
      <c r="Q256" s="37"/>
      <c r="S256" s="224"/>
      <c r="U256" s="225"/>
      <c r="V256" s="225"/>
      <c r="W256" s="225"/>
    </row>
    <row r="257" spans="17:23" hidden="1">
      <c r="Q257" s="37"/>
      <c r="S257" s="224"/>
      <c r="U257" s="225"/>
      <c r="V257" s="225"/>
      <c r="W257" s="225"/>
    </row>
    <row r="258" spans="17:23" hidden="1">
      <c r="Q258" s="37"/>
      <c r="S258" s="224"/>
      <c r="U258" s="225"/>
      <c r="V258" s="225"/>
      <c r="W258" s="225"/>
    </row>
    <row r="259" spans="17:23" hidden="1">
      <c r="Q259" s="37"/>
      <c r="S259" s="224"/>
      <c r="U259" s="225"/>
      <c r="V259" s="225"/>
      <c r="W259" s="225"/>
    </row>
    <row r="260" spans="17:23" hidden="1">
      <c r="Q260" s="37"/>
      <c r="S260" s="224"/>
      <c r="U260" s="225"/>
      <c r="V260" s="225"/>
      <c r="W260" s="225"/>
    </row>
    <row r="261" spans="17:23" hidden="1">
      <c r="Q261" s="37"/>
      <c r="S261" s="224"/>
      <c r="U261" s="225"/>
      <c r="V261" s="225"/>
      <c r="W261" s="225"/>
    </row>
    <row r="262" spans="17:23" hidden="1">
      <c r="Q262" s="37"/>
      <c r="S262" s="224"/>
      <c r="U262" s="225"/>
      <c r="V262" s="225"/>
      <c r="W262" s="225"/>
    </row>
    <row r="263" spans="17:23" hidden="1">
      <c r="Q263" s="37"/>
      <c r="S263" s="224"/>
      <c r="U263" s="225"/>
      <c r="V263" s="225"/>
      <c r="W263" s="225"/>
    </row>
    <row r="264" spans="17:23" hidden="1">
      <c r="Q264" s="37"/>
      <c r="S264" s="224"/>
      <c r="U264" s="225"/>
      <c r="V264" s="225"/>
      <c r="W264" s="225"/>
    </row>
    <row r="265" spans="17:23" hidden="1">
      <c r="Q265" s="37"/>
      <c r="S265" s="224"/>
      <c r="U265" s="225"/>
      <c r="V265" s="225"/>
      <c r="W265" s="225"/>
    </row>
    <row r="266" spans="17:23" hidden="1">
      <c r="Q266" s="37"/>
      <c r="S266" s="224"/>
      <c r="U266" s="225"/>
      <c r="V266" s="225"/>
      <c r="W266" s="225"/>
    </row>
    <row r="267" spans="17:23" hidden="1">
      <c r="Q267" s="37"/>
      <c r="S267" s="224"/>
      <c r="U267" s="225"/>
      <c r="V267" s="225"/>
      <c r="W267" s="225"/>
    </row>
    <row r="268" spans="17:23" hidden="1">
      <c r="Q268" s="37"/>
      <c r="S268" s="224"/>
      <c r="U268" s="225"/>
      <c r="V268" s="225"/>
      <c r="W268" s="225"/>
    </row>
    <row r="269" spans="17:23" hidden="1">
      <c r="Q269" s="37"/>
      <c r="S269" s="224"/>
      <c r="U269" s="225"/>
      <c r="V269" s="225"/>
      <c r="W269" s="225"/>
    </row>
    <row r="270" spans="17:23" hidden="1">
      <c r="Q270" s="37"/>
      <c r="S270" s="224"/>
      <c r="U270" s="225"/>
      <c r="V270" s="225"/>
      <c r="W270" s="225"/>
    </row>
    <row r="271" spans="17:23" hidden="1">
      <c r="Q271" s="37"/>
      <c r="S271" s="224"/>
      <c r="U271" s="225"/>
      <c r="V271" s="225"/>
      <c r="W271" s="225"/>
    </row>
    <row r="272" spans="17:23" hidden="1">
      <c r="Q272" s="37"/>
      <c r="S272" s="224"/>
      <c r="U272" s="225"/>
      <c r="V272" s="225"/>
      <c r="W272" s="225"/>
    </row>
    <row r="273" spans="17:23" hidden="1">
      <c r="Q273" s="37"/>
      <c r="S273" s="224"/>
      <c r="U273" s="225"/>
      <c r="V273" s="225"/>
      <c r="W273" s="225"/>
    </row>
    <row r="274" spans="17:23" hidden="1">
      <c r="Q274" s="37"/>
      <c r="S274" s="224"/>
      <c r="U274" s="225"/>
      <c r="V274" s="225"/>
      <c r="W274" s="225"/>
    </row>
    <row r="275" spans="17:23" hidden="1">
      <c r="Q275" s="37"/>
      <c r="S275" s="224"/>
      <c r="U275" s="225"/>
      <c r="V275" s="225"/>
      <c r="W275" s="225"/>
    </row>
    <row r="276" spans="17:23" hidden="1">
      <c r="Q276" s="37"/>
      <c r="S276" s="224"/>
      <c r="U276" s="225"/>
      <c r="V276" s="225"/>
      <c r="W276" s="225"/>
    </row>
    <row r="277" spans="17:23" hidden="1">
      <c r="Q277" s="37"/>
      <c r="S277" s="224"/>
      <c r="U277" s="225"/>
      <c r="V277" s="225"/>
      <c r="W277" s="225"/>
    </row>
    <row r="278" spans="17:23" hidden="1">
      <c r="Q278" s="37"/>
      <c r="S278" s="224"/>
      <c r="U278" s="225"/>
      <c r="V278" s="225"/>
      <c r="W278" s="225"/>
    </row>
    <row r="279" spans="17:23" hidden="1">
      <c r="Q279" s="37"/>
      <c r="S279" s="224"/>
      <c r="U279" s="225"/>
      <c r="V279" s="225"/>
      <c r="W279" s="225"/>
    </row>
    <row r="280" spans="17:23" hidden="1">
      <c r="Q280" s="37"/>
      <c r="S280" s="224"/>
      <c r="U280" s="225"/>
      <c r="V280" s="225"/>
      <c r="W280" s="225"/>
    </row>
    <row r="281" spans="17:23" hidden="1">
      <c r="Q281" s="37"/>
      <c r="S281" s="224"/>
      <c r="U281" s="225"/>
      <c r="V281" s="225"/>
      <c r="W281" s="225"/>
    </row>
    <row r="282" spans="17:23" hidden="1">
      <c r="Q282" s="37"/>
      <c r="S282" s="224"/>
      <c r="U282" s="225"/>
      <c r="V282" s="225"/>
      <c r="W282" s="225"/>
    </row>
    <row r="283" spans="17:23" hidden="1">
      <c r="Q283" s="37"/>
      <c r="S283" s="224"/>
      <c r="U283" s="225"/>
      <c r="V283" s="225"/>
      <c r="W283" s="225"/>
    </row>
    <row r="284" spans="17:23" hidden="1">
      <c r="Q284" s="37"/>
      <c r="S284" s="224"/>
      <c r="U284" s="225"/>
      <c r="V284" s="225"/>
      <c r="W284" s="225"/>
    </row>
    <row r="285" spans="17:23" hidden="1">
      <c r="Q285" s="37"/>
      <c r="S285" s="224"/>
      <c r="U285" s="225"/>
      <c r="V285" s="225"/>
      <c r="W285" s="225"/>
    </row>
    <row r="286" spans="17:23" hidden="1">
      <c r="Q286" s="37"/>
      <c r="S286" s="224"/>
      <c r="U286" s="225"/>
      <c r="V286" s="225"/>
      <c r="W286" s="225"/>
    </row>
    <row r="287" spans="17:23" hidden="1">
      <c r="Q287" s="37"/>
      <c r="S287" s="224"/>
      <c r="U287" s="225"/>
      <c r="V287" s="225"/>
      <c r="W287" s="225"/>
    </row>
    <row r="288" spans="17:23" hidden="1">
      <c r="Q288" s="37"/>
      <c r="S288" s="224"/>
      <c r="U288" s="225"/>
      <c r="V288" s="225"/>
      <c r="W288" s="225"/>
    </row>
    <row r="289" spans="17:23" hidden="1">
      <c r="Q289" s="37"/>
      <c r="S289" s="224"/>
      <c r="U289" s="225"/>
      <c r="V289" s="225"/>
      <c r="W289" s="225"/>
    </row>
    <row r="290" spans="17:23" hidden="1">
      <c r="Q290" s="37"/>
      <c r="S290" s="224"/>
      <c r="U290" s="225"/>
      <c r="V290" s="225"/>
      <c r="W290" s="225"/>
    </row>
    <row r="291" spans="17:23" hidden="1">
      <c r="Q291" s="37"/>
      <c r="S291" s="224"/>
      <c r="U291" s="225"/>
      <c r="V291" s="225"/>
      <c r="W291" s="225"/>
    </row>
    <row r="292" spans="17:23" hidden="1">
      <c r="Q292" s="37"/>
      <c r="S292" s="224"/>
      <c r="U292" s="225"/>
      <c r="V292" s="225"/>
      <c r="W292" s="225"/>
    </row>
    <row r="293" spans="17:23" hidden="1">
      <c r="Q293" s="37"/>
      <c r="S293" s="224"/>
      <c r="U293" s="225"/>
      <c r="V293" s="225"/>
      <c r="W293" s="225"/>
    </row>
    <row r="294" spans="17:23" hidden="1">
      <c r="Q294" s="37"/>
      <c r="S294" s="224"/>
      <c r="U294" s="225"/>
      <c r="V294" s="225"/>
      <c r="W294" s="225"/>
    </row>
    <row r="295" spans="17:23" hidden="1">
      <c r="Q295" s="37"/>
      <c r="S295" s="224"/>
      <c r="U295" s="225"/>
      <c r="V295" s="225"/>
      <c r="W295" s="225"/>
    </row>
    <row r="296" spans="17:23" hidden="1">
      <c r="Q296" s="37"/>
      <c r="S296" s="224"/>
      <c r="U296" s="225"/>
      <c r="V296" s="225"/>
      <c r="W296" s="225"/>
    </row>
    <row r="297" spans="17:23" hidden="1">
      <c r="Q297" s="37"/>
      <c r="S297" s="224"/>
      <c r="U297" s="225"/>
      <c r="V297" s="225"/>
      <c r="W297" s="225"/>
    </row>
    <row r="298" spans="17:23" hidden="1">
      <c r="Q298" s="37"/>
      <c r="S298" s="224"/>
      <c r="U298" s="225"/>
      <c r="V298" s="225"/>
      <c r="W298" s="225"/>
    </row>
    <row r="299" spans="17:23" hidden="1">
      <c r="Q299" s="37"/>
      <c r="S299" s="224"/>
      <c r="U299" s="225"/>
      <c r="V299" s="225"/>
      <c r="W299" s="225"/>
    </row>
    <row r="300" spans="17:23" hidden="1">
      <c r="Q300" s="37"/>
      <c r="S300" s="224"/>
      <c r="U300" s="225"/>
      <c r="V300" s="225"/>
      <c r="W300" s="225"/>
    </row>
    <row r="301" spans="17:23" hidden="1">
      <c r="Q301" s="37"/>
      <c r="S301" s="224"/>
      <c r="U301" s="225"/>
      <c r="V301" s="225"/>
      <c r="W301" s="225"/>
    </row>
    <row r="302" spans="17:23" hidden="1">
      <c r="Q302" s="37"/>
      <c r="S302" s="224"/>
      <c r="U302" s="225"/>
      <c r="V302" s="225"/>
      <c r="W302" s="225"/>
    </row>
    <row r="303" spans="17:23" hidden="1">
      <c r="Q303" s="37"/>
      <c r="S303" s="224"/>
      <c r="U303" s="225"/>
      <c r="V303" s="225"/>
      <c r="W303" s="225"/>
    </row>
    <row r="304" spans="17:23" hidden="1">
      <c r="Q304" s="37"/>
      <c r="S304" s="224"/>
      <c r="U304" s="225"/>
      <c r="V304" s="225"/>
      <c r="W304" s="225"/>
    </row>
    <row r="305" spans="17:23" hidden="1">
      <c r="Q305" s="37"/>
      <c r="S305" s="224"/>
      <c r="U305" s="225"/>
      <c r="V305" s="225"/>
      <c r="W305" s="225"/>
    </row>
    <row r="306" spans="17:23" hidden="1">
      <c r="Q306" s="37"/>
      <c r="S306" s="224"/>
      <c r="U306" s="225"/>
      <c r="V306" s="225"/>
      <c r="W306" s="225"/>
    </row>
    <row r="307" spans="17:23" hidden="1">
      <c r="Q307" s="37"/>
      <c r="S307" s="224"/>
      <c r="U307" s="225"/>
      <c r="V307" s="225"/>
      <c r="W307" s="225"/>
    </row>
    <row r="308" spans="17:23" hidden="1">
      <c r="Q308" s="37"/>
      <c r="S308" s="224"/>
      <c r="U308" s="225"/>
      <c r="V308" s="225"/>
      <c r="W308" s="225"/>
    </row>
    <row r="309" spans="17:23" hidden="1">
      <c r="Q309" s="37"/>
      <c r="S309" s="224"/>
      <c r="U309" s="225"/>
      <c r="V309" s="225"/>
      <c r="W309" s="225"/>
    </row>
    <row r="310" spans="17:23" hidden="1">
      <c r="Q310" s="37"/>
      <c r="S310" s="224"/>
      <c r="U310" s="225"/>
      <c r="V310" s="225"/>
      <c r="W310" s="225"/>
    </row>
    <row r="311" spans="17:23" hidden="1">
      <c r="Q311" s="37"/>
      <c r="S311" s="224"/>
      <c r="U311" s="225"/>
      <c r="V311" s="225"/>
      <c r="W311" s="225"/>
    </row>
    <row r="312" spans="17:23" hidden="1">
      <c r="Q312" s="37"/>
      <c r="S312" s="224"/>
      <c r="U312" s="225"/>
      <c r="V312" s="225"/>
      <c r="W312" s="225"/>
    </row>
    <row r="313" spans="17:23" hidden="1">
      <c r="Q313" s="37"/>
      <c r="S313" s="224"/>
      <c r="U313" s="225"/>
      <c r="V313" s="225"/>
      <c r="W313" s="225"/>
    </row>
    <row r="314" spans="17:23" hidden="1">
      <c r="Q314" s="37"/>
      <c r="S314" s="224"/>
      <c r="U314" s="225"/>
      <c r="V314" s="225"/>
      <c r="W314" s="225"/>
    </row>
    <row r="315" spans="17:23" hidden="1">
      <c r="Q315" s="37"/>
      <c r="S315" s="224"/>
      <c r="U315" s="225"/>
      <c r="V315" s="225"/>
      <c r="W315" s="225"/>
    </row>
    <row r="316" spans="17:23" hidden="1">
      <c r="Q316" s="37"/>
      <c r="S316" s="224"/>
      <c r="U316" s="225"/>
      <c r="V316" s="225"/>
      <c r="W316" s="225"/>
    </row>
    <row r="317" spans="17:23" hidden="1">
      <c r="Q317" s="37"/>
      <c r="S317" s="224"/>
      <c r="U317" s="225"/>
      <c r="V317" s="225"/>
      <c r="W317" s="225"/>
    </row>
    <row r="318" spans="17:23" hidden="1">
      <c r="Q318" s="37"/>
      <c r="S318" s="224"/>
      <c r="U318" s="225"/>
      <c r="V318" s="225"/>
      <c r="W318" s="225"/>
    </row>
    <row r="319" spans="17:23" hidden="1">
      <c r="Q319" s="37"/>
      <c r="S319" s="224"/>
      <c r="U319" s="225"/>
      <c r="V319" s="225"/>
      <c r="W319" s="225"/>
    </row>
    <row r="320" spans="17:23" hidden="1">
      <c r="Q320" s="37"/>
      <c r="S320" s="224"/>
      <c r="U320" s="225"/>
      <c r="V320" s="225"/>
      <c r="W320" s="225"/>
    </row>
    <row r="321" spans="6:23" hidden="1">
      <c r="Q321" s="37"/>
      <c r="S321" s="224"/>
      <c r="U321" s="225"/>
      <c r="V321" s="225"/>
      <c r="W321" s="225"/>
    </row>
    <row r="322" spans="6:23" hidden="1">
      <c r="Q322" s="37"/>
      <c r="S322" s="224"/>
      <c r="U322" s="225"/>
      <c r="V322" s="225"/>
      <c r="W322" s="225"/>
    </row>
    <row r="323" spans="6:23" hidden="1">
      <c r="Q323" s="37"/>
      <c r="S323" s="224"/>
      <c r="U323" s="225"/>
      <c r="V323" s="225"/>
      <c r="W323" s="225"/>
    </row>
    <row r="324" spans="6:23" hidden="1">
      <c r="Q324" s="37"/>
      <c r="S324" s="224"/>
      <c r="U324" s="225"/>
      <c r="V324" s="225"/>
      <c r="W324" s="225"/>
    </row>
    <row r="325" spans="6:23" hidden="1">
      <c r="Q325" s="37"/>
      <c r="S325" s="224"/>
      <c r="U325" s="225"/>
      <c r="V325" s="225"/>
      <c r="W325" s="225"/>
    </row>
    <row r="326" spans="6:23" hidden="1">
      <c r="Q326" s="37"/>
      <c r="S326" s="224"/>
      <c r="U326" s="225"/>
      <c r="V326" s="225"/>
      <c r="W326" s="225"/>
    </row>
    <row r="327" spans="6:23" hidden="1">
      <c r="F327" s="36">
        <v>0.19</v>
      </c>
      <c r="Q327" s="37"/>
      <c r="S327" s="224"/>
      <c r="U327" s="225"/>
      <c r="V327" s="225"/>
      <c r="W327" s="225"/>
    </row>
    <row r="328" spans="6:23" hidden="1">
      <c r="Q328" s="37"/>
      <c r="S328" s="224"/>
      <c r="U328" s="225"/>
      <c r="V328" s="225"/>
      <c r="W328" s="225"/>
    </row>
    <row r="329" spans="6:23" hidden="1">
      <c r="Q329" s="37"/>
      <c r="S329" s="224"/>
      <c r="U329" s="225"/>
      <c r="V329" s="225"/>
      <c r="W329" s="225"/>
    </row>
    <row r="330" spans="6:23" hidden="1">
      <c r="Q330" s="37"/>
      <c r="S330" s="224"/>
      <c r="U330" s="225"/>
      <c r="V330" s="225"/>
      <c r="W330" s="225"/>
    </row>
    <row r="331" spans="6:23" hidden="1">
      <c r="Q331" s="37"/>
      <c r="S331" s="224"/>
      <c r="U331" s="225"/>
      <c r="V331" s="225"/>
      <c r="W331" s="225"/>
    </row>
    <row r="332" spans="6:23" hidden="1">
      <c r="Q332" s="37"/>
      <c r="S332" s="224"/>
      <c r="U332" s="225"/>
      <c r="V332" s="225"/>
      <c r="W332" s="225"/>
    </row>
    <row r="333" spans="6:23" hidden="1">
      <c r="Q333" s="37"/>
      <c r="S333" s="224"/>
      <c r="U333" s="225"/>
      <c r="V333" s="225"/>
      <c r="W333" s="225"/>
    </row>
    <row r="334" spans="6:23" hidden="1">
      <c r="Q334" s="37"/>
      <c r="S334" s="224"/>
      <c r="U334" s="225"/>
      <c r="V334" s="225"/>
      <c r="W334" s="225"/>
    </row>
    <row r="335" spans="6:23" hidden="1">
      <c r="Q335" s="37"/>
      <c r="S335" s="224"/>
      <c r="U335" s="225"/>
      <c r="V335" s="225"/>
      <c r="W335" s="225"/>
    </row>
    <row r="336" spans="6:23" hidden="1">
      <c r="Q336" s="37"/>
      <c r="S336" s="224"/>
      <c r="U336" s="225"/>
      <c r="V336" s="225"/>
      <c r="W336" s="225"/>
    </row>
    <row r="337" spans="17:23" hidden="1">
      <c r="Q337" s="37"/>
      <c r="S337" s="224"/>
      <c r="U337" s="225"/>
      <c r="V337" s="225"/>
      <c r="W337" s="225"/>
    </row>
    <row r="338" spans="17:23" hidden="1">
      <c r="Q338" s="37"/>
      <c r="S338" s="224"/>
      <c r="U338" s="225"/>
      <c r="V338" s="225"/>
      <c r="W338" s="225"/>
    </row>
    <row r="339" spans="17:23" hidden="1">
      <c r="Q339" s="37"/>
      <c r="S339" s="224"/>
      <c r="U339" s="225"/>
      <c r="V339" s="225"/>
      <c r="W339" s="225"/>
    </row>
    <row r="340" spans="17:23" hidden="1">
      <c r="Q340" s="37"/>
      <c r="S340" s="224"/>
      <c r="U340" s="225"/>
      <c r="V340" s="225"/>
      <c r="W340" s="225"/>
    </row>
    <row r="341" spans="17:23" hidden="1">
      <c r="Q341" s="37"/>
      <c r="S341" s="224"/>
      <c r="U341" s="225"/>
      <c r="V341" s="225"/>
      <c r="W341" s="225"/>
    </row>
    <row r="342" spans="17:23" hidden="1">
      <c r="Q342" s="37"/>
      <c r="S342" s="224"/>
      <c r="U342" s="225"/>
      <c r="V342" s="225"/>
      <c r="W342" s="225"/>
    </row>
    <row r="343" spans="17:23" hidden="1">
      <c r="Q343" s="37"/>
      <c r="S343" s="224"/>
      <c r="U343" s="225"/>
      <c r="V343" s="225"/>
      <c r="W343" s="225"/>
    </row>
    <row r="344" spans="17:23" hidden="1">
      <c r="Q344" s="37"/>
      <c r="S344" s="224"/>
      <c r="U344" s="225"/>
      <c r="V344" s="225"/>
      <c r="W344" s="225"/>
    </row>
    <row r="345" spans="17:23" hidden="1">
      <c r="Q345" s="37"/>
      <c r="S345" s="224"/>
      <c r="U345" s="225"/>
      <c r="V345" s="225"/>
      <c r="W345" s="225"/>
    </row>
    <row r="346" spans="17:23" hidden="1">
      <c r="Q346" s="37"/>
      <c r="S346" s="224"/>
      <c r="U346" s="225"/>
      <c r="V346" s="225"/>
      <c r="W346" s="225"/>
    </row>
    <row r="347" spans="17:23" hidden="1">
      <c r="Q347" s="37"/>
      <c r="S347" s="224"/>
      <c r="U347" s="225"/>
      <c r="V347" s="225"/>
      <c r="W347" s="225"/>
    </row>
    <row r="348" spans="17:23" hidden="1">
      <c r="Q348" s="37"/>
      <c r="S348" s="224"/>
      <c r="U348" s="225"/>
      <c r="V348" s="225"/>
      <c r="W348" s="225"/>
    </row>
    <row r="349" spans="17:23" hidden="1">
      <c r="Q349" s="37"/>
      <c r="S349" s="224"/>
      <c r="U349" s="225"/>
      <c r="V349" s="225"/>
      <c r="W349" s="225"/>
    </row>
    <row r="350" spans="17:23" hidden="1">
      <c r="Q350" s="37"/>
      <c r="S350" s="224"/>
      <c r="U350" s="225"/>
      <c r="V350" s="225"/>
      <c r="W350" s="225"/>
    </row>
    <row r="351" spans="17:23" hidden="1">
      <c r="Q351" s="37"/>
      <c r="S351" s="224"/>
      <c r="U351" s="225"/>
      <c r="V351" s="225"/>
      <c r="W351" s="225"/>
    </row>
    <row r="352" spans="17:23" hidden="1">
      <c r="Q352" s="37"/>
      <c r="S352" s="224"/>
      <c r="U352" s="225"/>
      <c r="V352" s="225"/>
      <c r="W352" s="225"/>
    </row>
    <row r="353" spans="17:23" hidden="1">
      <c r="Q353" s="37"/>
      <c r="S353" s="224"/>
      <c r="U353" s="225"/>
      <c r="V353" s="225"/>
      <c r="W353" s="225"/>
    </row>
    <row r="354" spans="17:23" hidden="1">
      <c r="Q354" s="37"/>
      <c r="S354" s="224"/>
      <c r="U354" s="225"/>
      <c r="V354" s="225"/>
      <c r="W354" s="225"/>
    </row>
    <row r="355" spans="17:23" hidden="1">
      <c r="Q355" s="37"/>
      <c r="S355" s="224"/>
      <c r="U355" s="225"/>
      <c r="V355" s="225"/>
      <c r="W355" s="225"/>
    </row>
    <row r="356" spans="17:23" hidden="1">
      <c r="Q356" s="37"/>
      <c r="S356" s="224"/>
      <c r="U356" s="225"/>
      <c r="V356" s="225"/>
      <c r="W356" s="225"/>
    </row>
    <row r="357" spans="17:23" hidden="1">
      <c r="Q357" s="37"/>
      <c r="S357" s="224"/>
      <c r="U357" s="225"/>
      <c r="V357" s="225"/>
      <c r="W357" s="225"/>
    </row>
    <row r="358" spans="17:23" hidden="1">
      <c r="Q358" s="37"/>
      <c r="S358" s="224"/>
      <c r="U358" s="225"/>
      <c r="V358" s="225"/>
      <c r="W358" s="225"/>
    </row>
    <row r="359" spans="17:23" hidden="1">
      <c r="Q359" s="37"/>
      <c r="S359" s="224"/>
      <c r="U359" s="225"/>
      <c r="V359" s="225"/>
      <c r="W359" s="225"/>
    </row>
    <row r="360" spans="17:23" hidden="1">
      <c r="Q360" s="37"/>
      <c r="S360" s="224"/>
      <c r="U360" s="225"/>
      <c r="V360" s="225"/>
      <c r="W360" s="225"/>
    </row>
    <row r="361" spans="17:23" hidden="1">
      <c r="Q361" s="37"/>
      <c r="S361" s="224"/>
      <c r="U361" s="225"/>
      <c r="V361" s="225"/>
      <c r="W361" s="225"/>
    </row>
    <row r="362" spans="17:23" hidden="1">
      <c r="Q362" s="37"/>
      <c r="S362" s="224"/>
      <c r="U362" s="225"/>
      <c r="V362" s="225"/>
      <c r="W362" s="225"/>
    </row>
    <row r="363" spans="17:23" hidden="1">
      <c r="Q363" s="37"/>
      <c r="S363" s="224"/>
      <c r="U363" s="225"/>
      <c r="V363" s="225"/>
      <c r="W363" s="225"/>
    </row>
    <row r="364" spans="17:23" hidden="1">
      <c r="Q364" s="37"/>
      <c r="S364" s="224"/>
      <c r="U364" s="225"/>
      <c r="V364" s="225"/>
      <c r="W364" s="225"/>
    </row>
    <row r="365" spans="17:23" hidden="1">
      <c r="Q365" s="37"/>
      <c r="S365" s="224"/>
      <c r="U365" s="225"/>
      <c r="V365" s="225"/>
      <c r="W365" s="225"/>
    </row>
    <row r="366" spans="17:23" hidden="1">
      <c r="Q366" s="37"/>
      <c r="S366" s="224"/>
      <c r="U366" s="225"/>
      <c r="V366" s="225"/>
      <c r="W366" s="225"/>
    </row>
    <row r="367" spans="17:23" hidden="1">
      <c r="Q367" s="37"/>
      <c r="S367" s="224"/>
      <c r="U367" s="225"/>
      <c r="V367" s="225"/>
      <c r="W367" s="225"/>
    </row>
    <row r="368" spans="17:23" hidden="1">
      <c r="Q368" s="37"/>
      <c r="S368" s="224"/>
      <c r="U368" s="225"/>
      <c r="V368" s="225"/>
      <c r="W368" s="225"/>
    </row>
    <row r="369" spans="17:23" hidden="1">
      <c r="Q369" s="37"/>
      <c r="S369" s="224"/>
      <c r="U369" s="225"/>
      <c r="V369" s="225"/>
      <c r="W369" s="225"/>
    </row>
    <row r="370" spans="17:23" hidden="1">
      <c r="Q370" s="37"/>
      <c r="S370" s="224"/>
      <c r="U370" s="225"/>
      <c r="V370" s="225"/>
      <c r="W370" s="225"/>
    </row>
    <row r="371" spans="17:23" hidden="1">
      <c r="Q371" s="37"/>
      <c r="S371" s="224"/>
      <c r="U371" s="225"/>
      <c r="V371" s="225"/>
      <c r="W371" s="225"/>
    </row>
    <row r="372" spans="17:23" hidden="1">
      <c r="Q372" s="37"/>
      <c r="S372" s="224"/>
      <c r="U372" s="225"/>
      <c r="V372" s="225"/>
      <c r="W372" s="225"/>
    </row>
    <row r="373" spans="17:23" hidden="1">
      <c r="Q373" s="37"/>
      <c r="S373" s="224"/>
      <c r="U373" s="225"/>
      <c r="V373" s="225"/>
      <c r="W373" s="225"/>
    </row>
    <row r="374" spans="17:23" hidden="1">
      <c r="Q374" s="37"/>
      <c r="S374" s="224"/>
      <c r="T374" s="225"/>
      <c r="U374" s="225"/>
      <c r="V374" s="225"/>
      <c r="W374" s="225"/>
    </row>
    <row r="375" spans="17:23" hidden="1">
      <c r="Q375" s="37"/>
      <c r="S375" s="224"/>
      <c r="T375" s="225"/>
      <c r="U375" s="225"/>
      <c r="V375" s="225"/>
      <c r="W375" s="225"/>
    </row>
    <row r="376" spans="17:23" hidden="1">
      <c r="Q376" s="37"/>
      <c r="S376" s="224"/>
      <c r="T376" s="225"/>
      <c r="U376" s="225"/>
      <c r="V376" s="225"/>
      <c r="W376" s="225"/>
    </row>
    <row r="377" spans="17:23" hidden="1">
      <c r="Q377" s="37"/>
      <c r="S377" s="224"/>
      <c r="T377" s="225"/>
      <c r="U377" s="225"/>
      <c r="V377" s="225"/>
      <c r="W377" s="225"/>
    </row>
    <row r="378" spans="17:23" hidden="1">
      <c r="Q378" s="37"/>
      <c r="S378" s="224"/>
      <c r="T378" s="225"/>
      <c r="U378" s="225"/>
      <c r="V378" s="225"/>
      <c r="W378" s="225"/>
    </row>
    <row r="379" spans="17:23" hidden="1">
      <c r="Q379" s="37"/>
      <c r="S379" s="224"/>
      <c r="T379" s="225"/>
      <c r="U379" s="225"/>
      <c r="V379" s="225"/>
      <c r="W379" s="225"/>
    </row>
    <row r="380" spans="17:23" hidden="1">
      <c r="Q380" s="37"/>
      <c r="S380" s="224"/>
      <c r="T380" s="225"/>
      <c r="U380" s="225"/>
      <c r="V380" s="225"/>
      <c r="W380" s="225"/>
    </row>
    <row r="381" spans="17:23" hidden="1">
      <c r="Q381" s="37"/>
      <c r="S381" s="224"/>
      <c r="T381" s="225"/>
      <c r="U381" s="225"/>
      <c r="V381" s="225"/>
      <c r="W381" s="225"/>
    </row>
    <row r="382" spans="17:23" hidden="1">
      <c r="Q382" s="37"/>
      <c r="S382" s="224"/>
      <c r="T382" s="225"/>
      <c r="U382" s="225"/>
      <c r="V382" s="225"/>
      <c r="W382" s="225"/>
    </row>
    <row r="383" spans="17:23" hidden="1">
      <c r="Q383" s="37"/>
      <c r="S383" s="224"/>
      <c r="T383" s="225"/>
      <c r="U383" s="225"/>
      <c r="V383" s="225"/>
      <c r="W383" s="225"/>
    </row>
    <row r="384" spans="17:23" hidden="1">
      <c r="Q384" s="37"/>
      <c r="S384" s="224"/>
      <c r="T384" s="225"/>
      <c r="U384" s="225"/>
      <c r="V384" s="225"/>
      <c r="W384" s="225"/>
    </row>
    <row r="385" spans="17:23" hidden="1">
      <c r="Q385" s="37"/>
      <c r="S385" s="224"/>
      <c r="T385" s="225"/>
      <c r="U385" s="225"/>
      <c r="V385" s="225"/>
      <c r="W385" s="225"/>
    </row>
    <row r="386" spans="17:23" hidden="1">
      <c r="Q386" s="37"/>
      <c r="S386" s="224"/>
      <c r="T386" s="225"/>
      <c r="U386" s="225"/>
      <c r="V386" s="225"/>
      <c r="W386" s="225"/>
    </row>
    <row r="387" spans="17:23" hidden="1">
      <c r="Q387" s="37"/>
      <c r="S387" s="224"/>
      <c r="T387" s="225"/>
      <c r="U387" s="225"/>
      <c r="V387" s="225"/>
      <c r="W387" s="225"/>
    </row>
    <row r="388" spans="17:23" hidden="1">
      <c r="Q388" s="37"/>
      <c r="S388" s="224"/>
      <c r="T388" s="225"/>
      <c r="U388" s="225"/>
      <c r="V388" s="225"/>
      <c r="W388" s="225"/>
    </row>
    <row r="389" spans="17:23" hidden="1">
      <c r="Q389" s="37"/>
      <c r="S389" s="224"/>
      <c r="T389" s="225"/>
      <c r="U389" s="225"/>
      <c r="V389" s="225"/>
      <c r="W389" s="225"/>
    </row>
    <row r="390" spans="17:23" hidden="1">
      <c r="Q390" s="37"/>
      <c r="S390" s="224"/>
      <c r="T390" s="225"/>
      <c r="U390" s="225"/>
      <c r="V390" s="225"/>
      <c r="W390" s="225"/>
    </row>
    <row r="391" spans="17:23" hidden="1">
      <c r="Q391" s="37"/>
      <c r="S391" s="224"/>
      <c r="T391" s="225"/>
      <c r="U391" s="225"/>
      <c r="V391" s="225"/>
      <c r="W391" s="225"/>
    </row>
    <row r="392" spans="17:23" hidden="1">
      <c r="Q392" s="37"/>
      <c r="S392" s="224"/>
      <c r="T392" s="225"/>
      <c r="U392" s="225"/>
      <c r="V392" s="225"/>
      <c r="W392" s="225"/>
    </row>
    <row r="393" spans="17:23" hidden="1">
      <c r="Q393" s="37"/>
      <c r="S393" s="224"/>
      <c r="T393" s="225"/>
      <c r="U393" s="225"/>
      <c r="V393" s="225"/>
      <c r="W393" s="225"/>
    </row>
    <row r="394" spans="17:23" hidden="1">
      <c r="Q394" s="37"/>
      <c r="S394" s="224"/>
      <c r="T394" s="225"/>
      <c r="U394" s="225"/>
      <c r="V394" s="225"/>
      <c r="W394" s="225"/>
    </row>
    <row r="395" spans="17:23" hidden="1">
      <c r="Q395" s="37"/>
      <c r="S395" s="224"/>
      <c r="T395" s="225"/>
      <c r="U395" s="225"/>
      <c r="V395" s="225"/>
      <c r="W395" s="225"/>
    </row>
    <row r="396" spans="17:23" hidden="1">
      <c r="Q396" s="37"/>
      <c r="S396" s="224"/>
      <c r="T396" s="225"/>
      <c r="U396" s="225"/>
      <c r="V396" s="225"/>
      <c r="W396" s="225"/>
    </row>
    <row r="397" spans="17:23" hidden="1">
      <c r="Q397" s="37"/>
      <c r="S397" s="224"/>
      <c r="T397" s="225"/>
      <c r="U397" s="225"/>
      <c r="V397" s="225"/>
      <c r="W397" s="225"/>
    </row>
    <row r="398" spans="17:23" hidden="1">
      <c r="Q398" s="37"/>
      <c r="S398" s="224"/>
      <c r="T398" s="225"/>
      <c r="U398" s="225"/>
      <c r="V398" s="225"/>
      <c r="W398" s="225"/>
    </row>
    <row r="399" spans="17:23" hidden="1">
      <c r="Q399" s="37"/>
      <c r="S399" s="224"/>
      <c r="T399" s="225"/>
      <c r="U399" s="225"/>
      <c r="V399" s="225"/>
      <c r="W399" s="225"/>
    </row>
    <row r="400" spans="17:23" hidden="1">
      <c r="Q400" s="37"/>
      <c r="S400" s="224"/>
      <c r="T400" s="225"/>
      <c r="U400" s="225"/>
      <c r="V400" s="225"/>
      <c r="W400" s="225"/>
    </row>
    <row r="401" spans="17:23" hidden="1">
      <c r="Q401" s="37"/>
      <c r="S401" s="224"/>
      <c r="T401" s="225"/>
      <c r="U401" s="225"/>
      <c r="V401" s="225"/>
      <c r="W401" s="225"/>
    </row>
    <row r="402" spans="17:23" hidden="1">
      <c r="Q402" s="37"/>
      <c r="S402" s="224"/>
      <c r="T402" s="225"/>
      <c r="U402" s="225"/>
      <c r="V402" s="225"/>
      <c r="W402" s="225"/>
    </row>
    <row r="403" spans="17:23" hidden="1">
      <c r="Q403" s="37"/>
      <c r="S403" s="224"/>
      <c r="T403" s="225"/>
      <c r="U403" s="225"/>
      <c r="V403" s="225"/>
      <c r="W403" s="225"/>
    </row>
    <row r="404" spans="17:23" hidden="1">
      <c r="Q404" s="37"/>
      <c r="S404" s="224"/>
      <c r="T404" s="225"/>
      <c r="U404" s="225"/>
      <c r="V404" s="225"/>
      <c r="W404" s="225"/>
    </row>
    <row r="405" spans="17:23" hidden="1">
      <c r="Q405" s="37"/>
      <c r="S405" s="224"/>
      <c r="T405" s="225"/>
      <c r="U405" s="225"/>
      <c r="V405" s="225"/>
      <c r="W405" s="225"/>
    </row>
    <row r="406" spans="17:23" hidden="1">
      <c r="Q406" s="37"/>
      <c r="S406" s="224"/>
      <c r="T406" s="225"/>
      <c r="U406" s="225"/>
      <c r="V406" s="225"/>
      <c r="W406" s="225"/>
    </row>
    <row r="407" spans="17:23" hidden="1">
      <c r="Q407" s="37"/>
      <c r="S407" s="224"/>
      <c r="T407" s="225"/>
      <c r="U407" s="225"/>
      <c r="V407" s="225"/>
      <c r="W407" s="225"/>
    </row>
    <row r="408" spans="17:23" hidden="1">
      <c r="S408" s="224"/>
      <c r="T408" s="225"/>
      <c r="U408" s="225"/>
      <c r="V408" s="225"/>
      <c r="W408" s="225"/>
    </row>
    <row r="409" spans="17:23" hidden="1">
      <c r="S409" s="224"/>
      <c r="T409" s="225"/>
      <c r="U409" s="225"/>
      <c r="V409" s="225"/>
      <c r="W409" s="225"/>
    </row>
    <row r="410" spans="17:23" hidden="1">
      <c r="S410" s="224"/>
      <c r="T410" s="225"/>
      <c r="U410" s="225"/>
      <c r="V410" s="225"/>
      <c r="W410" s="225"/>
    </row>
    <row r="411" spans="17:23" hidden="1">
      <c r="S411" s="224"/>
      <c r="T411" s="225"/>
      <c r="U411" s="225"/>
      <c r="V411" s="225"/>
      <c r="W411" s="225"/>
    </row>
    <row r="412" spans="17:23" hidden="1">
      <c r="S412" s="224"/>
      <c r="T412" s="225"/>
      <c r="U412" s="225"/>
      <c r="V412" s="225"/>
      <c r="W412" s="225"/>
    </row>
    <row r="413" spans="17:23" hidden="1">
      <c r="S413" s="224"/>
      <c r="T413" s="225"/>
      <c r="U413" s="225"/>
      <c r="V413" s="225"/>
      <c r="W413" s="225"/>
    </row>
    <row r="414" spans="17:23" hidden="1">
      <c r="S414" s="224"/>
      <c r="T414" s="225"/>
      <c r="U414" s="225"/>
      <c r="V414" s="225"/>
      <c r="W414" s="225"/>
    </row>
    <row r="415" spans="17:23" hidden="1">
      <c r="S415" s="224"/>
      <c r="T415" s="225"/>
      <c r="U415" s="225"/>
      <c r="V415" s="225"/>
      <c r="W415" s="225"/>
    </row>
    <row r="416" spans="17:23" hidden="1">
      <c r="S416" s="224"/>
      <c r="T416" s="225"/>
      <c r="U416" s="225"/>
      <c r="V416" s="225"/>
      <c r="W416" s="225"/>
    </row>
    <row r="417" spans="19:23" hidden="1">
      <c r="S417" s="224"/>
      <c r="T417" s="225"/>
      <c r="U417" s="225"/>
      <c r="V417" s="225"/>
      <c r="W417" s="225"/>
    </row>
    <row r="418" spans="19:23" hidden="1">
      <c r="T418" s="225"/>
      <c r="U418" s="225"/>
      <c r="V418" s="225"/>
      <c r="W418" s="225"/>
    </row>
    <row r="419" spans="19:23" hidden="1">
      <c r="W419" s="225"/>
    </row>
    <row r="420" spans="19:23" hidden="1">
      <c r="W420" s="225"/>
    </row>
    <row r="421" spans="19:23" hidden="1">
      <c r="W421" s="225"/>
    </row>
    <row r="422" spans="19:23" hidden="1">
      <c r="W422" s="225"/>
    </row>
    <row r="423" spans="19:23" hidden="1">
      <c r="W423" s="225"/>
    </row>
    <row r="424" spans="19:23" hidden="1">
      <c r="W424" s="225"/>
    </row>
    <row r="425" spans="19:23" hidden="1">
      <c r="W425" s="225"/>
    </row>
    <row r="426" spans="19:23" hidden="1">
      <c r="W426" s="225"/>
    </row>
    <row r="427" spans="19:23" hidden="1">
      <c r="W427" s="225"/>
    </row>
    <row r="428" spans="19:23" hidden="1">
      <c r="W428" s="225"/>
    </row>
    <row r="429" spans="19:23" hidden="1">
      <c r="W429" s="225"/>
    </row>
    <row r="430" spans="19:23" hidden="1">
      <c r="W430" s="225"/>
    </row>
    <row r="431" spans="19:23" hidden="1">
      <c r="W431" s="225"/>
    </row>
    <row r="432" spans="19:23" hidden="1">
      <c r="W432" s="225"/>
    </row>
    <row r="433" spans="23:23" hidden="1">
      <c r="W433" s="225"/>
    </row>
    <row r="434" spans="23:23" hidden="1">
      <c r="W434" s="225"/>
    </row>
    <row r="435" spans="23:23" hidden="1">
      <c r="W435" s="225"/>
    </row>
    <row r="436" spans="23:23" hidden="1">
      <c r="W436" s="225"/>
    </row>
    <row r="437" spans="23:23" hidden="1">
      <c r="W437" s="225"/>
    </row>
    <row r="438" spans="23:23" hidden="1">
      <c r="W438" s="225"/>
    </row>
    <row r="439" spans="23:23" hidden="1">
      <c r="W439" s="225"/>
    </row>
    <row r="440" spans="23:23" hidden="1">
      <c r="W440" s="225"/>
    </row>
    <row r="441" spans="23:23" hidden="1">
      <c r="W441" s="225"/>
    </row>
    <row r="442" spans="23:23" hidden="1">
      <c r="W442" s="225"/>
    </row>
    <row r="443" spans="23:23" hidden="1">
      <c r="W443" s="225"/>
    </row>
    <row r="444" spans="23:23" hidden="1">
      <c r="W444" s="225"/>
    </row>
    <row r="445" spans="23:23" hidden="1">
      <c r="W445" s="225"/>
    </row>
    <row r="446" spans="23:23" hidden="1">
      <c r="W446" s="225"/>
    </row>
    <row r="447" spans="23:23" hidden="1">
      <c r="W447" s="225"/>
    </row>
    <row r="448" spans="23:23" hidden="1">
      <c r="W448" s="225"/>
    </row>
    <row r="449" spans="5:23" hidden="1">
      <c r="W449" s="225"/>
    </row>
    <row r="450" spans="5:23" hidden="1">
      <c r="W450" s="225"/>
    </row>
    <row r="451" spans="5:23" hidden="1">
      <c r="W451" s="225"/>
    </row>
    <row r="452" spans="5:23" hidden="1">
      <c r="W452" s="225"/>
    </row>
    <row r="453" spans="5:23" hidden="1">
      <c r="W453" s="225"/>
    </row>
    <row r="454" spans="5:23" hidden="1">
      <c r="W454" s="225"/>
    </row>
    <row r="455" spans="5:23" hidden="1">
      <c r="W455" s="225"/>
    </row>
    <row r="456" spans="5:23" hidden="1">
      <c r="W456" s="225"/>
    </row>
    <row r="457" spans="5:23" hidden="1">
      <c r="W457" s="225"/>
    </row>
    <row r="458" spans="5:23" hidden="1">
      <c r="E458" s="225"/>
      <c r="W458" s="225"/>
    </row>
    <row r="459" spans="5:23" hidden="1">
      <c r="W459" s="225"/>
    </row>
    <row r="460" spans="5:23" hidden="1">
      <c r="W460" s="225"/>
    </row>
    <row r="461" spans="5:23" hidden="1">
      <c r="W461" s="225"/>
    </row>
    <row r="462" spans="5:23" hidden="1">
      <c r="W462" s="225"/>
    </row>
    <row r="463" spans="5:23" hidden="1">
      <c r="W463" s="225"/>
    </row>
    <row r="464" spans="5:23" hidden="1">
      <c r="W464" s="225"/>
    </row>
    <row r="465" spans="23:23" hidden="1">
      <c r="W465" s="225"/>
    </row>
    <row r="466" spans="23:23" hidden="1">
      <c r="W466" s="225"/>
    </row>
    <row r="467" spans="23:23" hidden="1">
      <c r="W467" s="225"/>
    </row>
    <row r="468" spans="23:23" hidden="1">
      <c r="W468" s="225"/>
    </row>
    <row r="469" spans="23:23" hidden="1">
      <c r="W469" s="225"/>
    </row>
    <row r="470" spans="23:23" hidden="1">
      <c r="W470" s="225"/>
    </row>
    <row r="471" spans="23:23" hidden="1">
      <c r="W471" s="225"/>
    </row>
    <row r="472" spans="23:23" hidden="1">
      <c r="W472" s="225"/>
    </row>
    <row r="473" spans="23:23" hidden="1">
      <c r="W473" s="225"/>
    </row>
    <row r="474" spans="23:23" hidden="1">
      <c r="W474" s="225"/>
    </row>
    <row r="475" spans="23:23" hidden="1">
      <c r="W475" s="225"/>
    </row>
    <row r="476" spans="23:23" hidden="1">
      <c r="W476" s="225"/>
    </row>
    <row r="477" spans="23:23" hidden="1">
      <c r="W477" s="225"/>
    </row>
    <row r="478" spans="23:23" hidden="1">
      <c r="W478" s="225"/>
    </row>
    <row r="479" spans="23:23" hidden="1">
      <c r="W479" s="225"/>
    </row>
    <row r="480" spans="23:23" hidden="1">
      <c r="W480" s="225"/>
    </row>
    <row r="481" spans="23:23" hidden="1">
      <c r="W481" s="225"/>
    </row>
    <row r="482" spans="23:23" hidden="1">
      <c r="W482" s="225"/>
    </row>
    <row r="483" spans="23:23" hidden="1">
      <c r="W483" s="225"/>
    </row>
    <row r="484" spans="23:23" hidden="1">
      <c r="W484" s="225"/>
    </row>
    <row r="485" spans="23:23" hidden="1">
      <c r="W485" s="225"/>
    </row>
    <row r="486" spans="23:23" hidden="1">
      <c r="W486" s="225"/>
    </row>
    <row r="487" spans="23:23" hidden="1">
      <c r="W487" s="225"/>
    </row>
    <row r="488" spans="23:23" hidden="1">
      <c r="W488" s="225"/>
    </row>
    <row r="489" spans="23:23" hidden="1">
      <c r="W489" s="225"/>
    </row>
    <row r="490" spans="23:23" hidden="1">
      <c r="W490" s="225"/>
    </row>
    <row r="491" spans="23:23" hidden="1">
      <c r="W491" s="225"/>
    </row>
    <row r="492" spans="23:23" hidden="1">
      <c r="W492" s="225"/>
    </row>
    <row r="493" spans="23:23" hidden="1">
      <c r="W493" s="225"/>
    </row>
    <row r="494" spans="23:23" hidden="1">
      <c r="W494" s="225"/>
    </row>
    <row r="495" spans="23:23" hidden="1">
      <c r="W495" s="225"/>
    </row>
    <row r="496" spans="23:23" hidden="1">
      <c r="W496" s="225"/>
    </row>
    <row r="497" spans="23:23" hidden="1">
      <c r="W497" s="225"/>
    </row>
    <row r="498" spans="23:23" hidden="1">
      <c r="W498" s="225"/>
    </row>
    <row r="499" spans="23:23" hidden="1">
      <c r="W499" s="225"/>
    </row>
    <row r="500" spans="23:23" hidden="1">
      <c r="W500" s="225"/>
    </row>
    <row r="501" spans="23:23" hidden="1">
      <c r="W501" s="225"/>
    </row>
    <row r="502" spans="23:23" hidden="1">
      <c r="W502" s="225"/>
    </row>
    <row r="503" spans="23:23" hidden="1">
      <c r="W503" s="225"/>
    </row>
    <row r="504" spans="23:23" hidden="1">
      <c r="W504" s="225"/>
    </row>
    <row r="505" spans="23:23" hidden="1">
      <c r="W505" s="225"/>
    </row>
    <row r="506" spans="23:23" hidden="1">
      <c r="W506" s="225"/>
    </row>
    <row r="507" spans="23:23" hidden="1">
      <c r="W507" s="225"/>
    </row>
    <row r="508" spans="23:23" hidden="1">
      <c r="W508" s="225"/>
    </row>
    <row r="509" spans="23:23" hidden="1">
      <c r="W509" s="225"/>
    </row>
    <row r="510" spans="23:23" hidden="1">
      <c r="W510" s="225"/>
    </row>
    <row r="511" spans="23:23" hidden="1">
      <c r="W511" s="225"/>
    </row>
    <row r="512" spans="23:23" hidden="1">
      <c r="W512" s="225"/>
    </row>
    <row r="513" spans="23:23" hidden="1">
      <c r="W513" s="225"/>
    </row>
    <row r="514" spans="23:23" hidden="1">
      <c r="W514" s="225"/>
    </row>
    <row r="515" spans="23:23" hidden="1">
      <c r="W515" s="225"/>
    </row>
    <row r="516" spans="23:23" hidden="1">
      <c r="W516" s="225"/>
    </row>
    <row r="517" spans="23:23" hidden="1">
      <c r="W517" s="225"/>
    </row>
    <row r="518" spans="23:23" hidden="1">
      <c r="W518" s="225"/>
    </row>
    <row r="519" spans="23:23" hidden="1">
      <c r="W519" s="225"/>
    </row>
    <row r="520" spans="23:23" hidden="1">
      <c r="W520" s="225"/>
    </row>
    <row r="521" spans="23:23" hidden="1">
      <c r="W521" s="225"/>
    </row>
    <row r="522" spans="23:23" hidden="1">
      <c r="W522" s="225"/>
    </row>
    <row r="523" spans="23:23" hidden="1">
      <c r="W523" s="225"/>
    </row>
    <row r="524" spans="23:23" hidden="1">
      <c r="W524" s="225"/>
    </row>
    <row r="525" spans="23:23" hidden="1">
      <c r="W525" s="225"/>
    </row>
    <row r="526" spans="23:23" hidden="1">
      <c r="W526" s="225"/>
    </row>
    <row r="527" spans="23:23" hidden="1">
      <c r="W527" s="225"/>
    </row>
    <row r="528" spans="23:23" hidden="1">
      <c r="W528" s="225"/>
    </row>
    <row r="529" spans="23:23" hidden="1">
      <c r="W529" s="225"/>
    </row>
    <row r="530" spans="23:23" hidden="1">
      <c r="W530" s="225"/>
    </row>
    <row r="531" spans="23:23" hidden="1">
      <c r="W531" s="225"/>
    </row>
    <row r="532" spans="23:23" hidden="1">
      <c r="W532" s="225"/>
    </row>
    <row r="533" spans="23:23" hidden="1">
      <c r="W533" s="225"/>
    </row>
    <row r="534" spans="23:23" hidden="1">
      <c r="W534" s="225"/>
    </row>
    <row r="535" spans="23:23" hidden="1">
      <c r="W535" s="225"/>
    </row>
    <row r="536" spans="23:23" hidden="1">
      <c r="W536" s="225"/>
    </row>
    <row r="537" spans="23:23" hidden="1">
      <c r="W537" s="225"/>
    </row>
    <row r="538" spans="23:23" hidden="1">
      <c r="W538" s="225"/>
    </row>
    <row r="539" spans="23:23" hidden="1">
      <c r="W539" s="225"/>
    </row>
    <row r="540" spans="23:23" hidden="1">
      <c r="W540" s="225"/>
    </row>
    <row r="541" spans="23:23" hidden="1">
      <c r="W541" s="225"/>
    </row>
    <row r="542" spans="23:23" hidden="1">
      <c r="W542" s="225"/>
    </row>
    <row r="543" spans="23:23" hidden="1">
      <c r="W543" s="225"/>
    </row>
    <row r="544" spans="23:23" hidden="1">
      <c r="W544" s="225"/>
    </row>
    <row r="545" spans="23:23" hidden="1">
      <c r="W545" s="225"/>
    </row>
    <row r="546" spans="23:23" hidden="1">
      <c r="W546" s="225"/>
    </row>
    <row r="547" spans="23:23" hidden="1">
      <c r="W547" s="225"/>
    </row>
    <row r="548" spans="23:23" hidden="1">
      <c r="W548" s="225"/>
    </row>
    <row r="549" spans="23:23" hidden="1">
      <c r="W549" s="225"/>
    </row>
    <row r="550" spans="23:23" hidden="1">
      <c r="W550" s="225"/>
    </row>
    <row r="551" spans="23:23" hidden="1">
      <c r="W551" s="225"/>
    </row>
    <row r="552" spans="23:23" hidden="1">
      <c r="W552" s="225"/>
    </row>
    <row r="553" spans="23:23" hidden="1">
      <c r="W553" s="225"/>
    </row>
    <row r="554" spans="23:23" hidden="1">
      <c r="W554" s="225"/>
    </row>
    <row r="555" spans="23:23" hidden="1">
      <c r="W555" s="225"/>
    </row>
    <row r="556" spans="23:23" hidden="1">
      <c r="W556" s="225"/>
    </row>
    <row r="557" spans="23:23" hidden="1">
      <c r="W557" s="225"/>
    </row>
    <row r="558" spans="23:23" hidden="1">
      <c r="W558" s="225"/>
    </row>
    <row r="559" spans="23:23" hidden="1">
      <c r="W559" s="225"/>
    </row>
    <row r="560" spans="23:23" hidden="1">
      <c r="W560" s="225"/>
    </row>
    <row r="561" spans="23:23" hidden="1">
      <c r="W561" s="225"/>
    </row>
    <row r="562" spans="23:23" hidden="1">
      <c r="W562" s="225"/>
    </row>
    <row r="563" spans="23:23" hidden="1">
      <c r="W563" s="225"/>
    </row>
    <row r="564" spans="23:23" hidden="1">
      <c r="W564" s="225"/>
    </row>
    <row r="565" spans="23:23" hidden="1">
      <c r="W565" s="225"/>
    </row>
    <row r="566" spans="23:23" hidden="1">
      <c r="W566" s="225"/>
    </row>
    <row r="567" spans="23:23" hidden="1">
      <c r="W567" s="225"/>
    </row>
    <row r="568" spans="23:23" hidden="1">
      <c r="W568" s="225"/>
    </row>
    <row r="569" spans="23:23" hidden="1">
      <c r="W569" s="225"/>
    </row>
    <row r="570" spans="23:23" hidden="1">
      <c r="W570" s="225"/>
    </row>
    <row r="571" spans="23:23" hidden="1">
      <c r="W571" s="225"/>
    </row>
    <row r="572" spans="23:23" hidden="1">
      <c r="W572" s="225"/>
    </row>
    <row r="573" spans="23:23" hidden="1">
      <c r="W573" s="225"/>
    </row>
    <row r="574" spans="23:23" hidden="1">
      <c r="W574" s="225"/>
    </row>
    <row r="575" spans="23:23" hidden="1">
      <c r="W575" s="225"/>
    </row>
    <row r="576" spans="23:23" hidden="1">
      <c r="W576" s="225"/>
    </row>
    <row r="577" spans="23:23" hidden="1">
      <c r="W577" s="225"/>
    </row>
    <row r="578" spans="23:23" hidden="1">
      <c r="W578" s="225"/>
    </row>
    <row r="579" spans="23:23" hidden="1">
      <c r="W579" s="225"/>
    </row>
    <row r="580" spans="23:23" hidden="1">
      <c r="W580" s="225"/>
    </row>
    <row r="581" spans="23:23" hidden="1">
      <c r="W581" s="225"/>
    </row>
    <row r="582" spans="23:23" hidden="1">
      <c r="W582" s="225"/>
    </row>
    <row r="583" spans="23:23" hidden="1">
      <c r="W583" s="225"/>
    </row>
    <row r="584" spans="23:23" hidden="1">
      <c r="W584" s="225"/>
    </row>
    <row r="585" spans="23:23" hidden="1">
      <c r="W585" s="225"/>
    </row>
    <row r="586" spans="23:23" hidden="1">
      <c r="W586" s="225"/>
    </row>
    <row r="587" spans="23:23" hidden="1">
      <c r="W587" s="225"/>
    </row>
    <row r="588" spans="23:23" hidden="1">
      <c r="W588" s="225"/>
    </row>
    <row r="589" spans="23:23" hidden="1">
      <c r="W589" s="225"/>
    </row>
    <row r="590" spans="23:23" hidden="1">
      <c r="W590" s="225"/>
    </row>
    <row r="591" spans="23:23" hidden="1">
      <c r="W591" s="225"/>
    </row>
    <row r="592" spans="23:23" hidden="1">
      <c r="W592" s="225"/>
    </row>
    <row r="593" spans="23:23" hidden="1">
      <c r="W593" s="225"/>
    </row>
    <row r="594" spans="23:23" hidden="1">
      <c r="W594" s="225"/>
    </row>
    <row r="595" spans="23:23" hidden="1">
      <c r="W595" s="225"/>
    </row>
    <row r="596" spans="23:23" hidden="1">
      <c r="W596" s="225"/>
    </row>
    <row r="597" spans="23:23" hidden="1">
      <c r="W597" s="225"/>
    </row>
    <row r="598" spans="23:23" hidden="1">
      <c r="W598" s="225"/>
    </row>
    <row r="599" spans="23:23" hidden="1">
      <c r="W599" s="225"/>
    </row>
    <row r="600" spans="23:23" hidden="1">
      <c r="W600" s="225"/>
    </row>
    <row r="601" spans="23:23" hidden="1">
      <c r="W601" s="225"/>
    </row>
    <row r="602" spans="23:23" hidden="1">
      <c r="W602" s="225"/>
    </row>
    <row r="603" spans="23:23" hidden="1">
      <c r="W603" s="225"/>
    </row>
    <row r="604" spans="23:23" hidden="1">
      <c r="W604" s="225"/>
    </row>
    <row r="605" spans="23:23" hidden="1">
      <c r="W605" s="225"/>
    </row>
    <row r="606" spans="23:23" hidden="1">
      <c r="W606" s="225"/>
    </row>
    <row r="607" spans="23:23" hidden="1">
      <c r="W607" s="225"/>
    </row>
    <row r="608" spans="23:23" hidden="1">
      <c r="W608" s="225"/>
    </row>
    <row r="609" spans="23:23" hidden="1">
      <c r="W609" s="225"/>
    </row>
    <row r="610" spans="23:23" hidden="1">
      <c r="W610" s="225"/>
    </row>
    <row r="611" spans="23:23" hidden="1">
      <c r="W611" s="225"/>
    </row>
    <row r="612" spans="23:23" hidden="1">
      <c r="W612" s="225"/>
    </row>
    <row r="613" spans="23:23" hidden="1">
      <c r="W613" s="225"/>
    </row>
    <row r="614" spans="23:23" hidden="1">
      <c r="W614" s="225"/>
    </row>
    <row r="615" spans="23:23" hidden="1">
      <c r="W615" s="225"/>
    </row>
    <row r="616" spans="23:23" hidden="1">
      <c r="W616" s="225"/>
    </row>
    <row r="617" spans="23:23" hidden="1">
      <c r="W617" s="225"/>
    </row>
    <row r="618" spans="23:23" hidden="1">
      <c r="W618" s="225"/>
    </row>
    <row r="619" spans="23:23" hidden="1">
      <c r="W619" s="225"/>
    </row>
    <row r="620" spans="23:23" hidden="1">
      <c r="W620" s="225"/>
    </row>
    <row r="621" spans="23:23" hidden="1">
      <c r="W621" s="225"/>
    </row>
    <row r="622" spans="23:23" hidden="1">
      <c r="W622" s="225"/>
    </row>
    <row r="623" spans="23:23" hidden="1">
      <c r="W623" s="225"/>
    </row>
    <row r="624" spans="23:23" hidden="1">
      <c r="W624" s="225"/>
    </row>
    <row r="625" spans="23:23" hidden="1">
      <c r="W625" s="225"/>
    </row>
    <row r="626" spans="23:23" hidden="1">
      <c r="W626" s="225"/>
    </row>
    <row r="627" spans="23:23" hidden="1">
      <c r="W627" s="225"/>
    </row>
    <row r="628" spans="23:23" hidden="1">
      <c r="W628" s="225"/>
    </row>
    <row r="629" spans="23:23" hidden="1">
      <c r="W629" s="225"/>
    </row>
    <row r="630" spans="23:23" hidden="1">
      <c r="W630" s="225"/>
    </row>
    <row r="631" spans="23:23" hidden="1">
      <c r="W631" s="225"/>
    </row>
    <row r="632" spans="23:23" hidden="1">
      <c r="W632" s="225"/>
    </row>
    <row r="633" spans="23:23" hidden="1">
      <c r="W633" s="225"/>
    </row>
    <row r="634" spans="23:23" hidden="1">
      <c r="W634" s="225"/>
    </row>
    <row r="635" spans="23:23" hidden="1">
      <c r="W635" s="225"/>
    </row>
    <row r="636" spans="23:23" hidden="1">
      <c r="W636" s="225"/>
    </row>
    <row r="637" spans="23:23" hidden="1">
      <c r="W637" s="225"/>
    </row>
    <row r="638" spans="23:23" hidden="1">
      <c r="W638" s="225"/>
    </row>
    <row r="639" spans="23:23" hidden="1">
      <c r="W639" s="225"/>
    </row>
    <row r="640" spans="23:23" hidden="1">
      <c r="W640" s="225"/>
    </row>
    <row r="641" spans="23:23" hidden="1">
      <c r="W641" s="225"/>
    </row>
    <row r="642" spans="23:23" hidden="1">
      <c r="W642" s="225"/>
    </row>
    <row r="643" spans="23:23" hidden="1">
      <c r="W643" s="225"/>
    </row>
    <row r="644" spans="23:23" hidden="1">
      <c r="W644" s="225"/>
    </row>
    <row r="645" spans="23:23" hidden="1">
      <c r="W645" s="225"/>
    </row>
    <row r="646" spans="23:23" hidden="1">
      <c r="W646" s="225"/>
    </row>
    <row r="647" spans="23:23" hidden="1">
      <c r="W647" s="225"/>
    </row>
    <row r="648" spans="23:23" hidden="1">
      <c r="W648" s="225"/>
    </row>
    <row r="649" spans="23:23" hidden="1">
      <c r="W649" s="225"/>
    </row>
    <row r="650" spans="23:23" hidden="1">
      <c r="W650" s="225"/>
    </row>
    <row r="651" spans="23:23" hidden="1">
      <c r="W651" s="225"/>
    </row>
    <row r="652" spans="23:23" hidden="1">
      <c r="W652" s="225"/>
    </row>
    <row r="653" spans="23:23" hidden="1">
      <c r="W653" s="225"/>
    </row>
    <row r="654" spans="23:23" hidden="1">
      <c r="W654" s="225"/>
    </row>
    <row r="655" spans="23:23" hidden="1">
      <c r="W655" s="225"/>
    </row>
    <row r="656" spans="23:23" hidden="1">
      <c r="W656" s="225"/>
    </row>
    <row r="657" spans="23:23" hidden="1">
      <c r="W657" s="225"/>
    </row>
    <row r="658" spans="23:23" hidden="1">
      <c r="W658" s="225"/>
    </row>
    <row r="659" spans="23:23" hidden="1">
      <c r="W659" s="225"/>
    </row>
    <row r="660" spans="23:23" hidden="1">
      <c r="W660" s="225"/>
    </row>
    <row r="661" spans="23:23" hidden="1">
      <c r="W661" s="225"/>
    </row>
    <row r="662" spans="23:23" hidden="1">
      <c r="W662" s="225"/>
    </row>
    <row r="663" spans="23:23" hidden="1">
      <c r="W663" s="225"/>
    </row>
    <row r="664" spans="23:23" hidden="1">
      <c r="W664" s="225"/>
    </row>
    <row r="665" spans="23:23" hidden="1">
      <c r="W665" s="225"/>
    </row>
    <row r="666" spans="23:23" hidden="1">
      <c r="W666" s="225"/>
    </row>
    <row r="667" spans="23:23" hidden="1">
      <c r="W667" s="225"/>
    </row>
    <row r="668" spans="23:23" hidden="1">
      <c r="W668" s="225"/>
    </row>
    <row r="669" spans="23:23" hidden="1">
      <c r="W669" s="225"/>
    </row>
    <row r="670" spans="23:23" hidden="1">
      <c r="W670" s="225"/>
    </row>
    <row r="671" spans="23:23" hidden="1">
      <c r="W671" s="225"/>
    </row>
    <row r="672" spans="23:23" hidden="1">
      <c r="W672" s="225"/>
    </row>
    <row r="673" spans="23:23" hidden="1">
      <c r="W673" s="225"/>
    </row>
    <row r="674" spans="23:23" hidden="1">
      <c r="W674" s="225"/>
    </row>
    <row r="675" spans="23:23" hidden="1">
      <c r="W675" s="225"/>
    </row>
    <row r="676" spans="23:23" hidden="1">
      <c r="W676" s="225"/>
    </row>
    <row r="677" spans="23:23" hidden="1">
      <c r="W677" s="225"/>
    </row>
    <row r="678" spans="23:23" hidden="1">
      <c r="W678" s="225"/>
    </row>
    <row r="679" spans="23:23" hidden="1">
      <c r="W679" s="225"/>
    </row>
    <row r="680" spans="23:23" hidden="1">
      <c r="W680" s="225"/>
    </row>
    <row r="681" spans="23:23" hidden="1">
      <c r="W681" s="225"/>
    </row>
    <row r="682" spans="23:23" hidden="1">
      <c r="W682" s="225"/>
    </row>
    <row r="683" spans="23:23" hidden="1">
      <c r="W683" s="225"/>
    </row>
    <row r="684" spans="23:23" hidden="1">
      <c r="W684" s="225"/>
    </row>
    <row r="685" spans="23:23" hidden="1">
      <c r="W685" s="225"/>
    </row>
    <row r="686" spans="23:23" hidden="1">
      <c r="W686" s="225"/>
    </row>
    <row r="687" spans="23:23" hidden="1">
      <c r="W687" s="225"/>
    </row>
    <row r="688" spans="23:23" hidden="1">
      <c r="W688" s="225"/>
    </row>
    <row r="689" spans="23:23" hidden="1">
      <c r="W689" s="225"/>
    </row>
    <row r="690" spans="23:23" hidden="1">
      <c r="W690" s="225"/>
    </row>
    <row r="691" spans="23:23" hidden="1">
      <c r="W691" s="225"/>
    </row>
    <row r="692" spans="23:23" hidden="1">
      <c r="W692" s="225"/>
    </row>
    <row r="693" spans="23:23" hidden="1">
      <c r="W693" s="225"/>
    </row>
    <row r="694" spans="23:23" hidden="1">
      <c r="W694" s="225"/>
    </row>
    <row r="695" spans="23:23" hidden="1">
      <c r="W695" s="225"/>
    </row>
    <row r="696" spans="23:23" hidden="1">
      <c r="W696" s="225"/>
    </row>
    <row r="697" spans="23:23" hidden="1">
      <c r="W697" s="225"/>
    </row>
    <row r="698" spans="23:23" hidden="1">
      <c r="W698" s="225"/>
    </row>
    <row r="699" spans="23:23" hidden="1">
      <c r="W699" s="225"/>
    </row>
    <row r="700" spans="23:23" hidden="1">
      <c r="W700" s="225"/>
    </row>
    <row r="701" spans="23:23" hidden="1">
      <c r="W701" s="225"/>
    </row>
    <row r="702" spans="23:23" hidden="1">
      <c r="W702" s="225"/>
    </row>
    <row r="703" spans="23:23" hidden="1">
      <c r="W703" s="225"/>
    </row>
    <row r="704" spans="23:23" hidden="1">
      <c r="W704" s="225"/>
    </row>
    <row r="705" spans="23:23" hidden="1">
      <c r="W705" s="225"/>
    </row>
    <row r="706" spans="23:23" hidden="1">
      <c r="W706" s="225"/>
    </row>
    <row r="707" spans="23:23" hidden="1">
      <c r="W707" s="225"/>
    </row>
    <row r="708" spans="23:23" hidden="1">
      <c r="W708" s="225"/>
    </row>
    <row r="709" spans="23:23" hidden="1">
      <c r="W709" s="225"/>
    </row>
    <row r="710" spans="23:23" hidden="1">
      <c r="W710" s="225"/>
    </row>
    <row r="711" spans="23:23" hidden="1">
      <c r="W711" s="225"/>
    </row>
    <row r="712" spans="23:23" hidden="1">
      <c r="W712" s="225"/>
    </row>
    <row r="713" spans="23:23" hidden="1">
      <c r="W713" s="225"/>
    </row>
    <row r="714" spans="23:23" hidden="1">
      <c r="W714" s="225"/>
    </row>
    <row r="715" spans="23:23" hidden="1">
      <c r="W715" s="225"/>
    </row>
    <row r="716" spans="23:23" hidden="1">
      <c r="W716" s="225"/>
    </row>
    <row r="717" spans="23:23" hidden="1">
      <c r="W717" s="225"/>
    </row>
    <row r="718" spans="23:23" hidden="1">
      <c r="W718" s="225"/>
    </row>
    <row r="719" spans="23:23" hidden="1">
      <c r="W719" s="225"/>
    </row>
    <row r="720" spans="23:23" hidden="1">
      <c r="W720" s="225"/>
    </row>
    <row r="721" spans="23:23" hidden="1">
      <c r="W721" s="225"/>
    </row>
    <row r="722" spans="23:23" hidden="1">
      <c r="W722" s="225"/>
    </row>
    <row r="723" spans="23:23" hidden="1">
      <c r="W723" s="225"/>
    </row>
    <row r="724" spans="23:23" hidden="1">
      <c r="W724" s="225"/>
    </row>
    <row r="725" spans="23:23" hidden="1">
      <c r="W725" s="225"/>
    </row>
    <row r="726" spans="23:23" hidden="1">
      <c r="W726" s="225"/>
    </row>
    <row r="727" spans="23:23" hidden="1">
      <c r="W727" s="225"/>
    </row>
    <row r="728" spans="23:23" hidden="1">
      <c r="W728" s="225"/>
    </row>
    <row r="729" spans="23:23" hidden="1">
      <c r="W729" s="225"/>
    </row>
    <row r="730" spans="23:23" hidden="1">
      <c r="W730" s="225"/>
    </row>
    <row r="731" spans="23:23" hidden="1">
      <c r="W731" s="225"/>
    </row>
    <row r="732" spans="23:23" hidden="1">
      <c r="W732" s="225"/>
    </row>
    <row r="733" spans="23:23" hidden="1">
      <c r="W733" s="225"/>
    </row>
    <row r="734" spans="23:23" hidden="1">
      <c r="W734" s="225"/>
    </row>
    <row r="735" spans="23:23" hidden="1">
      <c r="W735" s="225"/>
    </row>
    <row r="736" spans="23:23" hidden="1">
      <c r="W736" s="225"/>
    </row>
    <row r="737" spans="23:23" hidden="1">
      <c r="W737" s="225"/>
    </row>
    <row r="738" spans="23:23" hidden="1">
      <c r="W738" s="225"/>
    </row>
    <row r="739" spans="23:23" hidden="1">
      <c r="W739" s="225"/>
    </row>
    <row r="740" spans="23:23" hidden="1">
      <c r="W740" s="225"/>
    </row>
    <row r="741" spans="23:23" hidden="1">
      <c r="W741" s="225"/>
    </row>
    <row r="742" spans="23:23" hidden="1">
      <c r="W742" s="225"/>
    </row>
    <row r="743" spans="23:23" hidden="1">
      <c r="W743" s="225"/>
    </row>
    <row r="744" spans="23:23" hidden="1">
      <c r="W744" s="225"/>
    </row>
    <row r="745" spans="23:23" hidden="1">
      <c r="W745" s="225"/>
    </row>
    <row r="746" spans="23:23" hidden="1">
      <c r="W746" s="225"/>
    </row>
    <row r="747" spans="23:23" hidden="1">
      <c r="W747" s="225"/>
    </row>
    <row r="748" spans="23:23" hidden="1">
      <c r="W748" s="225"/>
    </row>
    <row r="749" spans="23:23" hidden="1">
      <c r="W749" s="225"/>
    </row>
    <row r="750" spans="23:23" hidden="1">
      <c r="W750" s="225"/>
    </row>
    <row r="751" spans="23:23" hidden="1">
      <c r="W751" s="225"/>
    </row>
    <row r="752" spans="23:23" hidden="1">
      <c r="W752" s="225"/>
    </row>
    <row r="753" spans="23:23" hidden="1">
      <c r="W753" s="225"/>
    </row>
    <row r="754" spans="23:23" hidden="1">
      <c r="W754" s="225"/>
    </row>
    <row r="755" spans="23:23" hidden="1">
      <c r="W755" s="225"/>
    </row>
    <row r="756" spans="23:23" hidden="1">
      <c r="W756" s="225"/>
    </row>
    <row r="757" spans="23:23" hidden="1">
      <c r="W757" s="225"/>
    </row>
    <row r="758" spans="23:23" hidden="1">
      <c r="W758" s="225"/>
    </row>
    <row r="759" spans="23:23" hidden="1">
      <c r="W759" s="225"/>
    </row>
    <row r="760" spans="23:23" hidden="1">
      <c r="W760" s="225"/>
    </row>
    <row r="761" spans="23:23" hidden="1">
      <c r="W761" s="225"/>
    </row>
    <row r="762" spans="23:23" hidden="1">
      <c r="W762" s="225"/>
    </row>
    <row r="763" spans="23:23" hidden="1">
      <c r="W763" s="225"/>
    </row>
    <row r="764" spans="23:23" hidden="1">
      <c r="W764" s="225"/>
    </row>
    <row r="765" spans="23:23" hidden="1">
      <c r="W765" s="225"/>
    </row>
    <row r="766" spans="23:23" hidden="1">
      <c r="W766" s="225"/>
    </row>
    <row r="767" spans="23:23" hidden="1">
      <c r="W767" s="225"/>
    </row>
    <row r="768" spans="23:23" hidden="1">
      <c r="W768" s="225"/>
    </row>
    <row r="1048576" ht="1" hidden="1" customHeight="1"/>
  </sheetData>
  <sheetProtection algorithmName="SHA-512" hashValue="jyyL3dOxcg2igPK/C026IyHBauz5Ys5CxusBsqufYi7nY8BvOBI16KPSqNu3tREDpGKNkGoeFZJN7oK2vI0GZw==" saltValue="EwEkvM0+Dl1Im2wtWNJcmw==" spinCount="100000" sheet="1" objects="1" scenarios="1"/>
  <mergeCells count="18">
    <mergeCell ref="B3:I4"/>
    <mergeCell ref="B2:I2"/>
    <mergeCell ref="A56:A67"/>
    <mergeCell ref="B24:D25"/>
    <mergeCell ref="B39:D40"/>
    <mergeCell ref="F24:F25"/>
    <mergeCell ref="F39:F40"/>
    <mergeCell ref="B55:H59"/>
    <mergeCell ref="K42:M43"/>
    <mergeCell ref="O42:O43"/>
    <mergeCell ref="P43:R44"/>
    <mergeCell ref="P46:R46"/>
    <mergeCell ref="B5:D6"/>
    <mergeCell ref="F5:F6"/>
    <mergeCell ref="B35:F35"/>
    <mergeCell ref="Q7:Q9"/>
    <mergeCell ref="R7:R9"/>
    <mergeCell ref="K5:R6"/>
  </mergeCells>
  <phoneticPr fontId="12"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6</xdr:col>
                    <xdr:colOff>177800</xdr:colOff>
                    <xdr:row>18</xdr:row>
                    <xdr:rowOff>12700</xdr:rowOff>
                  </from>
                  <to>
                    <xdr:col>8</xdr:col>
                    <xdr:colOff>63500</xdr:colOff>
                    <xdr:row>18</xdr:row>
                    <xdr:rowOff>190500</xdr:rowOff>
                  </to>
                </anchor>
              </controlPr>
            </control>
          </mc:Choice>
        </mc:AlternateContent>
        <mc:AlternateContent xmlns:mc="http://schemas.openxmlformats.org/markup-compatibility/2006">
          <mc:Choice Requires="x14">
            <control shapeId="44051" r:id="rId5" name="Button 19">
              <controlPr defaultSize="0" print="0" autoFill="0" autoPict="0" macro="[0]!M0_estimate_SF" altText="      Estimate SF">
                <anchor moveWithCells="1" sizeWithCells="1">
                  <from>
                    <xdr:col>6</xdr:col>
                    <xdr:colOff>177800</xdr:colOff>
                    <xdr:row>20</xdr:row>
                    <xdr:rowOff>25400</xdr:rowOff>
                  </from>
                  <to>
                    <xdr:col>8</xdr:col>
                    <xdr:colOff>63500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Estimate  θ">
                <anchor moveWithCells="1" sizeWithCells="1">
                  <from>
                    <xdr:col>6</xdr:col>
                    <xdr:colOff>177800</xdr:colOff>
                    <xdr:row>19</xdr:row>
                    <xdr:rowOff>25400</xdr:rowOff>
                  </from>
                  <to>
                    <xdr:col>8</xdr:col>
                    <xdr:colOff>63500</xdr:colOff>
                    <xdr:row>19</xdr:row>
                    <xdr:rowOff>203200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6</xdr:col>
                    <xdr:colOff>177800</xdr:colOff>
                    <xdr:row>21</xdr:row>
                    <xdr:rowOff>25400</xdr:rowOff>
                  </from>
                  <to>
                    <xdr:col>8</xdr:col>
                    <xdr:colOff>63500</xdr:colOff>
                    <xdr:row>21</xdr:row>
                    <xdr:rowOff>203200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nchor moveWithCells="1" sizeWithCells="1">
                  <from>
                    <xdr:col>6</xdr:col>
                    <xdr:colOff>177800</xdr:colOff>
                    <xdr:row>32</xdr:row>
                    <xdr:rowOff>25400</xdr:rowOff>
                  </from>
                  <to>
                    <xdr:col>8</xdr:col>
                    <xdr:colOff>101600</xdr:colOff>
                    <xdr:row>32</xdr:row>
                    <xdr:rowOff>203200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nchor moveWithCells="1" sizeWithCells="1">
                  <from>
                    <xdr:col>6</xdr:col>
                    <xdr:colOff>177800</xdr:colOff>
                    <xdr:row>33</xdr:row>
                    <xdr:rowOff>25400</xdr:rowOff>
                  </from>
                  <to>
                    <xdr:col>8</xdr:col>
                    <xdr:colOff>101600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6</xdr:col>
                    <xdr:colOff>177800</xdr:colOff>
                    <xdr:row>44</xdr:row>
                    <xdr:rowOff>25400</xdr:rowOff>
                  </from>
                  <to>
                    <xdr:col>8</xdr:col>
                    <xdr:colOff>101600</xdr:colOff>
                    <xdr:row>45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25"/>
  <sheetViews>
    <sheetView showGridLines="0" showRowColHeaders="0" zoomScaleNormal="100" workbookViewId="0">
      <selection activeCell="L11" sqref="L11"/>
    </sheetView>
  </sheetViews>
  <sheetFormatPr baseColWidth="10" defaultColWidth="0" defaultRowHeight="15" zeroHeight="1"/>
  <cols>
    <col min="1" max="1" width="0.33203125" style="50" customWidth="1"/>
    <col min="2" max="2" width="9.1640625" style="50" customWidth="1"/>
    <col min="3" max="3" width="66.33203125" style="50" customWidth="1"/>
    <col min="4" max="4" width="13.83203125" style="50" customWidth="1"/>
    <col min="5" max="5" width="12.33203125" style="50" customWidth="1"/>
    <col min="6" max="6" width="13.6640625" style="50" customWidth="1"/>
    <col min="7" max="7" width="5.33203125" style="50" customWidth="1"/>
    <col min="8" max="8" width="6" style="50" customWidth="1"/>
    <col min="9" max="9" width="73" style="50" customWidth="1"/>
    <col min="10" max="10" width="18" style="50" customWidth="1"/>
    <col min="11" max="11" width="14.1640625" style="50" customWidth="1"/>
    <col min="12" max="12" width="18.33203125" style="50" customWidth="1"/>
    <col min="13" max="13" width="6.33203125" style="50" customWidth="1"/>
    <col min="14" max="14" width="6.1640625" style="50" customWidth="1"/>
    <col min="15" max="15" width="8.33203125" style="50" hidden="1" customWidth="1"/>
    <col min="16" max="16" width="4.1640625" style="50" hidden="1" customWidth="1"/>
    <col min="17" max="48" width="0" style="50" hidden="1" customWidth="1"/>
    <col min="49" max="16384" width="9" style="50" hidden="1"/>
  </cols>
  <sheetData>
    <row r="1" spans="1:16" ht="56" customHeight="1">
      <c r="A1" s="397" t="s">
        <v>142</v>
      </c>
      <c r="B1" s="397"/>
      <c r="C1" s="397"/>
      <c r="D1" s="397"/>
      <c r="E1" s="397"/>
      <c r="F1" s="397"/>
      <c r="G1" s="39"/>
      <c r="H1" s="39"/>
      <c r="I1" s="39"/>
      <c r="J1" s="39"/>
      <c r="K1" s="39"/>
      <c r="L1" s="39"/>
    </row>
    <row r="2" spans="1:16" ht="51.75" customHeight="1" thickBot="1">
      <c r="A2" s="184"/>
      <c r="B2" s="184"/>
      <c r="C2" s="184"/>
      <c r="D2" s="184"/>
      <c r="E2" s="184"/>
      <c r="F2" s="184"/>
      <c r="G2" s="39"/>
      <c r="H2" s="39"/>
      <c r="I2" s="39"/>
      <c r="J2" s="39"/>
      <c r="K2" s="39"/>
      <c r="L2" s="39"/>
    </row>
    <row r="3" spans="1:16" ht="45" customHeight="1" thickBot="1">
      <c r="B3" s="394" t="s">
        <v>143</v>
      </c>
      <c r="C3" s="395"/>
      <c r="D3" s="395"/>
      <c r="E3" s="395"/>
      <c r="F3" s="396"/>
      <c r="G3" s="130"/>
      <c r="H3" s="130"/>
      <c r="I3" s="394" t="s">
        <v>144</v>
      </c>
      <c r="J3" s="395"/>
      <c r="K3" s="395"/>
      <c r="L3" s="92" t="s">
        <v>145</v>
      </c>
      <c r="M3" s="130"/>
      <c r="N3" s="130"/>
      <c r="O3" s="130"/>
      <c r="P3" s="130"/>
    </row>
    <row r="4" spans="1:16" ht="35" customHeight="1">
      <c r="B4" s="146"/>
      <c r="C4" s="85" t="s">
        <v>146</v>
      </c>
      <c r="D4" s="128"/>
      <c r="E4" s="128"/>
      <c r="F4" s="129"/>
      <c r="I4" s="91" t="s">
        <v>147</v>
      </c>
      <c r="J4" s="84" t="s">
        <v>148</v>
      </c>
      <c r="K4" s="85" t="s">
        <v>149</v>
      </c>
      <c r="L4" s="148">
        <v>6.9204432994557328</v>
      </c>
    </row>
    <row r="5" spans="1:16" ht="35" customHeight="1">
      <c r="B5" s="51"/>
      <c r="C5" s="147" t="s">
        <v>278</v>
      </c>
      <c r="F5" s="52"/>
      <c r="I5" s="90" t="s">
        <v>150</v>
      </c>
      <c r="J5" s="86" t="s">
        <v>151</v>
      </c>
      <c r="K5" s="60" t="s">
        <v>149</v>
      </c>
      <c r="L5" s="149">
        <v>1.5188594271257696</v>
      </c>
    </row>
    <row r="6" spans="1:16" ht="35" customHeight="1">
      <c r="B6" s="51"/>
      <c r="F6" s="52"/>
      <c r="I6" s="90" t="s">
        <v>152</v>
      </c>
      <c r="J6" s="86" t="s">
        <v>153</v>
      </c>
      <c r="K6" s="60" t="s">
        <v>149</v>
      </c>
      <c r="L6" s="149">
        <v>0.42377366331976862</v>
      </c>
    </row>
    <row r="7" spans="1:16" ht="40" customHeight="1">
      <c r="B7" s="51"/>
      <c r="F7" s="52"/>
      <c r="I7" s="51"/>
      <c r="L7" s="52"/>
    </row>
    <row r="8" spans="1:16" ht="38" customHeight="1" thickBot="1">
      <c r="B8" s="51"/>
      <c r="F8" s="52"/>
      <c r="I8" s="51"/>
      <c r="L8" s="52"/>
    </row>
    <row r="9" spans="1:16" ht="38" customHeight="1" thickBot="1">
      <c r="B9" s="51"/>
      <c r="F9" s="52"/>
      <c r="I9" s="398" t="s">
        <v>154</v>
      </c>
      <c r="J9" s="399"/>
      <c r="K9" s="399"/>
      <c r="L9" s="400"/>
    </row>
    <row r="10" spans="1:16" ht="35" customHeight="1">
      <c r="B10" s="51"/>
      <c r="F10" s="52"/>
      <c r="I10" s="91" t="s">
        <v>155</v>
      </c>
      <c r="J10" s="84" t="s">
        <v>156</v>
      </c>
      <c r="K10" s="85" t="s">
        <v>137</v>
      </c>
      <c r="L10" s="338">
        <v>12.669766523701293</v>
      </c>
    </row>
    <row r="11" spans="1:16" ht="35" customHeight="1">
      <c r="B11" s="51"/>
      <c r="F11" s="52"/>
      <c r="I11" s="90" t="s">
        <v>157</v>
      </c>
      <c r="J11" s="86" t="s">
        <v>158</v>
      </c>
      <c r="K11" s="60" t="s">
        <v>137</v>
      </c>
      <c r="L11" s="162">
        <v>3.9029158725382063</v>
      </c>
    </row>
    <row r="12" spans="1:16" ht="35" customHeight="1">
      <c r="B12" s="51"/>
      <c r="F12" s="52"/>
      <c r="I12" s="90" t="s">
        <v>159</v>
      </c>
      <c r="J12" s="86" t="s">
        <v>160</v>
      </c>
      <c r="K12" s="60" t="s">
        <v>137</v>
      </c>
      <c r="L12" s="162">
        <v>17.5726823962395</v>
      </c>
    </row>
    <row r="13" spans="1:16" ht="35" customHeight="1">
      <c r="B13" s="51"/>
      <c r="F13" s="52"/>
      <c r="I13" s="90" t="s">
        <v>161</v>
      </c>
      <c r="J13" s="86" t="s">
        <v>162</v>
      </c>
      <c r="K13" s="60" t="s">
        <v>137</v>
      </c>
      <c r="L13" s="162">
        <v>4.5563421972181519</v>
      </c>
    </row>
    <row r="14" spans="1:16" ht="35" customHeight="1">
      <c r="B14" s="51"/>
      <c r="F14" s="52"/>
      <c r="I14" s="90" t="s">
        <v>163</v>
      </c>
      <c r="J14" s="86" t="s">
        <v>136</v>
      </c>
      <c r="K14" s="60" t="s">
        <v>137</v>
      </c>
      <c r="L14" s="162">
        <v>151.02462144651173</v>
      </c>
    </row>
    <row r="15" spans="1:16" ht="35" customHeight="1">
      <c r="B15" s="51"/>
      <c r="F15" s="52"/>
      <c r="I15" s="145" t="s">
        <v>164</v>
      </c>
      <c r="J15" s="86" t="s">
        <v>165</v>
      </c>
      <c r="K15" s="60" t="s">
        <v>130</v>
      </c>
      <c r="L15" s="162">
        <v>44.523318059672704</v>
      </c>
    </row>
    <row r="16" spans="1:16" ht="45" customHeight="1" thickBot="1">
      <c r="B16" s="53"/>
      <c r="C16" s="54"/>
      <c r="D16" s="54"/>
      <c r="E16" s="54"/>
      <c r="F16" s="55"/>
      <c r="I16" s="142" t="s">
        <v>166</v>
      </c>
      <c r="J16" s="143" t="s">
        <v>167</v>
      </c>
      <c r="K16" s="144" t="s">
        <v>168</v>
      </c>
      <c r="L16" s="339">
        <v>66</v>
      </c>
    </row>
    <row r="17" spans="9:48" ht="38" customHeight="1">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row>
    <row r="19" spans="9:48" ht="18" hidden="1">
      <c r="I19" s="138"/>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row>
    <row r="23" spans="9:48" ht="18" hidden="1">
      <c r="I23" s="57"/>
      <c r="J23" s="86"/>
      <c r="K23" s="60"/>
      <c r="L23" s="131"/>
    </row>
    <row r="24" spans="9:48" ht="18" hidden="1">
      <c r="I24" s="57"/>
      <c r="J24" s="86"/>
      <c r="K24" s="60"/>
      <c r="L24" s="131"/>
    </row>
    <row r="25" spans="9:48" ht="18" hidden="1">
      <c r="I25" s="57"/>
      <c r="J25" s="86"/>
      <c r="K25" s="60"/>
      <c r="L25" s="60"/>
    </row>
  </sheetData>
  <sheetProtection algorithmName="SHA-512" hashValue="PBIAlePwLsA/yYiOUs5NmwZ+E+MdsSPg4YS8iLljErgFOrrcR8FxQQ2FMhu6V7wtKrsH2My6QCm76AGy4l+ecA==" saltValue="x4IHO+yQmtnQSYrBY+e85Q==" spinCount="100000" sheet="1" objects="1" scenarios="1"/>
  <mergeCells count="4">
    <mergeCell ref="I3:K3"/>
    <mergeCell ref="B3:F3"/>
    <mergeCell ref="A1:F1"/>
    <mergeCell ref="I9:L9"/>
  </mergeCells>
  <phoneticPr fontId="12" type="noConversion"/>
  <dataValidations count="1">
    <dataValidation type="list" allowBlank="1" showInputMessage="1" showErrorMessage="1" sqref="C5" xr:uid="{4308E4C2-7E0E-45F1-9749-1FD9D232465F}">
      <formula1>"Vadose-zone mass discharge rate, Mass remaining in the vadose zone, PFAS concentration in a receptor well"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XFC230"/>
  <sheetViews>
    <sheetView zoomScaleNormal="100" workbookViewId="0">
      <selection activeCell="E93" sqref="E93"/>
    </sheetView>
  </sheetViews>
  <sheetFormatPr baseColWidth="10" defaultColWidth="0" defaultRowHeight="20" customHeight="1"/>
  <cols>
    <col min="1" max="1" width="21.6640625" style="351" customWidth="1"/>
    <col min="2" max="2" width="47.1640625" style="59" customWidth="1"/>
    <col min="3" max="3" width="44.6640625" style="59" customWidth="1"/>
    <col min="4" max="4" width="55.33203125" style="59" customWidth="1"/>
    <col min="5" max="5" width="52.83203125" style="59" customWidth="1"/>
    <col min="6" max="6" width="54.33203125" style="337" customWidth="1"/>
    <col min="7" max="14" width="12.6640625" style="50" hidden="1"/>
    <col min="15" max="41" width="12.33203125" style="50" hidden="1"/>
    <col min="42" max="16383" width="9" style="50" hidden="1"/>
    <col min="16384" max="16384" width="1" style="50" customWidth="1"/>
  </cols>
  <sheetData>
    <row r="1" spans="1:8" ht="48.5" customHeight="1">
      <c r="A1" s="401" t="s">
        <v>169</v>
      </c>
      <c r="B1" s="401"/>
      <c r="C1" s="401"/>
      <c r="D1" s="401"/>
      <c r="E1" s="401"/>
      <c r="F1" s="401"/>
    </row>
    <row r="2" spans="1:8" s="37" customFormat="1" ht="52.25" customHeight="1">
      <c r="A2" s="185" t="s">
        <v>170</v>
      </c>
      <c r="B2" s="185" t="s">
        <v>171</v>
      </c>
      <c r="C2" s="185" t="s">
        <v>172</v>
      </c>
      <c r="D2" s="185" t="s">
        <v>173</v>
      </c>
      <c r="E2" s="185" t="s">
        <v>174</v>
      </c>
      <c r="F2" s="185" t="s">
        <v>175</v>
      </c>
      <c r="G2" s="57"/>
      <c r="H2" s="57"/>
    </row>
    <row r="3" spans="1:8" s="58" customFormat="1" ht="20" customHeight="1">
      <c r="A3" s="185">
        <v>1</v>
      </c>
      <c r="B3" s="186">
        <v>0.28386812142561479</v>
      </c>
      <c r="C3" s="186">
        <v>1.1555118032206134E-3</v>
      </c>
      <c r="D3" s="186">
        <v>183946.54268379841</v>
      </c>
      <c r="E3" s="186">
        <v>190587928.45731619</v>
      </c>
      <c r="F3" s="346">
        <v>99.903577745575006</v>
      </c>
    </row>
    <row r="4" spans="1:8" s="58" customFormat="1" ht="20" customHeight="1">
      <c r="A4" s="185">
        <v>2</v>
      </c>
      <c r="B4" s="186">
        <v>0.30140082673039825</v>
      </c>
      <c r="C4" s="186">
        <v>1.4232460455742245E-3</v>
      </c>
      <c r="D4" s="186">
        <v>195307.73572129806</v>
      </c>
      <c r="E4" s="186">
        <v>190398301.31811365</v>
      </c>
      <c r="F4" s="346">
        <v>99.804177800377374</v>
      </c>
    </row>
    <row r="5" spans="1:8" s="58" customFormat="1" ht="20" customHeight="1">
      <c r="A5" s="185">
        <v>3</v>
      </c>
      <c r="B5" s="186">
        <v>0.32673649710527669</v>
      </c>
      <c r="C5" s="186">
        <v>1.6560460810755076E-3</v>
      </c>
      <c r="D5" s="186">
        <v>211725.25012421934</v>
      </c>
      <c r="E5" s="186">
        <v>190194784.8251909</v>
      </c>
      <c r="F5" s="346">
        <v>99.697497246484005</v>
      </c>
    </row>
    <row r="6" spans="1:8" s="58" customFormat="1" ht="20" customHeight="1">
      <c r="A6" s="351">
        <v>4</v>
      </c>
      <c r="B6" s="186">
        <v>0.35371060416582079</v>
      </c>
      <c r="C6" s="186">
        <v>1.8719036317650165E-3</v>
      </c>
      <c r="D6" s="186">
        <v>229204.47149945187</v>
      </c>
      <c r="E6" s="186">
        <v>189974319.96437907</v>
      </c>
      <c r="F6" s="346">
        <v>99.581932590629023</v>
      </c>
    </row>
    <row r="7" spans="1:8" s="58" customFormat="1" ht="20" customHeight="1">
      <c r="A7" s="185">
        <v>5</v>
      </c>
      <c r="B7" s="186">
        <v>0.38119085715699119</v>
      </c>
      <c r="C7" s="186">
        <v>2.077804285835632E-3</v>
      </c>
      <c r="D7" s="186">
        <v>247011.6754377303</v>
      </c>
      <c r="E7" s="186">
        <v>189736211.89091048</v>
      </c>
      <c r="F7" s="346">
        <v>99.45711960471661</v>
      </c>
    </row>
    <row r="8" spans="1:8" s="58" customFormat="1" ht="20" customHeight="1">
      <c r="A8" s="185">
        <v>6</v>
      </c>
      <c r="B8" s="186">
        <v>0.40928351951867736</v>
      </c>
      <c r="C8" s="186">
        <v>2.2784078623885669E-3</v>
      </c>
      <c r="D8" s="186">
        <v>265215.72064810293</v>
      </c>
      <c r="E8" s="186">
        <v>189480098.19286755</v>
      </c>
      <c r="F8" s="346">
        <v>99.322868317390885</v>
      </c>
    </row>
    <row r="9" spans="1:8" s="58" customFormat="1" ht="20" customHeight="1">
      <c r="A9" s="185">
        <v>7</v>
      </c>
      <c r="B9" s="186">
        <v>0.43921500322548584</v>
      </c>
      <c r="C9" s="186">
        <v>2.4799933729435023E-3</v>
      </c>
      <c r="D9" s="186">
        <v>284611.32209011482</v>
      </c>
      <c r="E9" s="186">
        <v>189205184.67149845</v>
      </c>
      <c r="F9" s="346">
        <v>99.178762420560389</v>
      </c>
    </row>
    <row r="10" spans="1:8" ht="20" customHeight="1">
      <c r="A10" s="351">
        <v>8</v>
      </c>
      <c r="B10" s="59">
        <v>0.47347470241422696</v>
      </c>
      <c r="C10" s="59">
        <v>2.6931290838261021E-3</v>
      </c>
      <c r="D10" s="59">
        <v>306811.60716441914</v>
      </c>
      <c r="E10" s="59">
        <v>188909473.20687118</v>
      </c>
      <c r="F10" s="347">
        <v>99.023754527165579</v>
      </c>
    </row>
    <row r="11" spans="1:8" ht="20" customHeight="1">
      <c r="A11" s="351">
        <v>9</v>
      </c>
      <c r="B11" s="59">
        <v>0.51568342260464717</v>
      </c>
      <c r="C11" s="59">
        <v>2.933746341119699E-3</v>
      </c>
      <c r="D11" s="59">
        <v>334162.85784781142</v>
      </c>
      <c r="E11" s="59">
        <v>188588985.97436506</v>
      </c>
      <c r="F11" s="347">
        <v>98.855759516105323</v>
      </c>
    </row>
    <row r="12" spans="1:8" ht="20" customHeight="1">
      <c r="A12" s="351">
        <v>10</v>
      </c>
      <c r="B12" s="59">
        <v>0.57030845523310902</v>
      </c>
      <c r="C12" s="59">
        <v>3.2229092468001345E-3</v>
      </c>
      <c r="D12" s="59">
        <v>369559.87899105466</v>
      </c>
      <c r="E12" s="59">
        <v>188237124.60594562</v>
      </c>
      <c r="F12" s="347">
        <v>98.671318613367731</v>
      </c>
    </row>
    <row r="13" spans="1:8" ht="20" customHeight="1">
      <c r="A13" s="351">
        <v>11</v>
      </c>
      <c r="B13" s="59">
        <v>0.64243553257443842</v>
      </c>
      <c r="C13" s="59">
        <v>3.5861143733433775E-3</v>
      </c>
      <c r="D13" s="59">
        <v>416298.22510823613</v>
      </c>
      <c r="E13" s="59">
        <v>187844195.55389598</v>
      </c>
      <c r="F13" s="347">
        <v>98.465350594208914</v>
      </c>
    </row>
    <row r="14" spans="1:8" ht="20" customHeight="1">
      <c r="A14" s="351">
        <v>12</v>
      </c>
      <c r="B14" s="59">
        <v>0.73767254146710326</v>
      </c>
      <c r="C14" s="59">
        <v>4.0527461782253081E-3</v>
      </c>
      <c r="D14" s="59">
        <v>478011.80687068298</v>
      </c>
      <c r="E14" s="59">
        <v>187397040.53790653</v>
      </c>
      <c r="F14" s="347">
        <v>98.230958068586645</v>
      </c>
    </row>
    <row r="15" spans="1:8" ht="20" customHeight="1">
      <c r="A15" s="351">
        <v>13</v>
      </c>
      <c r="B15" s="59">
        <v>0.86211514540275225</v>
      </c>
      <c r="C15" s="59">
        <v>4.6557798370257973E-3</v>
      </c>
      <c r="D15" s="59">
        <v>558650.61422098347</v>
      </c>
      <c r="E15" s="59">
        <v>186878709.32736069</v>
      </c>
      <c r="F15" s="347">
        <v>97.959255958123109</v>
      </c>
    </row>
    <row r="16" spans="1:8" ht="20" customHeight="1">
      <c r="A16" s="351">
        <v>14</v>
      </c>
      <c r="B16" s="59">
        <v>1.022227495636526</v>
      </c>
      <c r="C16" s="59">
        <v>5.4313461873029441E-3</v>
      </c>
      <c r="D16" s="59">
        <v>662403.41717246885</v>
      </c>
      <c r="E16" s="59">
        <v>186268182.31166396</v>
      </c>
      <c r="F16" s="347">
        <v>97.639226071276994</v>
      </c>
    </row>
    <row r="17" spans="1:6" ht="20" customHeight="1">
      <c r="A17" s="351">
        <v>15</v>
      </c>
      <c r="B17" s="59">
        <v>1.2245066927840604</v>
      </c>
      <c r="C17" s="59">
        <v>6.417583251372678E-3</v>
      </c>
      <c r="D17" s="59">
        <v>793480.33692407119</v>
      </c>
      <c r="E17" s="59">
        <v>185540240.4346157</v>
      </c>
      <c r="F17" s="347">
        <v>97.257648924725245</v>
      </c>
    </row>
    <row r="18" spans="1:6" ht="20" customHeight="1">
      <c r="A18" s="351">
        <v>16</v>
      </c>
      <c r="B18" s="59">
        <v>1.474891092797793</v>
      </c>
      <c r="C18" s="59">
        <v>7.6523664645973604E-3</v>
      </c>
      <c r="D18" s="59">
        <v>955729.42813297</v>
      </c>
      <c r="E18" s="59">
        <v>184665635.55208719</v>
      </c>
      <c r="F18" s="347">
        <v>96.799193042521168</v>
      </c>
    </row>
    <row r="19" spans="1:6" ht="20" customHeight="1">
      <c r="A19" s="351">
        <v>17</v>
      </c>
      <c r="B19" s="59">
        <v>1.7779868934453134</v>
      </c>
      <c r="C19" s="59">
        <v>9.1699221574562048E-3</v>
      </c>
      <c r="D19" s="59">
        <v>1152135.5069525631</v>
      </c>
      <c r="E19" s="59">
        <v>183611703.08454442</v>
      </c>
      <c r="F19" s="347">
        <v>96.246736100142854</v>
      </c>
    </row>
    <row r="20" spans="1:6" ht="20" customHeight="1">
      <c r="A20" s="351">
        <v>18</v>
      </c>
      <c r="B20" s="59">
        <v>2.1362683055115723</v>
      </c>
      <c r="C20" s="59">
        <v>1.0996767357453301E-2</v>
      </c>
      <c r="D20" s="59">
        <v>1384301.8619714989</v>
      </c>
      <c r="E20" s="59">
        <v>182343484.40008238</v>
      </c>
      <c r="F20" s="347">
        <v>95.581953262283747</v>
      </c>
    </row>
    <row r="21" spans="1:6" ht="20" customHeight="1">
      <c r="A21" s="351">
        <v>19</v>
      </c>
      <c r="B21" s="59">
        <v>2.5494252844088185</v>
      </c>
      <c r="C21" s="59">
        <v>1.3147693250334219E-2</v>
      </c>
      <c r="D21" s="59">
        <v>1652027.5842969145</v>
      </c>
      <c r="E21" s="59">
        <v>180825319.67694816</v>
      </c>
      <c r="F21" s="347">
        <v>94.786152139537421</v>
      </c>
    </row>
    <row r="22" spans="1:6" ht="20" customHeight="1">
      <c r="A22" s="351">
        <v>20</v>
      </c>
      <c r="B22" s="59">
        <v>3.0139942871520606</v>
      </c>
      <c r="C22" s="59">
        <v>1.5622541172078569E-2</v>
      </c>
      <c r="D22" s="59">
        <v>1953068.2980745353</v>
      </c>
      <c r="E22" s="59">
        <v>179022771.73576245</v>
      </c>
      <c r="F22" s="347">
        <v>93.841281234858371</v>
      </c>
    </row>
    <row r="23" spans="1:6" ht="20" customHeight="1">
      <c r="A23" s="351">
        <v>21</v>
      </c>
      <c r="B23" s="59">
        <v>3.5233371676868535</v>
      </c>
      <c r="C23" s="59">
        <v>1.8404342193086079E-2</v>
      </c>
      <c r="D23" s="59">
        <v>2283122.4846610813</v>
      </c>
      <c r="E23" s="59">
        <v>176904676.34439462</v>
      </c>
      <c r="F23" s="347">
        <v>92.731004685252799</v>
      </c>
    </row>
    <row r="24" spans="1:6" ht="20" customHeight="1">
      <c r="A24" s="351">
        <v>22</v>
      </c>
      <c r="B24" s="59">
        <v>4.0679594581273282</v>
      </c>
      <c r="C24" s="59">
        <v>2.1459099325086252E-2</v>
      </c>
      <c r="D24" s="59">
        <v>2636037.7288665092</v>
      </c>
      <c r="E24" s="59">
        <v>174445096.23763084</v>
      </c>
      <c r="F24" s="347">
        <v>91.4417265320849</v>
      </c>
    </row>
    <row r="25" spans="1:6" ht="20" customHeight="1">
      <c r="A25" s="351">
        <v>23</v>
      </c>
      <c r="B25" s="59">
        <v>4.6361020208444872</v>
      </c>
      <c r="C25" s="59">
        <v>2.4737186811088142E-2</v>
      </c>
      <c r="D25" s="59">
        <v>3004194.1095072278</v>
      </c>
      <c r="E25" s="59">
        <v>171624980.31844398</v>
      </c>
      <c r="F25" s="347">
        <v>89.963460451622652</v>
      </c>
    </row>
    <row r="26" spans="1:6" ht="20" customHeight="1">
      <c r="A26" s="351">
        <v>24</v>
      </c>
      <c r="B26" s="59">
        <v>5.2145080779166122</v>
      </c>
      <c r="C26" s="59">
        <v>2.817609739142167E-2</v>
      </c>
      <c r="D26" s="59">
        <v>3379001.2344899648</v>
      </c>
      <c r="E26" s="59">
        <v>168433382.64644536</v>
      </c>
      <c r="F26" s="347">
        <v>88.290468732063033</v>
      </c>
    </row>
    <row r="27" spans="1:6" ht="20" customHeight="1">
      <c r="A27" s="351">
        <v>25</v>
      </c>
      <c r="B27" s="59">
        <v>5.7892602510329771</v>
      </c>
      <c r="C27" s="59">
        <v>3.1704120669350605E-2</v>
      </c>
      <c r="D27" s="59">
        <v>3751440.6426693695</v>
      </c>
      <c r="E27" s="59">
        <v>164868161.70786572</v>
      </c>
      <c r="F27" s="347">
        <v>86.421628821263994</v>
      </c>
    </row>
    <row r="28" spans="1:6" ht="20" customHeight="1">
      <c r="A28" s="351">
        <v>26</v>
      </c>
      <c r="B28" s="59">
        <v>6.3465934390051739</v>
      </c>
      <c r="C28" s="59">
        <v>3.5244485478295312E-2</v>
      </c>
      <c r="D28" s="59">
        <v>4112592.548475353</v>
      </c>
      <c r="E28" s="59">
        <v>160936145.11229336</v>
      </c>
      <c r="F28" s="347">
        <v>84.360519658515358</v>
      </c>
    </row>
    <row r="29" spans="1:6" ht="20" customHeight="1">
      <c r="A29" s="351">
        <v>27</v>
      </c>
      <c r="B29" s="59">
        <v>6.8736114005148581</v>
      </c>
      <c r="C29" s="59">
        <v>3.8719527568601718E-2</v>
      </c>
      <c r="D29" s="59">
        <v>4454100.1875336282</v>
      </c>
      <c r="E29" s="59">
        <v>156652798.74428886</v>
      </c>
      <c r="F29" s="347">
        <v>82.115248248353623</v>
      </c>
    </row>
    <row r="30" spans="1:6" ht="20" customHeight="1">
      <c r="A30" s="351">
        <v>28</v>
      </c>
      <c r="B30" s="59">
        <v>7.3588608155869926</v>
      </c>
      <c r="C30" s="59">
        <v>4.2054523650990203E-2</v>
      </c>
      <c r="D30" s="59">
        <v>4768541.8085003719</v>
      </c>
      <c r="E30" s="59">
        <v>152041477.74627185</v>
      </c>
      <c r="F30" s="347">
        <v>79.698057036065634</v>
      </c>
    </row>
    <row r="31" spans="1:6" ht="20" customHeight="1">
      <c r="A31" s="351">
        <v>29</v>
      </c>
      <c r="B31" s="59">
        <v>7.7927412659366775</v>
      </c>
      <c r="C31" s="59">
        <v>4.5180936967281711E-2</v>
      </c>
      <c r="D31" s="59">
        <v>5049696.3403269676</v>
      </c>
      <c r="E31" s="59">
        <v>147132358.67185819</v>
      </c>
      <c r="F31" s="347">
        <v>77.124764157116033</v>
      </c>
    </row>
    <row r="32" spans="1:6" ht="20" customHeight="1">
      <c r="A32" s="351">
        <v>30</v>
      </c>
      <c r="B32" s="59">
        <v>8.1677499763860446</v>
      </c>
      <c r="C32" s="59">
        <v>4.803892656421356E-2</v>
      </c>
      <c r="D32" s="59">
        <v>5292701.9846981578</v>
      </c>
      <c r="E32" s="59">
        <v>141961159.50934562</v>
      </c>
      <c r="F32" s="347">
        <v>74.414092491016106</v>
      </c>
    </row>
    <row r="33" spans="1:6" ht="20" customHeight="1">
      <c r="A33" s="351">
        <v>31</v>
      </c>
      <c r="B33" s="59">
        <v>8.4785750341328789</v>
      </c>
      <c r="C33" s="59">
        <v>5.0579067815828258E-2</v>
      </c>
      <c r="D33" s="59">
        <v>5494116.6221181061</v>
      </c>
      <c r="E33" s="59">
        <v>136567750.2059375</v>
      </c>
      <c r="F33" s="347">
        <v>71.586941317181854</v>
      </c>
    </row>
    <row r="34" spans="1:6" ht="20" customHeight="1">
      <c r="A34" s="351">
        <v>32</v>
      </c>
      <c r="B34" s="59">
        <v>8.722060137818417</v>
      </c>
      <c r="C34" s="59">
        <v>5.2763307632800037E-2</v>
      </c>
      <c r="D34" s="59">
        <v>5651894.9693063349</v>
      </c>
      <c r="E34" s="59">
        <v>130994744.41022527</v>
      </c>
      <c r="F34" s="347">
        <v>68.665648125660695</v>
      </c>
    </row>
    <row r="35" spans="1:6" ht="20" customHeight="1">
      <c r="A35" s="351">
        <v>33</v>
      </c>
      <c r="B35" s="59">
        <v>8.8970684560403956</v>
      </c>
      <c r="C35" s="59">
        <v>5.4565231650715078E-2</v>
      </c>
      <c r="D35" s="59">
        <v>5765300.3595141778</v>
      </c>
      <c r="E35" s="59">
        <v>125286146.74581501</v>
      </c>
      <c r="F35" s="347">
        <v>65.673279536522358</v>
      </c>
    </row>
    <row r="36" spans="1:6" ht="20" customHeight="1">
      <c r="A36" s="351">
        <v>34</v>
      </c>
      <c r="B36" s="59">
        <v>9.0042739638233851</v>
      </c>
      <c r="C36" s="59">
        <v>5.5969753550257621E-2</v>
      </c>
      <c r="D36" s="59">
        <v>5834769.5285575539</v>
      </c>
      <c r="E36" s="59">
        <v>119486111.80177915</v>
      </c>
      <c r="F36" s="347">
        <v>62.632980779676849</v>
      </c>
    </row>
    <row r="37" spans="1:6" ht="20" customHeight="1">
      <c r="A37" s="351">
        <v>35</v>
      </c>
      <c r="B37" s="59">
        <v>9.0459067993627134</v>
      </c>
      <c r="C37" s="59">
        <v>5.6972351660194868E-2</v>
      </c>
      <c r="D37" s="59">
        <v>5861747.6059870385</v>
      </c>
      <c r="E37" s="59">
        <v>113637853.23450686</v>
      </c>
      <c r="F37" s="347">
        <v>59.567403861028708</v>
      </c>
    </row>
    <row r="38" spans="1:6" ht="20" customHeight="1">
      <c r="A38" s="351">
        <v>36</v>
      </c>
      <c r="B38" s="59">
        <v>9.0254757536933941</v>
      </c>
      <c r="C38" s="59">
        <v>5.7577979149619346E-2</v>
      </c>
      <c r="D38" s="59">
        <v>5848508.2883933196</v>
      </c>
      <c r="E38" s="59">
        <v>107782725.28731668</v>
      </c>
      <c r="F38" s="347">
        <v>56.498226107656947</v>
      </c>
    </row>
    <row r="39" spans="1:6" ht="20" customHeight="1">
      <c r="A39" s="351">
        <v>37</v>
      </c>
      <c r="B39" s="59">
        <v>8.9474867926947041</v>
      </c>
      <c r="C39" s="59">
        <v>5.7799765519567003E-2</v>
      </c>
      <c r="D39" s="59">
        <v>5797971.4416661682</v>
      </c>
      <c r="E39" s="59">
        <v>101959485.42228694</v>
      </c>
      <c r="F39" s="347">
        <v>53.445763649535316</v>
      </c>
    </row>
    <row r="40" spans="1:6" ht="20" customHeight="1">
      <c r="A40" s="351">
        <v>38</v>
      </c>
      <c r="B40" s="59">
        <v>8.8171721220679906</v>
      </c>
      <c r="C40" s="59">
        <v>5.7657612423261013E-2</v>
      </c>
      <c r="D40" s="59">
        <v>5713527.5351000577</v>
      </c>
      <c r="E40" s="59">
        <v>96203735.933903828</v>
      </c>
      <c r="F40" s="347">
        <v>50.428678721066099</v>
      </c>
    </row>
    <row r="41" spans="1:6" ht="20" customHeight="1">
      <c r="A41" s="351">
        <v>39</v>
      </c>
      <c r="B41" s="59">
        <v>8.6402401528685644</v>
      </c>
      <c r="C41" s="59">
        <v>5.7176769083167892E-2</v>
      </c>
      <c r="D41" s="59">
        <v>5598875.6190588297</v>
      </c>
      <c r="E41" s="59">
        <v>90547534.356824383</v>
      </c>
      <c r="F41" s="347">
        <v>47.463775442173741</v>
      </c>
    </row>
    <row r="42" spans="1:6" ht="20" customHeight="1">
      <c r="A42" s="351">
        <v>40</v>
      </c>
      <c r="B42" s="59">
        <v>8.4226530546424048</v>
      </c>
      <c r="C42" s="59">
        <v>5.6386454007989521E-2</v>
      </c>
      <c r="D42" s="59">
        <v>5457879.1794082792</v>
      </c>
      <c r="E42" s="59">
        <v>85019156.957590833</v>
      </c>
      <c r="F42" s="347">
        <v>44.565875843905623</v>
      </c>
    </row>
    <row r="43" spans="1:6" ht="20" customHeight="1">
      <c r="A43" s="351">
        <v>41</v>
      </c>
      <c r="B43" s="59">
        <v>8.1704355153370614</v>
      </c>
      <c r="C43" s="59">
        <v>5.5318571934226832E-2</v>
      </c>
      <c r="D43" s="59">
        <v>5294442.213938416</v>
      </c>
      <c r="E43" s="59">
        <v>79642996.260917485</v>
      </c>
      <c r="F43" s="347">
        <v>41.747766153117425</v>
      </c>
    </row>
    <row r="44" spans="1:6" ht="20" customHeight="1">
      <c r="A44" s="351">
        <v>42</v>
      </c>
      <c r="B44" s="59">
        <v>7.8895158914808299</v>
      </c>
      <c r="C44" s="59">
        <v>5.4006558929158593E-2</v>
      </c>
      <c r="D44" s="59">
        <v>5112406.2976795789</v>
      </c>
      <c r="E44" s="59">
        <v>74439572.005108491</v>
      </c>
      <c r="F44" s="347">
        <v>39.020202535152784</v>
      </c>
    </row>
    <row r="45" spans="1:6" ht="20" customHeight="1">
      <c r="A45" s="351">
        <v>43</v>
      </c>
      <c r="B45" s="59">
        <v>7.5855990985896415</v>
      </c>
      <c r="C45" s="59">
        <v>5.2484374932980069E-2</v>
      </c>
      <c r="D45" s="59">
        <v>4915468.2158860881</v>
      </c>
      <c r="E45" s="59">
        <v>69425634.748325661</v>
      </c>
      <c r="F45" s="347">
        <v>36.391965402827672</v>
      </c>
    </row>
    <row r="46" spans="1:6" ht="20" customHeight="1">
      <c r="A46" s="351">
        <v>44</v>
      </c>
      <c r="B46" s="59">
        <v>7.2640692951862542</v>
      </c>
      <c r="C46" s="59">
        <v>5.0785651878695263E-2</v>
      </c>
      <c r="D46" s="59">
        <v>4707116.9032806931</v>
      </c>
      <c r="E46" s="59">
        <v>64614342.188742265</v>
      </c>
      <c r="F46" s="347">
        <v>33.869951841036453</v>
      </c>
    </row>
    <row r="47" spans="1:6" ht="20" customHeight="1">
      <c r="A47" s="351">
        <v>45</v>
      </c>
      <c r="B47" s="59">
        <v>6.9299195720836284</v>
      </c>
      <c r="C47" s="59">
        <v>4.8942996859863121E-2</v>
      </c>
      <c r="D47" s="59">
        <v>4490587.8827101914</v>
      </c>
      <c r="E47" s="59">
        <v>60015489.795746818</v>
      </c>
      <c r="F47" s="347">
        <v>31.459296500465182</v>
      </c>
    </row>
    <row r="48" spans="1:6" ht="20" customHeight="1">
      <c r="A48" s="351">
        <v>46</v>
      </c>
      <c r="B48" s="59">
        <v>6.5877053852611436</v>
      </c>
      <c r="C48" s="59">
        <v>4.6987443416196616E-2</v>
      </c>
      <c r="D48" s="59">
        <v>4268833.0896492209</v>
      </c>
      <c r="E48" s="59">
        <v>55635779.309567124</v>
      </c>
      <c r="F48" s="347">
        <v>29.163512341411501</v>
      </c>
    </row>
    <row r="49" spans="1:6" ht="20" customHeight="1">
      <c r="A49" s="351">
        <v>47</v>
      </c>
      <c r="B49" s="59">
        <v>6.2415182831339902</v>
      </c>
      <c r="C49" s="59">
        <v>4.4948039588033763E-2</v>
      </c>
      <c r="D49" s="59">
        <v>4044503.847470826</v>
      </c>
      <c r="E49" s="59">
        <v>51479110.841007113</v>
      </c>
      <c r="F49" s="347">
        <v>26.984643748459835</v>
      </c>
    </row>
    <row r="50" spans="1:6" ht="20" customHeight="1">
      <c r="A50" s="351">
        <v>48</v>
      </c>
      <c r="B50" s="59">
        <v>5.894976503200092</v>
      </c>
      <c r="C50" s="59">
        <v>4.2851558630417202E-2</v>
      </c>
      <c r="D50" s="59">
        <v>3819944.7740736604</v>
      </c>
      <c r="E50" s="59">
        <v>47546886.530234873</v>
      </c>
      <c r="F50" s="347">
        <v>24.923425704252722</v>
      </c>
    </row>
    <row r="51" spans="1:6" ht="20" customHeight="1">
      <c r="A51" s="351">
        <v>49</v>
      </c>
      <c r="B51" s="59">
        <v>5.5512291856350746</v>
      </c>
      <c r="C51" s="59">
        <v>4.0722316852669603E-2</v>
      </c>
      <c r="D51" s="59">
        <v>3597196.5122915288</v>
      </c>
      <c r="E51" s="59">
        <v>43838315.887052268</v>
      </c>
      <c r="F51" s="347">
        <v>22.979443844671689</v>
      </c>
    </row>
    <row r="52" spans="1:6" ht="20" customHeight="1">
      <c r="A52" s="351">
        <v>50</v>
      </c>
      <c r="B52" s="59">
        <v>5.2129712204452714</v>
      </c>
      <c r="C52" s="59">
        <v>3.8582082657902667E-2</v>
      </c>
      <c r="D52" s="59">
        <v>3378005.350848536</v>
      </c>
      <c r="E52" s="59">
        <v>40350714.955482244</v>
      </c>
      <c r="F52" s="347">
        <v>21.151291276810191</v>
      </c>
    </row>
    <row r="53" spans="1:6" ht="20" customHeight="1">
      <c r="A53" s="351">
        <v>51</v>
      </c>
      <c r="B53" s="59">
        <v>4.882466069190265</v>
      </c>
      <c r="C53" s="59">
        <v>3.6450061230431458E-2</v>
      </c>
      <c r="D53" s="59">
        <v>3163838.0128352917</v>
      </c>
      <c r="E53" s="59">
        <v>37079793.273640335</v>
      </c>
      <c r="F53" s="347">
        <v>19.436718999401947</v>
      </c>
    </row>
    <row r="54" spans="1:6" ht="20" customHeight="1">
      <c r="A54" s="351">
        <v>52</v>
      </c>
      <c r="B54" s="59">
        <v>4.5615742507539059</v>
      </c>
      <c r="C54" s="59">
        <v>3.4342940228649463E-2</v>
      </c>
      <c r="D54" s="59">
        <v>2955900.1144885309</v>
      </c>
      <c r="E54" s="59">
        <v>34019924.209978431</v>
      </c>
      <c r="F54" s="347">
        <v>17.832777609371629</v>
      </c>
    </row>
    <row r="55" spans="1:6" ht="20" customHeight="1">
      <c r="A55" s="351">
        <v>53</v>
      </c>
      <c r="B55" s="59">
        <v>4.2517855302773393</v>
      </c>
      <c r="C55" s="59">
        <v>3.2274983097916252E-2</v>
      </c>
      <c r="D55" s="59">
        <v>2755157.0236197161</v>
      </c>
      <c r="E55" s="59">
        <v>31164395.640924305</v>
      </c>
      <c r="F55" s="347">
        <v>16.335948703614882</v>
      </c>
    </row>
    <row r="56" spans="1:6" ht="20" customHeight="1">
      <c r="A56" s="351">
        <v>54</v>
      </c>
      <c r="B56" s="59">
        <v>3.9542531852431386</v>
      </c>
      <c r="C56" s="59">
        <v>3.0258158072189453E-2</v>
      </c>
      <c r="D56" s="59">
        <v>2562356.0640375544</v>
      </c>
      <c r="E56" s="59">
        <v>28505639.097095668</v>
      </c>
      <c r="F56" s="347">
        <v>14.94226499430048</v>
      </c>
    </row>
    <row r="57" spans="1:6" ht="20" customHeight="1">
      <c r="A57" s="351">
        <v>55</v>
      </c>
      <c r="B57" s="59">
        <v>3.6698290324678826</v>
      </c>
      <c r="C57" s="59">
        <v>2.8302292468818126E-2</v>
      </c>
      <c r="D57" s="59">
        <v>2378049.2130391877</v>
      </c>
      <c r="E57" s="59">
        <v>26035436.458557308</v>
      </c>
      <c r="F57" s="347">
        <v>13.647418655688796</v>
      </c>
    </row>
    <row r="58" spans="1:6" ht="20" customHeight="1">
      <c r="A58" s="351">
        <v>56</v>
      </c>
      <c r="B58" s="59">
        <v>3.39909817840481</v>
      </c>
      <c r="C58" s="59">
        <v>2.6415243412354777E-2</v>
      </c>
      <c r="D58" s="59">
        <v>2202615.619606317</v>
      </c>
      <c r="E58" s="59">
        <v>23745104.04223457</v>
      </c>
      <c r="F58" s="347">
        <v>12.446857820228779</v>
      </c>
    </row>
    <row r="59" spans="1:6" ht="20" customHeight="1">
      <c r="A59" s="351">
        <v>57</v>
      </c>
      <c r="B59" s="59">
        <v>3.1424126999200541</v>
      </c>
      <c r="C59" s="59">
        <v>2.4603077589789968E-2</v>
      </c>
      <c r="D59" s="59">
        <v>2036283.4295481953</v>
      </c>
      <c r="E59" s="59">
        <v>21625654.51765731</v>
      </c>
      <c r="F59" s="347">
        <v>11.335871452569886</v>
      </c>
    </row>
    <row r="60" spans="1:6" ht="20" customHeight="1">
      <c r="A60" s="351">
        <v>58</v>
      </c>
      <c r="B60" s="59">
        <v>2.899923673180492</v>
      </c>
      <c r="C60" s="59">
        <v>2.2870254000977152E-2</v>
      </c>
      <c r="D60" s="59">
        <v>1879150.5402209591</v>
      </c>
      <c r="E60" s="59">
        <v>19667937.53277272</v>
      </c>
      <c r="F60" s="347">
        <v>10.309663063684162</v>
      </c>
    </row>
    <row r="61" spans="1:6" ht="20" customHeight="1">
      <c r="A61" s="351">
        <v>59</v>
      </c>
      <c r="B61" s="59">
        <v>2.6716111457061791</v>
      </c>
      <c r="C61" s="59">
        <v>2.1219804900032668E-2</v>
      </c>
      <c r="D61" s="59">
        <v>1731204.0224176042</v>
      </c>
      <c r="E61" s="59">
        <v>17862760.251453429</v>
      </c>
      <c r="F61" s="347">
        <v>9.3634138949745225</v>
      </c>
    </row>
    <row r="62" spans="1:6" ht="20" customHeight="1">
      <c r="A62" s="351">
        <v>60</v>
      </c>
      <c r="B62" s="59">
        <v>2.4573117932789041</v>
      </c>
      <c r="C62" s="59">
        <v>1.9653511214328932E-2</v>
      </c>
      <c r="D62" s="59">
        <v>1592338.0420447299</v>
      </c>
      <c r="E62" s="59">
        <v>16200989.219222248</v>
      </c>
      <c r="F62" s="347">
        <v>8.4923363148903608</v>
      </c>
    </row>
    <row r="63" spans="1:6" ht="20" customHeight="1">
      <c r="A63" s="351">
        <v>61</v>
      </c>
      <c r="B63" s="59">
        <v>2.2567441221666744</v>
      </c>
      <c r="C63" s="59">
        <v>1.8172069674687447E-2</v>
      </c>
      <c r="D63" s="59">
        <v>1462370.1911640051</v>
      </c>
      <c r="E63" s="59">
        <v>14673635.10261789</v>
      </c>
      <c r="F63" s="347">
        <v>7.6917182381406528</v>
      </c>
    </row>
    <row r="64" spans="1:6" ht="20" customHeight="1">
      <c r="A64" s="351">
        <v>62</v>
      </c>
      <c r="B64" s="59">
        <v>2.0695311712199018</v>
      </c>
      <c r="C64" s="59">
        <v>1.6775249697364499E-2</v>
      </c>
      <c r="D64" s="59">
        <v>1341056.1989504965</v>
      </c>
      <c r="E64" s="59">
        <v>13271921.907560647</v>
      </c>
      <c r="F64" s="347">
        <v>6.9569594090117564</v>
      </c>
    </row>
    <row r="65" spans="1:6" ht="20" customHeight="1">
      <c r="A65" s="351">
        <v>63</v>
      </c>
      <c r="B65" s="59">
        <v>1.8952207410823383</v>
      </c>
      <c r="C65" s="59">
        <v>1.5462038733686371E-2</v>
      </c>
      <c r="D65" s="59">
        <v>1228103.0402213552</v>
      </c>
      <c r="E65" s="59">
        <v>11987342.287974715</v>
      </c>
      <c r="F65" s="347">
        <v>6.2836003933885509</v>
      </c>
    </row>
    <row r="66" spans="1:6" ht="20" customHeight="1">
      <c r="A66" s="351">
        <v>64</v>
      </c>
      <c r="B66" s="59">
        <v>1.733303232197408</v>
      </c>
      <c r="C66" s="59">
        <v>1.4230775357722292E-2</v>
      </c>
      <c r="D66" s="59">
        <v>1123180.4944639204</v>
      </c>
      <c r="E66" s="59">
        <v>10811700.520632088</v>
      </c>
      <c r="F66" s="347">
        <v>5.667345105578109</v>
      </c>
    </row>
    <row r="67" spans="1:6" ht="20" customHeight="1">
      <c r="A67" s="351">
        <v>65</v>
      </c>
      <c r="B67" s="59">
        <v>1.5832272124393891</v>
      </c>
      <c r="C67" s="59">
        <v>1.3079269808688281E-2</v>
      </c>
      <c r="D67" s="59">
        <v>1025931.2336607242</v>
      </c>
      <c r="E67" s="59">
        <v>9737144.6565697789</v>
      </c>
      <c r="F67" s="347">
        <v>5.1040776616415702</v>
      </c>
    </row>
    <row r="68" spans="1:6" ht="20" customHeight="1">
      <c r="A68" s="351">
        <v>66</v>
      </c>
      <c r="B68" s="59">
        <v>1.4444128617496483</v>
      </c>
      <c r="C68" s="59">
        <v>1.2004912055857936E-2</v>
      </c>
      <c r="D68" s="59">
        <v>935979.53441377205</v>
      </c>
      <c r="E68" s="59">
        <v>8756189.2725325227</v>
      </c>
      <c r="F68" s="347">
        <v>4.5898743053883191</v>
      </c>
    </row>
    <row r="69" spans="1:6" ht="20" customHeight="1">
      <c r="A69" s="351">
        <v>67</v>
      </c>
      <c r="B69" s="59">
        <v>1.316263457510086</v>
      </c>
      <c r="C69" s="59">
        <v>1.1004767722509842E-2</v>
      </c>
      <c r="D69" s="59">
        <v>852938.72046653577</v>
      </c>
      <c r="E69" s="59">
        <v>7861730.1450923681</v>
      </c>
      <c r="F69" s="347">
        <v>4.1210111003481869</v>
      </c>
    </row>
    <row r="70" spans="1:6" ht="20" customHeight="1">
      <c r="A70" s="351">
        <v>68</v>
      </c>
      <c r="B70" s="59">
        <v>1.1981750726331177</v>
      </c>
      <c r="C70" s="59">
        <v>1.0075662404135967E-2</v>
      </c>
      <c r="D70" s="59">
        <v>776417.44706626039</v>
      </c>
      <c r="E70" s="59">
        <v>7047052.0613259673</v>
      </c>
      <c r="F70" s="347">
        <v>3.6939680240213435</v>
      </c>
    </row>
    <row r="71" spans="1:6" ht="20" customHeight="1">
      <c r="A71" s="351">
        <v>69</v>
      </c>
      <c r="B71" s="59">
        <v>1.0895446602903407</v>
      </c>
      <c r="C71" s="59">
        <v>9.2142550561534198E-3</v>
      </c>
      <c r="D71" s="59">
        <v>706024.93986814085</v>
      </c>
      <c r="E71" s="59">
        <v>6305830.8678587675</v>
      </c>
      <c r="F71" s="347">
        <v>3.3054300419591551</v>
      </c>
    </row>
    <row r="72" spans="1:6" ht="20" customHeight="1">
      <c r="A72" s="351">
        <v>70</v>
      </c>
      <c r="B72" s="59">
        <v>0.98977669636288235</v>
      </c>
      <c r="C72" s="59">
        <v>8.4171012180114836E-3</v>
      </c>
      <c r="D72" s="59">
        <v>641375.29924314783</v>
      </c>
      <c r="E72" s="59">
        <v>5632130.7483031154</v>
      </c>
      <c r="F72" s="347">
        <v>2.9522856806345881</v>
      </c>
    </row>
    <row r="73" spans="1:6" ht="20" customHeight="1">
      <c r="A73" s="351">
        <v>71</v>
      </c>
      <c r="B73" s="59">
        <v>0.89828854434533667</v>
      </c>
      <c r="C73" s="59">
        <v>7.6807068930360139E-3</v>
      </c>
      <c r="D73" s="59">
        <v>582090.97673577827</v>
      </c>
      <c r="E73" s="59">
        <v>5020397.6103136539</v>
      </c>
      <c r="F73" s="347">
        <v>2.6316235610273546</v>
      </c>
    </row>
    <row r="74" spans="1:6" ht="20" customHeight="1">
      <c r="A74" s="351">
        <v>72</v>
      </c>
      <c r="B74" s="59">
        <v>0.81451469861457892</v>
      </c>
      <c r="C74" s="59">
        <v>7.0015739246203704E-3</v>
      </c>
      <c r="D74" s="59">
        <v>527805.52470224723</v>
      </c>
      <c r="E74" s="59">
        <v>4465449.3595946431</v>
      </c>
      <c r="F74" s="347">
        <v>2.3407273003919697</v>
      </c>
    </row>
    <row r="75" spans="1:6" ht="20" customHeight="1">
      <c r="A75" s="351">
        <v>73</v>
      </c>
      <c r="B75" s="59">
        <v>0.73791005152873912</v>
      </c>
      <c r="C75" s="59">
        <v>6.3762377063607623E-3</v>
      </c>
      <c r="D75" s="59">
        <v>478165.71339062304</v>
      </c>
      <c r="E75" s="59">
        <v>3962463.7405481935</v>
      </c>
      <c r="F75" s="347">
        <v>2.077069138492345</v>
      </c>
    </row>
    <row r="76" spans="1:6" ht="20" customHeight="1">
      <c r="A76" s="351">
        <v>74</v>
      </c>
      <c r="B76" s="59">
        <v>0.66795231842203595</v>
      </c>
      <c r="C76" s="59">
        <v>5.8012980423122586E-3</v>
      </c>
      <c r="D76" s="59">
        <v>432833.1023374793</v>
      </c>
      <c r="E76" s="59">
        <v>3506964.3326841295</v>
      </c>
      <c r="F76" s="347">
        <v>1.8383025971119324</v>
      </c>
    </row>
    <row r="77" spans="1:6" ht="20" customHeight="1">
      <c r="A77" s="351">
        <v>75</v>
      </c>
      <c r="B77" s="59">
        <v>0.6041437427329519</v>
      </c>
      <c r="C77" s="59">
        <v>5.2734439386197957E-3</v>
      </c>
      <c r="D77" s="59">
        <v>391485.14529095287</v>
      </c>
      <c r="E77" s="59">
        <v>3094805.2088699043</v>
      </c>
      <c r="F77" s="347">
        <v>1.6222544381187765</v>
      </c>
    </row>
    <row r="78" spans="1:6" ht="20" customHeight="1">
      <c r="A78" s="351">
        <v>76</v>
      </c>
      <c r="B78" s="59">
        <v>0.54601219164879666</v>
      </c>
      <c r="C78" s="59">
        <v>4.7894730634203009E-3</v>
      </c>
      <c r="D78" s="59">
        <v>353815.90018842026</v>
      </c>
      <c r="E78" s="59">
        <v>2722154.6861302257</v>
      </c>
      <c r="F78" s="347">
        <v>1.4269161458575723</v>
      </c>
    </row>
    <row r="79" spans="1:6" ht="20" customHeight="1">
      <c r="A79" s="351">
        <v>77</v>
      </c>
      <c r="B79" s="59">
        <v>0.49311174106774308</v>
      </c>
      <c r="C79" s="59">
        <v>4.3463065614165108E-3</v>
      </c>
      <c r="D79" s="59">
        <v>319536.40821189753</v>
      </c>
      <c r="E79" s="59">
        <v>2385478.5319300592</v>
      </c>
      <c r="F79" s="347">
        <v>1.2504351241135829</v>
      </c>
    </row>
    <row r="80" spans="1:6" ht="20" customHeight="1">
      <c r="A80" s="351">
        <v>78</v>
      </c>
      <c r="B80" s="59">
        <v>0.4450228375866126</v>
      </c>
      <c r="C80" s="59">
        <v>3.9409998555473818E-3</v>
      </c>
      <c r="D80" s="59">
        <v>288374.79875612498</v>
      </c>
      <c r="E80" s="59">
        <v>2081522.9284460545</v>
      </c>
      <c r="F80" s="347">
        <v>1.091105766217402</v>
      </c>
    </row>
    <row r="81" spans="1:6" ht="20" customHeight="1">
      <c r="A81" s="351">
        <v>79</v>
      </c>
      <c r="B81" s="59">
        <v>0.40135211476594335</v>
      </c>
      <c r="C81" s="59">
        <v>3.5707500128035856E-3</v>
      </c>
      <c r="D81" s="59">
        <v>260076.17036833131</v>
      </c>
      <c r="E81" s="59">
        <v>1807297.4438838363</v>
      </c>
      <c r="F81" s="347">
        <v>0.94736052884306776</v>
      </c>
    </row>
    <row r="82" spans="1:6" ht="20" customHeight="1">
      <c r="A82" s="351">
        <v>80</v>
      </c>
      <c r="B82" s="59">
        <v>0.36173193119756164</v>
      </c>
      <c r="C82" s="59">
        <v>3.2329001960738979E-3</v>
      </c>
      <c r="D82" s="59">
        <v>234402.29141601996</v>
      </c>
      <c r="E82" s="59">
        <v>1560058.2129916549</v>
      </c>
      <c r="F82" s="347">
        <v>0.81776111546403518</v>
      </c>
    </row>
    <row r="83" spans="1:6" ht="20" customHeight="1">
      <c r="A83" s="351">
        <v>81</v>
      </c>
      <c r="B83" s="59">
        <v>0.32581968895503055</v>
      </c>
      <c r="C83" s="59">
        <v>2.9249416701658303E-3</v>
      </c>
      <c r="D83" s="59">
        <v>211131.1584428598</v>
      </c>
      <c r="E83" s="59">
        <v>1337291.4880622029</v>
      </c>
      <c r="F83" s="347">
        <v>0.70098985401396452</v>
      </c>
    </row>
    <row r="84" spans="1:6" ht="20" customHeight="1">
      <c r="A84" s="351">
        <v>82</v>
      </c>
      <c r="B84" s="59">
        <v>0.29329698286270522</v>
      </c>
      <c r="C84" s="59">
        <v>2.6445137787018758E-3</v>
      </c>
      <c r="D84" s="59">
        <v>190056.444895033</v>
      </c>
      <c r="E84" s="59">
        <v>1136697.686393261</v>
      </c>
      <c r="F84" s="347">
        <v>0.5958413347844177</v>
      </c>
    </row>
    <row r="85" spans="1:6" ht="20" customHeight="1">
      <c r="A85" s="351">
        <v>83</v>
      </c>
      <c r="B85" s="59">
        <v>0.2638686236687699</v>
      </c>
      <c r="C85" s="59">
        <v>2.3894022600597165E-3</v>
      </c>
      <c r="D85" s="59">
        <v>170986.86813736291</v>
      </c>
      <c r="E85" s="59">
        <v>956176.02987706661</v>
      </c>
      <c r="F85" s="347">
        <v>0.50121435870830888</v>
      </c>
    </row>
    <row r="86" spans="1:6" ht="20" customHeight="1">
      <c r="A86" s="351">
        <v>84</v>
      </c>
      <c r="B86" s="59">
        <v>0.23726157162742417</v>
      </c>
      <c r="C86" s="59">
        <v>2.1575362252911389E-3</v>
      </c>
      <c r="D86" s="59">
        <v>153745.49841457087</v>
      </c>
      <c r="E86" s="59">
        <v>793809.84660109878</v>
      </c>
      <c r="F86" s="347">
        <v>0.41610423266065755</v>
      </c>
    </row>
    <row r="87" spans="1:6" ht="20" customHeight="1">
      <c r="A87" s="351">
        <v>85</v>
      </c>
      <c r="B87" s="59">
        <v>0.21322381114872932</v>
      </c>
      <c r="C87" s="59">
        <v>1.9469840792384705E-3</v>
      </c>
      <c r="D87" s="59">
        <v>138169.02962437659</v>
      </c>
      <c r="E87" s="59">
        <v>647852.58258163929</v>
      </c>
      <c r="F87" s="347">
        <v>0.33959543700120326</v>
      </c>
    </row>
    <row r="88" spans="1:6" ht="20" customHeight="1">
      <c r="A88" s="351">
        <v>86</v>
      </c>
      <c r="B88" s="59">
        <v>0.19152319201631629</v>
      </c>
      <c r="C88" s="59">
        <v>1.7559486279522343E-3</v>
      </c>
      <c r="D88" s="59">
        <v>124107.02842657297</v>
      </c>
      <c r="E88" s="59">
        <v>516714.55355617404</v>
      </c>
      <c r="F88" s="347">
        <v>0.27085468104571181</v>
      </c>
    </row>
    <row r="89" spans="1:6" ht="20" customHeight="1">
      <c r="A89" s="351">
        <v>87</v>
      </c>
      <c r="B89" s="59">
        <v>0.17194625815299147</v>
      </c>
      <c r="C89" s="59">
        <v>1.5827615809795859E-3</v>
      </c>
      <c r="D89" s="59">
        <v>111421.17528313848</v>
      </c>
      <c r="E89" s="59">
        <v>398950.45170131326</v>
      </c>
      <c r="F89" s="347">
        <v>0.2091243542588829</v>
      </c>
    </row>
    <row r="90" spans="1:6" ht="20" customHeight="1">
      <c r="A90" s="351">
        <v>88</v>
      </c>
      <c r="B90" s="59">
        <v>0.15429708097928577</v>
      </c>
      <c r="C90" s="59">
        <v>1.4258776260413952E-3</v>
      </c>
      <c r="D90" s="59">
        <v>99984.508474577189</v>
      </c>
      <c r="E90" s="59">
        <v>293247.60982245207</v>
      </c>
      <c r="F90" s="347">
        <v>0.15371637450355408</v>
      </c>
    </row>
    <row r="91" spans="1:6" ht="20" customHeight="1">
      <c r="A91" s="351">
        <v>89</v>
      </c>
      <c r="B91" s="59">
        <v>0.13839611100711727</v>
      </c>
      <c r="C91" s="59">
        <v>1.2838682258964572E-3</v>
      </c>
      <c r="D91" s="59">
        <v>89680.679932612009</v>
      </c>
      <c r="E91" s="59">
        <v>198415.01561886072</v>
      </c>
      <c r="F91" s="347">
        <v>0.10400642946915561</v>
      </c>
    </row>
    <row r="92" spans="1:6" ht="20" customHeight="1">
      <c r="A92" s="351">
        <v>90</v>
      </c>
      <c r="B92" s="59">
        <v>0.12407905838733994</v>
      </c>
      <c r="C92" s="59">
        <v>1.1554152626122554E-3</v>
      </c>
      <c r="D92" s="59">
        <v>80403.229834996295</v>
      </c>
      <c r="E92" s="59">
        <v>113373.06073504686</v>
      </c>
      <c r="F92" s="347">
        <v>5.9428603265049867E-2</v>
      </c>
    </row>
    <row r="93" spans="1:6" ht="20" customHeight="1">
      <c r="A93" s="351">
        <v>91</v>
      </c>
      <c r="B93" s="59">
        <v>0.11119581063565014</v>
      </c>
      <c r="C93" s="59">
        <v>1.0393046328092644E-3</v>
      </c>
      <c r="D93" s="59">
        <v>72054.885291901286</v>
      </c>
      <c r="E93" s="59">
        <v>37144.003171592951</v>
      </c>
      <c r="F93" s="347">
        <v>1.9470376947122288E-2</v>
      </c>
    </row>
    <row r="94" spans="1:6" ht="20" customHeight="1">
      <c r="A94" s="351">
        <v>92</v>
      </c>
      <c r="B94" s="59">
        <v>9.960939364837465E-2</v>
      </c>
      <c r="C94" s="59">
        <v>9.3441987849317862E-4</v>
      </c>
      <c r="D94" s="59">
        <v>64546.887084146772</v>
      </c>
      <c r="F94" s="347"/>
    </row>
    <row r="95" spans="1:6" ht="20" customHeight="1">
      <c r="A95" s="351">
        <v>93</v>
      </c>
      <c r="B95" s="59">
        <v>8.9194980343396207E-2</v>
      </c>
      <c r="C95" s="59">
        <v>8.3973592160455741E-4</v>
      </c>
      <c r="D95" s="59">
        <v>57798.347262520743</v>
      </c>
      <c r="F95" s="347"/>
    </row>
    <row r="96" spans="1:6" ht="20" customHeight="1">
      <c r="A96" s="351">
        <v>94</v>
      </c>
      <c r="B96" s="59">
        <v>7.9838949780665081E-2</v>
      </c>
      <c r="C96" s="59">
        <v>7.5431295616854585E-4</v>
      </c>
      <c r="D96" s="59">
        <v>51735.639457870973</v>
      </c>
      <c r="F96" s="347"/>
    </row>
    <row r="97" spans="1:6" ht="20" customHeight="1">
      <c r="A97" s="351">
        <v>95</v>
      </c>
      <c r="B97" s="59">
        <v>7.1437998393724791E-2</v>
      </c>
      <c r="C97" s="59">
        <v>6.7729053969583976E-4</v>
      </c>
      <c r="D97" s="59">
        <v>46291.822959133671</v>
      </c>
      <c r="F97" s="347"/>
    </row>
    <row r="98" spans="1:6" ht="20" customHeight="1">
      <c r="A98" s="351">
        <v>96</v>
      </c>
      <c r="B98" s="59">
        <v>6.3898303964194908E-2</v>
      </c>
      <c r="C98" s="59">
        <v>6.0788191505665144E-4</v>
      </c>
      <c r="D98" s="59">
        <v>41406.100968798302</v>
      </c>
      <c r="F98" s="347"/>
    </row>
    <row r="99" spans="1:6" ht="20" customHeight="1">
      <c r="A99" s="351">
        <v>97</v>
      </c>
      <c r="B99" s="59">
        <v>5.7134742164473951E-2</v>
      </c>
      <c r="C99" s="59">
        <v>5.4536858522205285E-4</v>
      </c>
      <c r="D99" s="59">
        <v>37023.312922579127</v>
      </c>
      <c r="F99" s="347"/>
    </row>
    <row r="100" spans="1:6" ht="20" customHeight="1">
      <c r="A100" s="351">
        <v>98</v>
      </c>
      <c r="B100" s="59">
        <v>5.1070154852466007E-2</v>
      </c>
      <c r="C100" s="59">
        <v>4.8909515585457354E-4</v>
      </c>
      <c r="D100" s="59">
        <v>33093.460344397972</v>
      </c>
      <c r="F100" s="347"/>
    </row>
    <row r="101" spans="1:6" ht="20" customHeight="1">
      <c r="A101" s="351">
        <v>99</v>
      </c>
      <c r="B101" s="59">
        <v>4.5634668801489343E-2</v>
      </c>
      <c r="C101" s="59">
        <v>4.3846445456058899E-4</v>
      </c>
      <c r="D101" s="59">
        <v>29571.265383365098</v>
      </c>
      <c r="F101" s="347"/>
    </row>
    <row r="102" spans="1:6" ht="20" customHeight="1">
      <c r="A102" s="351">
        <v>100</v>
      </c>
      <c r="B102" s="59">
        <v>4.0765063167079903E-2</v>
      </c>
      <c r="C102" s="59">
        <v>3.9293293053337033E-4</v>
      </c>
      <c r="D102" s="59">
        <v>26415.760932267778</v>
      </c>
      <c r="F102" s="347"/>
    </row>
    <row r="103" spans="1:6" ht="20" customHeight="1">
      <c r="F103" s="153"/>
    </row>
    <row r="104" spans="1:6" ht="20" customHeight="1">
      <c r="F104" s="153"/>
    </row>
    <row r="105" spans="1:6" ht="20" customHeight="1">
      <c r="F105" s="153"/>
    </row>
    <row r="106" spans="1:6" ht="20" customHeight="1">
      <c r="F106" s="153"/>
    </row>
    <row r="107" spans="1:6" ht="20" customHeight="1">
      <c r="F107" s="153"/>
    </row>
    <row r="108" spans="1:6" ht="20" customHeight="1">
      <c r="F108" s="153"/>
    </row>
    <row r="109" spans="1:6" ht="20" customHeight="1">
      <c r="F109" s="153"/>
    </row>
    <row r="110" spans="1:6" ht="20" customHeight="1">
      <c r="F110" s="153"/>
    </row>
    <row r="111" spans="1:6" ht="20" customHeight="1">
      <c r="F111" s="153"/>
    </row>
    <row r="112" spans="1:6" ht="20" customHeight="1">
      <c r="F112" s="153"/>
    </row>
    <row r="113" spans="6:6" ht="20" customHeight="1">
      <c r="F113" s="153"/>
    </row>
    <row r="114" spans="6:6" ht="20" customHeight="1">
      <c r="F114" s="153"/>
    </row>
    <row r="115" spans="6:6" ht="20" customHeight="1">
      <c r="F115" s="153"/>
    </row>
    <row r="116" spans="6:6" ht="20" customHeight="1">
      <c r="F116" s="153"/>
    </row>
    <row r="117" spans="6:6" ht="20" customHeight="1">
      <c r="F117" s="153"/>
    </row>
    <row r="118" spans="6:6" ht="20" customHeight="1">
      <c r="F118" s="153"/>
    </row>
    <row r="119" spans="6:6" ht="20" customHeight="1">
      <c r="F119" s="153"/>
    </row>
    <row r="120" spans="6:6" ht="20" customHeight="1">
      <c r="F120" s="153"/>
    </row>
    <row r="121" spans="6:6" ht="20" customHeight="1">
      <c r="F121" s="153"/>
    </row>
    <row r="122" spans="6:6" ht="20" customHeight="1">
      <c r="F122" s="153"/>
    </row>
    <row r="123" spans="6:6" ht="20" customHeight="1">
      <c r="F123" s="153"/>
    </row>
    <row r="124" spans="6:6" ht="20" customHeight="1">
      <c r="F124" s="153"/>
    </row>
    <row r="125" spans="6:6" ht="20" customHeight="1">
      <c r="F125" s="153"/>
    </row>
    <row r="126" spans="6:6" ht="20" customHeight="1">
      <c r="F126" s="153"/>
    </row>
    <row r="127" spans="6:6" ht="20" customHeight="1">
      <c r="F127" s="153"/>
    </row>
    <row r="128" spans="6:6" ht="20" customHeight="1">
      <c r="F128" s="153"/>
    </row>
    <row r="129" spans="6:6" ht="20" customHeight="1">
      <c r="F129" s="153"/>
    </row>
    <row r="130" spans="6:6" ht="20" customHeight="1">
      <c r="F130" s="153"/>
    </row>
    <row r="131" spans="6:6" ht="20" customHeight="1">
      <c r="F131" s="153"/>
    </row>
    <row r="132" spans="6:6" ht="20" customHeight="1">
      <c r="F132" s="153"/>
    </row>
    <row r="133" spans="6:6" ht="20" customHeight="1">
      <c r="F133" s="153"/>
    </row>
    <row r="134" spans="6:6" ht="20" customHeight="1">
      <c r="F134" s="153"/>
    </row>
    <row r="135" spans="6:6" ht="20" customHeight="1">
      <c r="F135" s="153"/>
    </row>
    <row r="136" spans="6:6" ht="20" customHeight="1">
      <c r="F136" s="153"/>
    </row>
    <row r="137" spans="6:6" ht="20" customHeight="1">
      <c r="F137" s="153"/>
    </row>
    <row r="138" spans="6:6" ht="20" customHeight="1">
      <c r="F138" s="153"/>
    </row>
    <row r="139" spans="6:6" ht="20" customHeight="1">
      <c r="F139" s="153"/>
    </row>
    <row r="140" spans="6:6" ht="20" customHeight="1">
      <c r="F140" s="153"/>
    </row>
    <row r="141" spans="6:6" ht="20" customHeight="1">
      <c r="F141" s="153"/>
    </row>
    <row r="142" spans="6:6" ht="20" customHeight="1">
      <c r="F142" s="153"/>
    </row>
    <row r="143" spans="6:6" ht="20" customHeight="1">
      <c r="F143" s="153"/>
    </row>
    <row r="144" spans="6:6" ht="20" customHeight="1">
      <c r="F144" s="153"/>
    </row>
    <row r="145" spans="6:6" ht="20" customHeight="1">
      <c r="F145" s="153"/>
    </row>
    <row r="146" spans="6:6" ht="20" customHeight="1">
      <c r="F146" s="153"/>
    </row>
    <row r="147" spans="6:6" ht="20" customHeight="1">
      <c r="F147" s="153"/>
    </row>
    <row r="148" spans="6:6" ht="20" customHeight="1">
      <c r="F148" s="153"/>
    </row>
    <row r="149" spans="6:6" ht="20" customHeight="1">
      <c r="F149" s="153"/>
    </row>
    <row r="150" spans="6:6" ht="20" customHeight="1">
      <c r="F150" s="153"/>
    </row>
    <row r="151" spans="6:6" ht="20" customHeight="1">
      <c r="F151" s="153"/>
    </row>
    <row r="152" spans="6:6" ht="20" customHeight="1">
      <c r="F152" s="153"/>
    </row>
    <row r="153" spans="6:6" ht="20" customHeight="1">
      <c r="F153" s="153"/>
    </row>
    <row r="154" spans="6:6" ht="20" customHeight="1">
      <c r="F154" s="153"/>
    </row>
    <row r="155" spans="6:6" ht="20" customHeight="1">
      <c r="F155" s="153"/>
    </row>
    <row r="156" spans="6:6" ht="20" customHeight="1">
      <c r="F156" s="153"/>
    </row>
    <row r="157" spans="6:6" ht="20" customHeight="1">
      <c r="F157" s="153"/>
    </row>
    <row r="158" spans="6:6" ht="20" customHeight="1">
      <c r="F158" s="153"/>
    </row>
    <row r="159" spans="6:6" ht="20" customHeight="1">
      <c r="F159" s="153"/>
    </row>
    <row r="160" spans="6:6" ht="20" customHeight="1">
      <c r="F160" s="153"/>
    </row>
    <row r="161" spans="6:6" ht="20" customHeight="1">
      <c r="F161" s="153"/>
    </row>
    <row r="162" spans="6:6" ht="20" customHeight="1">
      <c r="F162" s="153"/>
    </row>
    <row r="163" spans="6:6" ht="20" customHeight="1">
      <c r="F163" s="153"/>
    </row>
    <row r="164" spans="6:6" ht="20" customHeight="1">
      <c r="F164" s="153"/>
    </row>
    <row r="165" spans="6:6" ht="20" customHeight="1">
      <c r="F165" s="153"/>
    </row>
    <row r="166" spans="6:6" ht="20" customHeight="1">
      <c r="F166" s="153"/>
    </row>
    <row r="167" spans="6:6" ht="20" customHeight="1">
      <c r="F167" s="153"/>
    </row>
    <row r="168" spans="6:6" ht="20" customHeight="1">
      <c r="F168" s="153"/>
    </row>
    <row r="169" spans="6:6" ht="20" customHeight="1">
      <c r="F169" s="153"/>
    </row>
    <row r="170" spans="6:6" ht="20" customHeight="1">
      <c r="F170" s="153"/>
    </row>
    <row r="171" spans="6:6" ht="20" customHeight="1">
      <c r="F171" s="153"/>
    </row>
    <row r="172" spans="6:6" ht="20" customHeight="1">
      <c r="F172" s="153"/>
    </row>
    <row r="173" spans="6:6" ht="20" customHeight="1">
      <c r="F173" s="153"/>
    </row>
    <row r="174" spans="6:6" ht="20" customHeight="1">
      <c r="F174" s="153"/>
    </row>
    <row r="175" spans="6:6" ht="20" customHeight="1">
      <c r="F175" s="153"/>
    </row>
    <row r="176" spans="6:6" ht="20" customHeight="1">
      <c r="F176" s="153"/>
    </row>
    <row r="177" spans="6:6" ht="20" customHeight="1">
      <c r="F177" s="153"/>
    </row>
    <row r="178" spans="6:6" ht="20" customHeight="1">
      <c r="F178" s="153"/>
    </row>
    <row r="179" spans="6:6" ht="20" customHeight="1">
      <c r="F179" s="153"/>
    </row>
    <row r="180" spans="6:6" ht="20" customHeight="1">
      <c r="F180" s="153"/>
    </row>
    <row r="181" spans="6:6" ht="20" customHeight="1">
      <c r="F181" s="153"/>
    </row>
    <row r="182" spans="6:6" ht="20" customHeight="1">
      <c r="F182" s="153"/>
    </row>
    <row r="183" spans="6:6" ht="20" customHeight="1">
      <c r="F183" s="153"/>
    </row>
    <row r="184" spans="6:6" ht="20" customHeight="1">
      <c r="F184" s="153"/>
    </row>
    <row r="185" spans="6:6" ht="20" customHeight="1">
      <c r="F185" s="153"/>
    </row>
    <row r="186" spans="6:6" ht="20" customHeight="1">
      <c r="F186" s="153"/>
    </row>
    <row r="187" spans="6:6" ht="20" customHeight="1">
      <c r="F187" s="153"/>
    </row>
    <row r="188" spans="6:6" ht="20" customHeight="1">
      <c r="F188" s="153"/>
    </row>
    <row r="189" spans="6:6" ht="20" customHeight="1">
      <c r="F189" s="153"/>
    </row>
    <row r="190" spans="6:6" ht="20" customHeight="1">
      <c r="F190" s="153"/>
    </row>
    <row r="191" spans="6:6" ht="20" customHeight="1">
      <c r="F191" s="153"/>
    </row>
    <row r="192" spans="6:6" ht="20" customHeight="1">
      <c r="F192" s="153"/>
    </row>
    <row r="193" spans="6:6" ht="20" customHeight="1">
      <c r="F193" s="153"/>
    </row>
    <row r="194" spans="6:6" ht="20" customHeight="1">
      <c r="F194" s="153"/>
    </row>
    <row r="195" spans="6:6" ht="20" customHeight="1">
      <c r="F195" s="153"/>
    </row>
    <row r="196" spans="6:6" ht="20" customHeight="1">
      <c r="F196" s="153"/>
    </row>
    <row r="197" spans="6:6" ht="20" customHeight="1">
      <c r="F197" s="153"/>
    </row>
    <row r="198" spans="6:6" ht="20" customHeight="1">
      <c r="F198" s="153"/>
    </row>
    <row r="199" spans="6:6" ht="20" customHeight="1">
      <c r="F199" s="153"/>
    </row>
    <row r="200" spans="6:6" ht="20" customHeight="1">
      <c r="F200" s="153"/>
    </row>
    <row r="201" spans="6:6" ht="20" customHeight="1">
      <c r="F201" s="153"/>
    </row>
    <row r="202" spans="6:6" ht="20" customHeight="1">
      <c r="F202" s="153"/>
    </row>
    <row r="203" spans="6:6" ht="20" customHeight="1">
      <c r="F203" s="153"/>
    </row>
    <row r="204" spans="6:6" ht="20" customHeight="1">
      <c r="F204" s="153"/>
    </row>
    <row r="205" spans="6:6" ht="20" customHeight="1">
      <c r="F205" s="153"/>
    </row>
    <row r="206" spans="6:6" ht="20" customHeight="1">
      <c r="F206" s="153"/>
    </row>
    <row r="207" spans="6:6" ht="20" customHeight="1">
      <c r="F207" s="153"/>
    </row>
    <row r="208" spans="6:6" ht="20" customHeight="1">
      <c r="F208" s="153"/>
    </row>
    <row r="209" spans="6:6" ht="20" customHeight="1">
      <c r="F209" s="153"/>
    </row>
    <row r="210" spans="6:6" ht="20" customHeight="1">
      <c r="F210" s="153"/>
    </row>
    <row r="211" spans="6:6" ht="20" customHeight="1">
      <c r="F211" s="153"/>
    </row>
    <row r="212" spans="6:6" ht="20" customHeight="1">
      <c r="F212" s="153"/>
    </row>
    <row r="213" spans="6:6" ht="20" customHeight="1">
      <c r="F213" s="153"/>
    </row>
    <row r="214" spans="6:6" ht="20" customHeight="1">
      <c r="F214" s="153"/>
    </row>
    <row r="215" spans="6:6" ht="20" customHeight="1">
      <c r="F215" s="153"/>
    </row>
    <row r="216" spans="6:6" ht="20" customHeight="1">
      <c r="F216" s="153"/>
    </row>
    <row r="217" spans="6:6" ht="20" customHeight="1">
      <c r="F217" s="153"/>
    </row>
    <row r="218" spans="6:6" ht="20" customHeight="1">
      <c r="F218" s="153"/>
    </row>
    <row r="219" spans="6:6" ht="20" customHeight="1">
      <c r="F219" s="153"/>
    </row>
    <row r="220" spans="6:6" ht="20" customHeight="1">
      <c r="F220" s="153"/>
    </row>
    <row r="221" spans="6:6" ht="20" customHeight="1">
      <c r="F221" s="153"/>
    </row>
    <row r="222" spans="6:6" ht="20" customHeight="1">
      <c r="F222" s="153"/>
    </row>
    <row r="223" spans="6:6" ht="20" customHeight="1">
      <c r="F223" s="153"/>
    </row>
    <row r="224" spans="6:6" ht="20" customHeight="1">
      <c r="F224" s="153"/>
    </row>
    <row r="225" spans="6:6" ht="20" customHeight="1">
      <c r="F225" s="153"/>
    </row>
    <row r="226" spans="6:6" ht="20" customHeight="1">
      <c r="F226" s="153"/>
    </row>
    <row r="227" spans="6:6" ht="20" customHeight="1">
      <c r="F227" s="153"/>
    </row>
    <row r="228" spans="6:6" ht="20" customHeight="1">
      <c r="F228" s="153"/>
    </row>
    <row r="229" spans="6:6" ht="20" customHeight="1">
      <c r="F229" s="153"/>
    </row>
    <row r="230" spans="6:6" ht="20" customHeight="1">
      <c r="F230" s="153"/>
    </row>
  </sheetData>
  <sheetProtection selectLockedCells="1"/>
  <mergeCells count="1">
    <mergeCell ref="A1:F1"/>
  </mergeCells>
  <phoneticPr fontId="1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theme="9" tint="0.39997558519241921"/>
  </sheetPr>
  <dimension ref="A1:W1048576"/>
  <sheetViews>
    <sheetView showGridLines="0" showRowColHeaders="0" zoomScaleNormal="100" workbookViewId="0">
      <selection activeCell="Q44" sqref="Q44"/>
    </sheetView>
  </sheetViews>
  <sheetFormatPr baseColWidth="10" defaultColWidth="0" defaultRowHeight="14" zeroHeight="1"/>
  <cols>
    <col min="1" max="1" width="0.83203125" style="36" customWidth="1"/>
    <col min="2" max="2" width="42.6640625" style="36" customWidth="1"/>
    <col min="3" max="3" width="4.33203125" style="236" customWidth="1"/>
    <col min="4" max="4" width="8.1640625" style="37" customWidth="1"/>
    <col min="5" max="5" width="8.6640625" style="36" customWidth="1"/>
    <col min="6" max="6" width="12.1640625" style="36" customWidth="1"/>
    <col min="7" max="7" width="14.33203125" style="208" customWidth="1"/>
    <col min="8" max="8" width="12" style="36" customWidth="1"/>
    <col min="9" max="9" width="8.1640625" style="36" customWidth="1"/>
    <col min="10" max="10" width="2.33203125" style="36" customWidth="1"/>
    <col min="11" max="11" width="18.33203125" style="36" customWidth="1"/>
    <col min="12" max="12" width="2.83203125" style="36" customWidth="1"/>
    <col min="13" max="13" width="5.1640625" style="36" customWidth="1"/>
    <col min="14" max="14" width="35.6640625" style="36" customWidth="1"/>
    <col min="15" max="16" width="10" style="36" customWidth="1"/>
    <col min="17" max="17" width="13.83203125" style="225" customWidth="1"/>
    <col min="18" max="18" width="3.33203125" style="36" customWidth="1"/>
    <col min="19" max="19" width="12" style="36" customWidth="1"/>
    <col min="20" max="20" width="13.33203125" style="36" customWidth="1"/>
    <col min="21" max="22" width="9" style="36" customWidth="1"/>
    <col min="23" max="23" width="0" style="36" hidden="1" customWidth="1"/>
    <col min="24" max="16384" width="9" style="36" hidden="1"/>
  </cols>
  <sheetData>
    <row r="1" spans="1:20" ht="45" customHeight="1">
      <c r="A1" s="276" t="s">
        <v>176</v>
      </c>
      <c r="B1" s="277"/>
      <c r="C1" s="277"/>
      <c r="D1" s="277"/>
      <c r="E1" s="277"/>
      <c r="F1" s="277"/>
      <c r="G1" s="277"/>
      <c r="H1" s="277"/>
      <c r="I1" s="277"/>
      <c r="J1" s="277"/>
      <c r="K1" s="277"/>
      <c r="L1" s="277"/>
      <c r="M1" s="39"/>
      <c r="N1" s="39"/>
      <c r="O1" s="39"/>
      <c r="P1" s="39"/>
      <c r="Q1" s="39"/>
      <c r="R1" s="42"/>
    </row>
    <row r="2" spans="1:20" ht="24" customHeight="1">
      <c r="A2" s="189"/>
      <c r="B2" s="409" t="s">
        <v>177</v>
      </c>
      <c r="C2" s="409"/>
      <c r="D2" s="409"/>
      <c r="E2" s="409"/>
      <c r="F2" s="409"/>
      <c r="G2" s="409"/>
      <c r="H2" s="409"/>
      <c r="I2" s="409"/>
      <c r="J2" s="409"/>
      <c r="K2" s="409"/>
      <c r="L2" s="409"/>
      <c r="M2" s="278"/>
      <c r="N2" s="278"/>
      <c r="O2" s="278"/>
      <c r="P2" s="278"/>
      <c r="Q2" s="278"/>
      <c r="R2" s="42"/>
    </row>
    <row r="3" spans="1:20" ht="51.5" customHeight="1">
      <c r="A3" s="279"/>
      <c r="B3" s="410" t="s">
        <v>178</v>
      </c>
      <c r="C3" s="410"/>
      <c r="D3" s="410"/>
      <c r="E3" s="410"/>
      <c r="F3" s="410"/>
      <c r="G3" s="410"/>
      <c r="H3" s="410"/>
      <c r="I3" s="410"/>
      <c r="J3" s="410"/>
      <c r="K3" s="410"/>
      <c r="L3" s="410"/>
      <c r="M3" s="42"/>
      <c r="N3" s="42"/>
      <c r="O3" s="42"/>
      <c r="P3" s="42"/>
      <c r="Q3" s="42"/>
      <c r="R3" s="42"/>
    </row>
    <row r="4" spans="1:20" ht="51" customHeight="1" thickBot="1">
      <c r="A4" s="280"/>
      <c r="B4" s="411"/>
      <c r="C4" s="411"/>
      <c r="D4" s="411"/>
      <c r="E4" s="411"/>
      <c r="F4" s="411"/>
      <c r="G4" s="411"/>
      <c r="H4" s="411"/>
      <c r="I4" s="411"/>
      <c r="J4" s="411"/>
      <c r="K4" s="411"/>
      <c r="L4" s="411"/>
      <c r="M4" s="42"/>
      <c r="N4" s="42"/>
      <c r="O4" s="42"/>
      <c r="P4" s="42"/>
      <c r="Q4" s="42"/>
      <c r="R4" s="42"/>
    </row>
    <row r="5" spans="1:20" ht="16" customHeight="1">
      <c r="B5" s="364" t="s">
        <v>179</v>
      </c>
      <c r="C5" s="365"/>
      <c r="D5" s="365"/>
      <c r="E5" s="421" t="s">
        <v>180</v>
      </c>
      <c r="F5" s="421"/>
      <c r="G5" s="281" t="s">
        <v>181</v>
      </c>
      <c r="H5" s="421" t="s">
        <v>182</v>
      </c>
      <c r="I5" s="421"/>
      <c r="J5" s="195"/>
      <c r="K5" s="195"/>
      <c r="L5" s="282"/>
      <c r="M5" s="42"/>
      <c r="N5" s="364" t="s">
        <v>183</v>
      </c>
      <c r="O5" s="365"/>
      <c r="P5" s="365"/>
      <c r="Q5" s="365"/>
      <c r="R5" s="365"/>
      <c r="S5" s="365"/>
      <c r="T5" s="419"/>
    </row>
    <row r="6" spans="1:20" ht="23" customHeight="1" thickBot="1">
      <c r="B6" s="366"/>
      <c r="C6" s="367"/>
      <c r="D6" s="367"/>
      <c r="E6" s="283" t="s">
        <v>184</v>
      </c>
      <c r="F6" s="284" t="s">
        <v>185</v>
      </c>
      <c r="G6" s="285" t="s">
        <v>186</v>
      </c>
      <c r="H6" s="284" t="s">
        <v>185</v>
      </c>
      <c r="I6" s="283" t="s">
        <v>184</v>
      </c>
      <c r="J6" s="200"/>
      <c r="K6" s="286"/>
      <c r="L6" s="287"/>
      <c r="M6" s="42"/>
      <c r="N6" s="366"/>
      <c r="O6" s="367"/>
      <c r="P6" s="367"/>
      <c r="Q6" s="367"/>
      <c r="R6" s="367"/>
      <c r="S6" s="367"/>
      <c r="T6" s="420"/>
    </row>
    <row r="7" spans="1:20" ht="17" customHeight="1">
      <c r="B7" s="260" t="s">
        <v>28</v>
      </c>
      <c r="C7" s="261" t="s">
        <v>29</v>
      </c>
      <c r="D7" s="262" t="s">
        <v>30</v>
      </c>
      <c r="E7" s="288"/>
      <c r="F7" s="211"/>
      <c r="G7" s="187">
        <v>300</v>
      </c>
      <c r="H7" s="211"/>
      <c r="I7" s="289"/>
      <c r="J7" s="211"/>
      <c r="K7" s="211"/>
      <c r="L7" s="266"/>
      <c r="N7" s="210" t="s">
        <v>31</v>
      </c>
      <c r="O7" s="211"/>
      <c r="P7" s="211"/>
      <c r="Q7" s="290"/>
      <c r="R7" s="211"/>
      <c r="S7" s="422" t="s">
        <v>32</v>
      </c>
      <c r="T7" s="422" t="s">
        <v>33</v>
      </c>
    </row>
    <row r="8" spans="1:20" ht="17" customHeight="1">
      <c r="B8" s="204" t="s">
        <v>34</v>
      </c>
      <c r="C8" s="205" t="s">
        <v>35</v>
      </c>
      <c r="D8" s="206" t="s">
        <v>187</v>
      </c>
      <c r="E8" s="291"/>
      <c r="G8" s="106">
        <v>2500</v>
      </c>
      <c r="I8" s="292"/>
      <c r="L8" s="271"/>
      <c r="N8" s="83" t="s">
        <v>38</v>
      </c>
      <c r="S8" s="423"/>
      <c r="T8" s="423"/>
    </row>
    <row r="9" spans="1:20" ht="17" customHeight="1">
      <c r="B9" s="204" t="s">
        <v>39</v>
      </c>
      <c r="C9" s="205" t="s">
        <v>40</v>
      </c>
      <c r="D9" s="206" t="s">
        <v>41</v>
      </c>
      <c r="E9" s="291"/>
      <c r="G9" s="101">
        <v>293.14999999999998</v>
      </c>
      <c r="I9" s="292"/>
      <c r="K9" s="213" t="s">
        <v>37</v>
      </c>
      <c r="L9" s="271"/>
      <c r="N9" s="217"/>
      <c r="S9" s="423"/>
      <c r="T9" s="423"/>
    </row>
    <row r="10" spans="1:20" ht="17" customHeight="1" thickBot="1">
      <c r="B10" s="204" t="s">
        <v>43</v>
      </c>
      <c r="C10" s="205" t="s">
        <v>44</v>
      </c>
      <c r="D10" s="206" t="s">
        <v>45</v>
      </c>
      <c r="E10" s="115">
        <v>30</v>
      </c>
      <c r="F10" s="94">
        <v>18.143999999999998</v>
      </c>
      <c r="G10" s="95">
        <v>25.92</v>
      </c>
      <c r="H10" s="94">
        <v>33.696000000000005</v>
      </c>
      <c r="I10" s="116">
        <v>30</v>
      </c>
      <c r="K10" s="40" t="s">
        <v>42</v>
      </c>
      <c r="L10" s="271"/>
      <c r="N10" s="217"/>
      <c r="S10" s="293" t="s">
        <v>188</v>
      </c>
      <c r="T10" s="294" t="s">
        <v>47</v>
      </c>
    </row>
    <row r="11" spans="1:20" ht="17" customHeight="1">
      <c r="B11" s="204" t="s">
        <v>48</v>
      </c>
      <c r="C11" s="205" t="s">
        <v>49</v>
      </c>
      <c r="D11" s="206" t="s">
        <v>50</v>
      </c>
      <c r="E11" s="115">
        <v>0</v>
      </c>
      <c r="F11" s="96">
        <v>1.53</v>
      </c>
      <c r="G11" s="95">
        <v>1.53</v>
      </c>
      <c r="H11" s="94">
        <v>1.53</v>
      </c>
      <c r="I11" s="116">
        <v>0</v>
      </c>
      <c r="L11" s="271"/>
      <c r="N11" s="217"/>
      <c r="Q11" s="295"/>
      <c r="R11" s="296"/>
      <c r="S11" s="43">
        <v>0</v>
      </c>
      <c r="T11" s="44">
        <v>100</v>
      </c>
    </row>
    <row r="12" spans="1:20" ht="17" customHeight="1">
      <c r="B12" s="204" t="s">
        <v>51</v>
      </c>
      <c r="C12" s="205" t="s">
        <v>52</v>
      </c>
      <c r="D12" s="206" t="s">
        <v>53</v>
      </c>
      <c r="E12" s="115">
        <v>0</v>
      </c>
      <c r="F12" s="96">
        <v>44.87</v>
      </c>
      <c r="G12" s="95">
        <v>44.87</v>
      </c>
      <c r="H12" s="94">
        <v>44.87</v>
      </c>
      <c r="I12" s="116">
        <v>0</v>
      </c>
      <c r="L12" s="271"/>
      <c r="N12" s="217"/>
      <c r="Q12" s="295"/>
      <c r="R12" s="296"/>
      <c r="S12" s="45">
        <v>10</v>
      </c>
      <c r="T12" s="46">
        <v>100</v>
      </c>
    </row>
    <row r="13" spans="1:20" ht="17" customHeight="1">
      <c r="B13" s="204" t="s">
        <v>54</v>
      </c>
      <c r="C13" s="205" t="s">
        <v>55</v>
      </c>
      <c r="D13" s="206" t="s">
        <v>56</v>
      </c>
      <c r="E13" s="115">
        <v>0</v>
      </c>
      <c r="F13" s="97">
        <v>6.4000000000000001E-2</v>
      </c>
      <c r="G13" s="98">
        <v>6.4000000000000001E-2</v>
      </c>
      <c r="H13" s="99">
        <v>6.4000000000000001E-2</v>
      </c>
      <c r="I13" s="116">
        <v>0</v>
      </c>
      <c r="L13" s="271"/>
      <c r="N13" s="217"/>
      <c r="Q13" s="295"/>
      <c r="R13" s="296"/>
      <c r="S13" s="45">
        <v>50</v>
      </c>
      <c r="T13" s="46">
        <v>30</v>
      </c>
    </row>
    <row r="14" spans="1:20" ht="17" customHeight="1">
      <c r="B14" s="204" t="s">
        <v>57</v>
      </c>
      <c r="C14" s="205" t="s">
        <v>58</v>
      </c>
      <c r="D14" s="206" t="s">
        <v>56</v>
      </c>
      <c r="E14" s="115">
        <v>0</v>
      </c>
      <c r="F14" s="172">
        <v>0.37</v>
      </c>
      <c r="G14" s="173">
        <v>0.37</v>
      </c>
      <c r="H14" s="174">
        <v>0.37</v>
      </c>
      <c r="I14" s="116">
        <v>0</v>
      </c>
      <c r="L14" s="271"/>
      <c r="N14" s="217"/>
      <c r="Q14" s="295"/>
      <c r="R14" s="296"/>
      <c r="S14" s="45">
        <v>100</v>
      </c>
      <c r="T14" s="46">
        <v>10</v>
      </c>
    </row>
    <row r="15" spans="1:20" ht="17" customHeight="1">
      <c r="B15" s="223" t="s">
        <v>59</v>
      </c>
      <c r="C15" s="205" t="s">
        <v>189</v>
      </c>
      <c r="D15" s="206" t="s">
        <v>61</v>
      </c>
      <c r="E15" s="115">
        <v>0</v>
      </c>
      <c r="F15" s="97">
        <v>4.5999999999999999E-2</v>
      </c>
      <c r="G15" s="98">
        <v>4.5999999999999999E-2</v>
      </c>
      <c r="H15" s="99">
        <v>4.5999999999999999E-2</v>
      </c>
      <c r="I15" s="116">
        <v>0</v>
      </c>
      <c r="L15" s="271"/>
      <c r="N15" s="217"/>
      <c r="Q15" s="295"/>
      <c r="R15" s="296"/>
      <c r="S15" s="45">
        <v>150</v>
      </c>
      <c r="T15" s="47">
        <v>2</v>
      </c>
    </row>
    <row r="16" spans="1:20" ht="17" customHeight="1">
      <c r="B16" s="204" t="s">
        <v>62</v>
      </c>
      <c r="C16" s="205" t="s">
        <v>190</v>
      </c>
      <c r="D16" s="206" t="s">
        <v>64</v>
      </c>
      <c r="E16" s="115">
        <v>0</v>
      </c>
      <c r="F16" s="100">
        <v>0.41</v>
      </c>
      <c r="G16" s="101">
        <v>0.41</v>
      </c>
      <c r="H16" s="102">
        <v>0.41</v>
      </c>
      <c r="I16" s="116">
        <v>0</v>
      </c>
      <c r="L16" s="271"/>
      <c r="N16" s="217"/>
      <c r="Q16" s="295"/>
      <c r="R16" s="296"/>
      <c r="S16" s="45">
        <v>250</v>
      </c>
      <c r="T16" s="47">
        <v>1</v>
      </c>
    </row>
    <row r="17" spans="2:20" ht="17" customHeight="1">
      <c r="B17" s="204" t="s">
        <v>68</v>
      </c>
      <c r="C17" s="205" t="s">
        <v>66</v>
      </c>
      <c r="D17" s="206" t="s">
        <v>67</v>
      </c>
      <c r="E17" s="115">
        <v>0</v>
      </c>
      <c r="F17" s="97">
        <v>1.7999999999999999E-2</v>
      </c>
      <c r="G17" s="98">
        <v>1.7999999999999999E-2</v>
      </c>
      <c r="H17" s="99">
        <v>1.7999999999999999E-2</v>
      </c>
      <c r="I17" s="116">
        <v>0</v>
      </c>
      <c r="L17" s="271"/>
      <c r="N17" s="217"/>
      <c r="Q17" s="295"/>
      <c r="R17" s="296"/>
      <c r="S17" s="45">
        <v>300</v>
      </c>
      <c r="T17" s="47">
        <v>0.5</v>
      </c>
    </row>
    <row r="18" spans="2:20" ht="17" customHeight="1">
      <c r="B18" s="204" t="s">
        <v>68</v>
      </c>
      <c r="C18" s="205" t="s">
        <v>69</v>
      </c>
      <c r="D18" s="206" t="s">
        <v>56</v>
      </c>
      <c r="E18" s="115">
        <v>-15</v>
      </c>
      <c r="F18" s="100">
        <v>1.7364999999999999</v>
      </c>
      <c r="G18" s="101">
        <v>1.51</v>
      </c>
      <c r="H18" s="102">
        <v>1.2834999999999999</v>
      </c>
      <c r="I18" s="116">
        <v>-15</v>
      </c>
      <c r="L18" s="271"/>
      <c r="N18" s="217"/>
      <c r="O18" s="226"/>
      <c r="Q18" s="297"/>
      <c r="R18" s="298"/>
      <c r="S18" s="330"/>
      <c r="T18" s="47"/>
    </row>
    <row r="19" spans="2:20" ht="17" customHeight="1">
      <c r="B19" s="204" t="s">
        <v>70</v>
      </c>
      <c r="C19" s="205" t="s">
        <v>191</v>
      </c>
      <c r="D19" s="206" t="s">
        <v>61</v>
      </c>
      <c r="E19" s="115">
        <v>0</v>
      </c>
      <c r="F19" s="102">
        <v>13.91</v>
      </c>
      <c r="G19" s="103">
        <v>13.91</v>
      </c>
      <c r="H19" s="102">
        <v>13.91</v>
      </c>
      <c r="I19" s="116">
        <v>0</v>
      </c>
      <c r="K19" s="221"/>
      <c r="L19" s="271"/>
      <c r="N19" s="217"/>
      <c r="Q19" s="297"/>
      <c r="R19" s="298"/>
      <c r="S19" s="45"/>
      <c r="T19" s="47"/>
    </row>
    <row r="20" spans="2:20" ht="17" customHeight="1">
      <c r="B20" s="204" t="s">
        <v>72</v>
      </c>
      <c r="C20" s="205" t="s">
        <v>192</v>
      </c>
      <c r="D20" s="206" t="s">
        <v>56</v>
      </c>
      <c r="E20" s="115">
        <v>18.677994996117331</v>
      </c>
      <c r="F20" s="97">
        <v>0.17802101900609216</v>
      </c>
      <c r="G20" s="104">
        <v>0.21890879227288193</v>
      </c>
      <c r="H20" s="99">
        <v>0.2796959600491522</v>
      </c>
      <c r="I20" s="116">
        <v>27.768262364033202</v>
      </c>
      <c r="K20" s="237"/>
      <c r="L20" s="271"/>
      <c r="N20" s="217"/>
      <c r="S20" s="45"/>
      <c r="T20" s="47"/>
    </row>
    <row r="21" spans="2:20" ht="17" customHeight="1">
      <c r="B21" s="223" t="s">
        <v>193</v>
      </c>
      <c r="C21" s="227" t="s">
        <v>75</v>
      </c>
      <c r="D21" s="206" t="s">
        <v>56</v>
      </c>
      <c r="E21" s="115">
        <v>-7.5975835294635807</v>
      </c>
      <c r="F21" s="102">
        <v>5.0652445703808855</v>
      </c>
      <c r="G21" s="103">
        <v>4.707582088954501</v>
      </c>
      <c r="H21" s="102">
        <v>4.1758512675208559</v>
      </c>
      <c r="I21" s="116">
        <v>-11.295200198022171</v>
      </c>
      <c r="K21" s="221"/>
      <c r="L21" s="271"/>
      <c r="N21" s="217"/>
      <c r="S21" s="45"/>
      <c r="T21" s="47"/>
    </row>
    <row r="22" spans="2:20" ht="17" customHeight="1" thickBot="1">
      <c r="B22" s="229" t="s">
        <v>76</v>
      </c>
      <c r="C22" s="230" t="s">
        <v>77</v>
      </c>
      <c r="D22" s="231" t="s">
        <v>194</v>
      </c>
      <c r="E22" s="122">
        <v>-40.718314719214966</v>
      </c>
      <c r="F22" s="158">
        <v>1057.0103711474542</v>
      </c>
      <c r="G22" s="159">
        <v>751.1533756331437</v>
      </c>
      <c r="H22" s="160">
        <v>341.16469708913661</v>
      </c>
      <c r="I22" s="126">
        <v>-54.581220273213781</v>
      </c>
      <c r="J22" s="259"/>
      <c r="K22" s="259"/>
      <c r="L22" s="299"/>
      <c r="N22" s="217"/>
      <c r="R22" s="224"/>
      <c r="S22" s="45"/>
      <c r="T22" s="47"/>
    </row>
    <row r="23" spans="2:20" ht="20" customHeight="1" thickBot="1">
      <c r="B23" s="300"/>
      <c r="C23" s="301"/>
      <c r="D23" s="206"/>
      <c r="E23" s="300"/>
      <c r="F23" s="300"/>
      <c r="G23" s="302"/>
      <c r="N23" s="217"/>
      <c r="R23" s="224"/>
      <c r="S23" s="45"/>
      <c r="T23" s="47"/>
    </row>
    <row r="24" spans="2:20" ht="16" customHeight="1">
      <c r="B24" s="383" t="s">
        <v>195</v>
      </c>
      <c r="C24" s="384"/>
      <c r="D24" s="384"/>
      <c r="E24" s="402" t="s">
        <v>180</v>
      </c>
      <c r="F24" s="403"/>
      <c r="G24" s="303" t="s">
        <v>181</v>
      </c>
      <c r="H24" s="404" t="s">
        <v>182</v>
      </c>
      <c r="I24" s="405"/>
      <c r="J24" s="195"/>
      <c r="K24" s="195"/>
      <c r="L24" s="282"/>
      <c r="N24" s="217"/>
      <c r="R24" s="224"/>
      <c r="S24" s="45"/>
      <c r="T24" s="47"/>
    </row>
    <row r="25" spans="2:20" ht="23" customHeight="1" thickBot="1">
      <c r="B25" s="386"/>
      <c r="C25" s="387"/>
      <c r="D25" s="387"/>
      <c r="E25" s="304" t="s">
        <v>184</v>
      </c>
      <c r="F25" s="305" t="s">
        <v>185</v>
      </c>
      <c r="G25" s="306" t="s">
        <v>186</v>
      </c>
      <c r="H25" s="284" t="s">
        <v>185</v>
      </c>
      <c r="I25" s="283" t="s">
        <v>184</v>
      </c>
      <c r="J25" s="200"/>
      <c r="K25" s="286"/>
      <c r="L25" s="307"/>
      <c r="N25" s="331"/>
      <c r="O25" s="332"/>
      <c r="P25" s="332"/>
      <c r="Q25" s="333"/>
      <c r="R25" s="224"/>
      <c r="S25" s="45"/>
      <c r="T25" s="47"/>
    </row>
    <row r="26" spans="2:20" ht="17" customHeight="1">
      <c r="B26" s="204" t="s">
        <v>80</v>
      </c>
      <c r="C26" s="205" t="s">
        <v>81</v>
      </c>
      <c r="D26" s="206" t="s">
        <v>82</v>
      </c>
      <c r="E26" s="117">
        <v>0</v>
      </c>
      <c r="F26" s="118">
        <v>62.11</v>
      </c>
      <c r="G26" s="119">
        <v>62.11</v>
      </c>
      <c r="H26" s="120">
        <v>62.11</v>
      </c>
      <c r="I26" s="121">
        <v>0</v>
      </c>
      <c r="L26" s="271"/>
      <c r="N26" s="331"/>
      <c r="O26" s="333"/>
      <c r="P26" s="332"/>
      <c r="Q26" s="333"/>
      <c r="R26" s="224"/>
      <c r="S26" s="45"/>
      <c r="T26" s="47"/>
    </row>
    <row r="27" spans="2:20" ht="17" customHeight="1">
      <c r="B27" s="204" t="s">
        <v>80</v>
      </c>
      <c r="C27" s="205" t="s">
        <v>83</v>
      </c>
      <c r="D27" s="206" t="s">
        <v>56</v>
      </c>
      <c r="E27" s="115">
        <v>0</v>
      </c>
      <c r="F27" s="100">
        <v>0.19</v>
      </c>
      <c r="G27" s="101">
        <v>0.19</v>
      </c>
      <c r="H27" s="102">
        <v>0.19</v>
      </c>
      <c r="I27" s="116">
        <v>0</v>
      </c>
      <c r="K27" s="213" t="s">
        <v>196</v>
      </c>
      <c r="L27" s="271"/>
      <c r="N27" s="331"/>
      <c r="O27" s="332"/>
      <c r="P27" s="332"/>
      <c r="Q27" s="333"/>
      <c r="R27" s="224"/>
      <c r="S27" s="45"/>
      <c r="T27" s="47"/>
    </row>
    <row r="28" spans="2:20" ht="17" customHeight="1">
      <c r="B28" s="204" t="s">
        <v>80</v>
      </c>
      <c r="C28" s="205" t="s">
        <v>85</v>
      </c>
      <c r="D28" s="206" t="s">
        <v>86</v>
      </c>
      <c r="E28" s="115">
        <v>0</v>
      </c>
      <c r="F28" s="107">
        <v>71</v>
      </c>
      <c r="G28" s="108">
        <v>71</v>
      </c>
      <c r="H28" s="109">
        <v>71</v>
      </c>
      <c r="I28" s="116">
        <v>0</v>
      </c>
      <c r="K28" s="40" t="s">
        <v>87</v>
      </c>
      <c r="L28" s="271"/>
      <c r="N28" s="331"/>
      <c r="O28" s="332"/>
      <c r="P28" s="332"/>
      <c r="Q28" s="333"/>
      <c r="R28" s="224"/>
      <c r="S28" s="45"/>
      <c r="T28" s="47"/>
    </row>
    <row r="29" spans="2:20" ht="17" customHeight="1">
      <c r="B29" s="204" t="s">
        <v>197</v>
      </c>
      <c r="C29" s="205" t="s">
        <v>89</v>
      </c>
      <c r="D29" s="206" t="s">
        <v>90</v>
      </c>
      <c r="E29" s="115">
        <v>0</v>
      </c>
      <c r="F29" s="100">
        <v>414.07</v>
      </c>
      <c r="G29" s="101">
        <v>414.07</v>
      </c>
      <c r="H29" s="102">
        <v>414.07</v>
      </c>
      <c r="I29" s="116">
        <v>0</v>
      </c>
      <c r="L29" s="271"/>
      <c r="N29" s="240"/>
      <c r="O29" s="241"/>
      <c r="P29" s="241"/>
      <c r="Q29" s="334"/>
      <c r="R29" s="224"/>
      <c r="S29" s="45"/>
      <c r="T29" s="47"/>
    </row>
    <row r="30" spans="2:20" ht="17" customHeight="1">
      <c r="B30" s="204" t="s">
        <v>91</v>
      </c>
      <c r="C30" s="205" t="s">
        <v>92</v>
      </c>
      <c r="D30" s="206" t="s">
        <v>93</v>
      </c>
      <c r="E30" s="115">
        <v>0</v>
      </c>
      <c r="F30" s="110">
        <v>4.8999999999999997E-6</v>
      </c>
      <c r="G30" s="111">
        <v>4.8999999999999997E-6</v>
      </c>
      <c r="H30" s="112">
        <v>4.8999999999999997E-6</v>
      </c>
      <c r="I30" s="116">
        <v>0</v>
      </c>
      <c r="L30" s="271"/>
      <c r="N30" s="244" t="s">
        <v>29</v>
      </c>
      <c r="O30" s="241" t="str">
        <f>IF(LEN(G7)&gt;0, "= " &amp;G7 &amp; " cm", "")</f>
        <v>= 300 cm</v>
      </c>
      <c r="P30" s="241"/>
      <c r="Q30" s="334"/>
      <c r="R30" s="224"/>
      <c r="S30" s="45"/>
      <c r="T30" s="47"/>
    </row>
    <row r="31" spans="2:20" ht="17" customHeight="1">
      <c r="B31" s="204" t="s">
        <v>94</v>
      </c>
      <c r="C31" s="242" t="s">
        <v>95</v>
      </c>
      <c r="D31" s="206" t="s">
        <v>96</v>
      </c>
      <c r="E31" s="115">
        <v>0</v>
      </c>
      <c r="F31" s="100">
        <v>237.2</v>
      </c>
      <c r="G31" s="101">
        <v>237.2</v>
      </c>
      <c r="H31" s="102">
        <v>237.2</v>
      </c>
      <c r="I31" s="116">
        <v>0</v>
      </c>
      <c r="L31" s="271"/>
      <c r="N31" s="244" t="s">
        <v>100</v>
      </c>
      <c r="O31" s="241" t="str">
        <f>IF(LEN(G41)&gt;0, "= " &amp; G41 &amp; " m/yr", "")</f>
        <v>= 365 m/yr</v>
      </c>
      <c r="P31" s="241"/>
      <c r="Q31" s="334"/>
      <c r="R31" s="224"/>
      <c r="S31" s="45"/>
      <c r="T31" s="47"/>
    </row>
    <row r="32" spans="2:20" ht="17" customHeight="1">
      <c r="B32" s="204" t="s">
        <v>97</v>
      </c>
      <c r="C32" s="205" t="s">
        <v>98</v>
      </c>
      <c r="D32" s="206" t="s">
        <v>99</v>
      </c>
      <c r="E32" s="115">
        <v>0</v>
      </c>
      <c r="F32" s="107">
        <v>136.19999999999999</v>
      </c>
      <c r="G32" s="108">
        <v>136.19999999999999</v>
      </c>
      <c r="H32" s="109">
        <v>136.19999999999999</v>
      </c>
      <c r="I32" s="116">
        <v>0</v>
      </c>
      <c r="K32" s="42"/>
      <c r="L32" s="308"/>
      <c r="N32" s="244" t="s">
        <v>103</v>
      </c>
      <c r="O32" s="241" t="str">
        <f>IF(LEN(G42)&gt;0, "= " &amp; TEXT(G42, "0.00") &amp; " m", "")</f>
        <v>= 3.00 m</v>
      </c>
      <c r="P32" s="241"/>
      <c r="Q32" s="334"/>
      <c r="R32" s="224"/>
      <c r="S32" s="45"/>
      <c r="T32" s="47"/>
    </row>
    <row r="33" spans="2:23" ht="17" customHeight="1">
      <c r="B33" s="204" t="s">
        <v>101</v>
      </c>
      <c r="C33" s="205" t="s">
        <v>102</v>
      </c>
      <c r="D33" s="206" t="s">
        <v>99</v>
      </c>
      <c r="E33" s="115">
        <v>0</v>
      </c>
      <c r="F33" s="100">
        <v>0.55841999999999992</v>
      </c>
      <c r="G33" s="105">
        <v>0.55841999999999992</v>
      </c>
      <c r="H33" s="102">
        <v>0.55841999999999992</v>
      </c>
      <c r="I33" s="116">
        <v>0</v>
      </c>
      <c r="L33" s="308"/>
      <c r="N33" s="244" t="s">
        <v>107</v>
      </c>
      <c r="O33" s="241" t="str">
        <f>IF(LEN(G43)&gt;0, "= " &amp; G43 &amp; " m", "")</f>
        <v>= 0.35 m</v>
      </c>
      <c r="P33" s="241"/>
      <c r="Q33" s="334"/>
      <c r="R33" s="224"/>
      <c r="S33" s="45"/>
      <c r="T33" s="47"/>
    </row>
    <row r="34" spans="2:23" ht="17" customHeight="1">
      <c r="B34" s="245" t="s">
        <v>104</v>
      </c>
      <c r="C34" s="246" t="s">
        <v>105</v>
      </c>
      <c r="D34" s="247" t="s">
        <v>30</v>
      </c>
      <c r="E34" s="115">
        <v>-30</v>
      </c>
      <c r="F34" s="110">
        <v>4.797E-3</v>
      </c>
      <c r="G34" s="113">
        <v>3.6900000000000001E-3</v>
      </c>
      <c r="H34" s="112">
        <v>2.5829999999999998E-3</v>
      </c>
      <c r="I34" s="116">
        <v>-30</v>
      </c>
      <c r="L34" s="308"/>
      <c r="N34" s="244" t="s">
        <v>109</v>
      </c>
      <c r="O34" s="241" t="str">
        <f>IF(LEN(G45)&gt;0, "= " &amp; TEXT(G45, "0.00") &amp; " m", "")</f>
        <v>= 0.32 m</v>
      </c>
      <c r="P34" s="241"/>
      <c r="Q34" s="334"/>
      <c r="R34" s="224"/>
      <c r="S34" s="45"/>
      <c r="T34" s="47"/>
    </row>
    <row r="35" spans="2:23" ht="16" customHeight="1">
      <c r="B35" s="415" t="s">
        <v>198</v>
      </c>
      <c r="C35" s="378"/>
      <c r="D35" s="378"/>
      <c r="E35" s="416"/>
      <c r="F35" s="416"/>
      <c r="G35" s="416"/>
      <c r="H35" s="416"/>
      <c r="I35" s="416"/>
      <c r="K35" s="42"/>
      <c r="L35" s="308"/>
      <c r="N35" s="244" t="s">
        <v>112</v>
      </c>
      <c r="O35" s="241" t="str">
        <f>IF(LEN(G10)&gt;0, "= " &amp;G10 &amp; " cm/yr", "")</f>
        <v>= 25.92 cm/yr</v>
      </c>
      <c r="P35" s="241"/>
      <c r="Q35" s="334"/>
      <c r="R35" s="224"/>
      <c r="S35" s="45"/>
      <c r="T35" s="47"/>
    </row>
    <row r="36" spans="2:23" ht="17" customHeight="1">
      <c r="B36" s="250" t="s">
        <v>110</v>
      </c>
      <c r="C36" s="251" t="s">
        <v>199</v>
      </c>
      <c r="D36" s="252" t="s">
        <v>56</v>
      </c>
      <c r="E36" s="115">
        <v>0</v>
      </c>
      <c r="F36" s="100">
        <v>0.5</v>
      </c>
      <c r="G36" s="101">
        <v>0.5</v>
      </c>
      <c r="H36" s="102">
        <v>0.5</v>
      </c>
      <c r="I36" s="116">
        <v>0</v>
      </c>
      <c r="K36" s="42"/>
      <c r="L36" s="308"/>
      <c r="N36" s="240"/>
      <c r="O36" s="241"/>
      <c r="P36" s="241"/>
      <c r="Q36" s="334"/>
      <c r="R36" s="224"/>
      <c r="S36" s="45"/>
      <c r="T36" s="47"/>
    </row>
    <row r="37" spans="2:23" ht="18" customHeight="1" thickBot="1">
      <c r="B37" s="229" t="s">
        <v>200</v>
      </c>
      <c r="C37" s="230" t="s">
        <v>114</v>
      </c>
      <c r="D37" s="231" t="s">
        <v>115</v>
      </c>
      <c r="E37" s="122">
        <v>0</v>
      </c>
      <c r="F37" s="123">
        <v>1E-4</v>
      </c>
      <c r="G37" s="124">
        <v>1E-4</v>
      </c>
      <c r="H37" s="125">
        <v>1E-4</v>
      </c>
      <c r="I37" s="126">
        <v>0</v>
      </c>
      <c r="J37" s="259"/>
      <c r="K37" s="259"/>
      <c r="L37" s="299"/>
      <c r="N37" s="240"/>
      <c r="O37" s="241"/>
      <c r="P37" s="241"/>
      <c r="Q37" s="334"/>
      <c r="R37" s="224"/>
      <c r="S37" s="45"/>
      <c r="T37" s="47"/>
    </row>
    <row r="38" spans="2:23" ht="20" customHeight="1" thickBot="1">
      <c r="B38" s="309"/>
      <c r="C38" s="309"/>
      <c r="D38" s="206"/>
      <c r="E38" s="206"/>
      <c r="F38" s="310"/>
      <c r="G38" s="311"/>
      <c r="H38" s="218"/>
      <c r="I38" s="37"/>
      <c r="N38" s="240"/>
      <c r="O38" s="241"/>
      <c r="P38" s="241"/>
      <c r="Q38" s="334"/>
      <c r="R38" s="224"/>
      <c r="S38" s="45"/>
      <c r="T38" s="47"/>
    </row>
    <row r="39" spans="2:23" ht="16" customHeight="1">
      <c r="B39" s="383" t="s">
        <v>201</v>
      </c>
      <c r="C39" s="384"/>
      <c r="D39" s="384"/>
      <c r="E39" s="402" t="s">
        <v>180</v>
      </c>
      <c r="F39" s="403"/>
      <c r="G39" s="303" t="s">
        <v>181</v>
      </c>
      <c r="H39" s="404" t="s">
        <v>182</v>
      </c>
      <c r="I39" s="405"/>
      <c r="J39" s="195"/>
      <c r="K39" s="195"/>
      <c r="L39" s="282"/>
      <c r="N39" s="217"/>
      <c r="O39" s="226"/>
      <c r="R39" s="224"/>
      <c r="S39" s="45"/>
      <c r="T39" s="47"/>
    </row>
    <row r="40" spans="2:23" ht="23" customHeight="1" thickBot="1">
      <c r="B40" s="386"/>
      <c r="C40" s="387"/>
      <c r="D40" s="387"/>
      <c r="E40" s="304" t="s">
        <v>184</v>
      </c>
      <c r="F40" s="305" t="s">
        <v>185</v>
      </c>
      <c r="G40" s="306" t="s">
        <v>186</v>
      </c>
      <c r="H40" s="284" t="s">
        <v>185</v>
      </c>
      <c r="I40" s="283" t="s">
        <v>184</v>
      </c>
      <c r="J40" s="200"/>
      <c r="K40" s="200"/>
      <c r="L40" s="312"/>
      <c r="N40" s="313"/>
      <c r="O40" s="259"/>
      <c r="P40" s="259"/>
      <c r="Q40" s="314"/>
      <c r="R40" s="315"/>
      <c r="S40" s="48"/>
      <c r="T40" s="49"/>
    </row>
    <row r="41" spans="2:23" ht="17" customHeight="1" thickBot="1">
      <c r="B41" s="204" t="s">
        <v>202</v>
      </c>
      <c r="C41" s="205" t="s">
        <v>118</v>
      </c>
      <c r="D41" s="206" t="s">
        <v>119</v>
      </c>
      <c r="E41" s="117">
        <v>0</v>
      </c>
      <c r="F41" s="178">
        <v>365</v>
      </c>
      <c r="G41" s="179">
        <v>365</v>
      </c>
      <c r="H41" s="180">
        <v>365</v>
      </c>
      <c r="I41" s="121">
        <v>0</v>
      </c>
      <c r="L41" s="271"/>
      <c r="P41" s="41"/>
    </row>
    <row r="42" spans="2:23" ht="17" customHeight="1">
      <c r="B42" s="204" t="s">
        <v>203</v>
      </c>
      <c r="C42" s="205" t="s">
        <v>103</v>
      </c>
      <c r="D42" s="206" t="s">
        <v>121</v>
      </c>
      <c r="E42" s="115">
        <v>0</v>
      </c>
      <c r="F42" s="96">
        <v>3</v>
      </c>
      <c r="G42" s="95">
        <v>3</v>
      </c>
      <c r="H42" s="94">
        <v>3</v>
      </c>
      <c r="I42" s="116">
        <v>0</v>
      </c>
      <c r="L42" s="271"/>
      <c r="N42" s="383" t="s">
        <v>204</v>
      </c>
      <c r="O42" s="384"/>
      <c r="P42" s="316"/>
      <c r="Q42" s="417" t="s">
        <v>205</v>
      </c>
      <c r="R42" s="265"/>
      <c r="S42" s="211"/>
      <c r="T42" s="266"/>
    </row>
    <row r="43" spans="2:23" ht="17" customHeight="1" thickBot="1">
      <c r="B43" s="204" t="s">
        <v>206</v>
      </c>
      <c r="C43" s="205" t="s">
        <v>207</v>
      </c>
      <c r="D43" s="206" t="s">
        <v>121</v>
      </c>
      <c r="E43" s="115">
        <v>0</v>
      </c>
      <c r="F43" s="96">
        <v>0.35</v>
      </c>
      <c r="G43" s="95">
        <v>0.35</v>
      </c>
      <c r="H43" s="94">
        <v>0.35</v>
      </c>
      <c r="I43" s="116">
        <v>0</v>
      </c>
      <c r="L43" s="271"/>
      <c r="N43" s="386"/>
      <c r="O43" s="387"/>
      <c r="P43" s="317"/>
      <c r="Q43" s="418"/>
      <c r="R43" s="406" t="s">
        <v>269</v>
      </c>
      <c r="S43" s="406"/>
      <c r="T43" s="407"/>
      <c r="V43" s="224"/>
      <c r="W43" s="225"/>
    </row>
    <row r="44" spans="2:23" ht="17" customHeight="1">
      <c r="B44" s="204" t="s">
        <v>126</v>
      </c>
      <c r="C44" s="205" t="s">
        <v>208</v>
      </c>
      <c r="D44" s="206" t="s">
        <v>121</v>
      </c>
      <c r="E44" s="115">
        <v>0</v>
      </c>
      <c r="F44" s="96">
        <v>1.6799999999999999E-2</v>
      </c>
      <c r="G44" s="114">
        <v>1.6799999999999999E-2</v>
      </c>
      <c r="H44" s="94">
        <v>1.6799999999999999E-2</v>
      </c>
      <c r="I44" s="116">
        <v>0</v>
      </c>
      <c r="L44" s="271"/>
      <c r="N44" s="318" t="s">
        <v>209</v>
      </c>
      <c r="O44" s="319" t="s">
        <v>129</v>
      </c>
      <c r="P44" s="320" t="s">
        <v>130</v>
      </c>
      <c r="Q44" s="25">
        <v>100</v>
      </c>
      <c r="R44" s="408"/>
      <c r="S44" s="406"/>
      <c r="T44" s="407"/>
      <c r="V44" s="224"/>
      <c r="W44" s="225"/>
    </row>
    <row r="45" spans="2:23" ht="17" customHeight="1">
      <c r="B45" s="204" t="s">
        <v>131</v>
      </c>
      <c r="C45" s="205" t="s">
        <v>210</v>
      </c>
      <c r="D45" s="206" t="s">
        <v>121</v>
      </c>
      <c r="E45" s="115">
        <v>0</v>
      </c>
      <c r="F45" s="96">
        <v>0.31897827245087301</v>
      </c>
      <c r="G45" s="114">
        <v>0.31961409763508913</v>
      </c>
      <c r="H45" s="94">
        <v>0.32024876281965403</v>
      </c>
      <c r="I45" s="116">
        <v>0</v>
      </c>
      <c r="L45" s="271"/>
      <c r="N45" s="318" t="s">
        <v>211</v>
      </c>
      <c r="O45" s="319" t="s">
        <v>134</v>
      </c>
      <c r="P45" s="320" t="s">
        <v>130</v>
      </c>
      <c r="Q45" s="23">
        <v>1</v>
      </c>
      <c r="R45" s="217"/>
      <c r="T45" s="271"/>
      <c r="V45" s="224"/>
      <c r="W45" s="225"/>
    </row>
    <row r="46" spans="2:23" ht="17" customHeight="1" thickBot="1">
      <c r="B46" s="229" t="s">
        <v>212</v>
      </c>
      <c r="C46" s="230" t="s">
        <v>136</v>
      </c>
      <c r="D46" s="231" t="s">
        <v>137</v>
      </c>
      <c r="E46" s="122">
        <v>0</v>
      </c>
      <c r="F46" s="158">
        <v>214.89452793314348</v>
      </c>
      <c r="G46" s="159">
        <v>151.02462144651173</v>
      </c>
      <c r="H46" s="160">
        <v>116.63271449546308</v>
      </c>
      <c r="I46" s="126">
        <v>0</v>
      </c>
      <c r="J46" s="259"/>
      <c r="K46" s="259"/>
      <c r="L46" s="299"/>
      <c r="N46" s="321" t="s">
        <v>138</v>
      </c>
      <c r="O46" s="322" t="s">
        <v>139</v>
      </c>
      <c r="P46" s="323" t="s">
        <v>140</v>
      </c>
      <c r="Q46" s="24">
        <v>4</v>
      </c>
      <c r="R46" s="412" t="s">
        <v>141</v>
      </c>
      <c r="S46" s="413"/>
      <c r="T46" s="414"/>
      <c r="V46" s="224"/>
      <c r="W46" s="225"/>
    </row>
    <row r="47" spans="2:23" ht="20" customHeight="1">
      <c r="B47" s="300"/>
      <c r="C47" s="324"/>
      <c r="D47" s="206"/>
      <c r="E47" s="300"/>
      <c r="F47" s="300"/>
      <c r="G47" s="302"/>
      <c r="N47" s="208"/>
      <c r="P47" s="41"/>
      <c r="V47" s="224"/>
      <c r="W47" s="225"/>
    </row>
    <row r="48" spans="2:23" ht="17" customHeight="1">
      <c r="N48" s="208"/>
      <c r="P48" s="41"/>
      <c r="V48" s="224"/>
      <c r="W48" s="225"/>
    </row>
    <row r="49" spans="2:23" ht="15" hidden="1" customHeight="1">
      <c r="N49" s="208"/>
      <c r="P49" s="41"/>
      <c r="V49" s="224"/>
      <c r="W49" s="225"/>
    </row>
    <row r="50" spans="2:23" ht="15" hidden="1" customHeight="1">
      <c r="N50" s="208"/>
      <c r="P50" s="41"/>
      <c r="V50" s="224"/>
      <c r="W50" s="225"/>
    </row>
    <row r="51" spans="2:23" ht="15" hidden="1" customHeight="1">
      <c r="N51" s="208"/>
      <c r="P51" s="41"/>
      <c r="R51" s="224"/>
      <c r="S51" s="225"/>
      <c r="T51" s="225"/>
    </row>
    <row r="52" spans="2:23" ht="15" hidden="1" customHeight="1">
      <c r="N52" s="208"/>
      <c r="O52" s="325"/>
      <c r="P52" s="41"/>
      <c r="R52" s="224"/>
      <c r="S52" s="225"/>
      <c r="T52" s="225"/>
    </row>
    <row r="53" spans="2:23" ht="14" hidden="1" customHeight="1">
      <c r="F53" s="326" t="s">
        <v>213</v>
      </c>
      <c r="G53" s="327"/>
      <c r="H53" s="327"/>
      <c r="I53" s="327"/>
      <c r="J53" s="327"/>
      <c r="K53" s="327"/>
      <c r="L53" s="327"/>
      <c r="M53" s="327"/>
      <c r="O53" s="208"/>
      <c r="P53" s="41"/>
      <c r="R53" s="224"/>
      <c r="S53" s="225"/>
      <c r="T53" s="225"/>
    </row>
    <row r="54" spans="2:23" ht="14" hidden="1" customHeight="1">
      <c r="G54" s="36"/>
      <c r="P54" s="41"/>
      <c r="R54" s="224"/>
      <c r="S54" s="225"/>
      <c r="T54" s="225"/>
    </row>
    <row r="55" spans="2:23" ht="14" hidden="1" customHeight="1">
      <c r="G55" s="36"/>
      <c r="P55" s="41"/>
      <c r="R55" s="224"/>
      <c r="S55" s="225"/>
      <c r="T55" s="225"/>
    </row>
    <row r="56" spans="2:23" ht="14" hidden="1" customHeight="1">
      <c r="G56" s="36"/>
      <c r="I56" s="37"/>
      <c r="P56" s="41"/>
      <c r="R56" s="224"/>
      <c r="S56" s="225"/>
      <c r="T56" s="225"/>
    </row>
    <row r="57" spans="2:23" ht="14" hidden="1" customHeight="1">
      <c r="B57" s="325"/>
      <c r="C57" s="328"/>
      <c r="D57" s="329"/>
      <c r="G57" s="36"/>
      <c r="P57" s="41"/>
      <c r="R57" s="224"/>
      <c r="S57" s="225"/>
      <c r="T57" s="225"/>
    </row>
    <row r="58" spans="2:23" ht="14.25" hidden="1" customHeight="1">
      <c r="D58" s="329"/>
      <c r="G58" s="36"/>
      <c r="P58" s="41"/>
      <c r="R58" s="224"/>
      <c r="S58" s="225"/>
      <c r="T58" s="225"/>
    </row>
    <row r="59" spans="2:23" ht="14.25" hidden="1" customHeight="1">
      <c r="D59" s="329"/>
      <c r="G59" s="36"/>
      <c r="P59" s="41"/>
      <c r="R59" s="224"/>
      <c r="S59" s="225"/>
      <c r="T59" s="225"/>
    </row>
    <row r="60" spans="2:23" ht="14.25" hidden="1" customHeight="1">
      <c r="D60" s="329"/>
      <c r="G60" s="36"/>
      <c r="P60" s="41"/>
      <c r="R60" s="224"/>
      <c r="S60" s="225"/>
      <c r="T60" s="225"/>
    </row>
    <row r="61" spans="2:23" hidden="1">
      <c r="D61" s="329"/>
      <c r="G61" s="36"/>
      <c r="P61" s="41"/>
      <c r="R61" s="224"/>
      <c r="T61" s="225"/>
    </row>
    <row r="62" spans="2:23" hidden="1">
      <c r="D62" s="329"/>
      <c r="G62" s="36"/>
      <c r="P62" s="41"/>
      <c r="R62" s="224"/>
      <c r="T62" s="225"/>
    </row>
    <row r="63" spans="2:23" hidden="1">
      <c r="D63" s="329"/>
      <c r="G63" s="36"/>
      <c r="P63" s="41"/>
      <c r="R63" s="224"/>
      <c r="T63" s="225"/>
    </row>
    <row r="64" spans="2:23" hidden="1">
      <c r="D64" s="329"/>
      <c r="G64" s="36"/>
      <c r="P64" s="41"/>
      <c r="R64" s="224"/>
      <c r="T64" s="225"/>
    </row>
    <row r="65" spans="7:20" hidden="1">
      <c r="G65" s="36"/>
      <c r="P65" s="41"/>
      <c r="R65" s="224"/>
      <c r="T65" s="225"/>
    </row>
    <row r="66" spans="7:20" hidden="1">
      <c r="G66" s="36"/>
      <c r="P66" s="41"/>
      <c r="R66" s="224"/>
      <c r="T66" s="225"/>
    </row>
    <row r="67" spans="7:20" hidden="1">
      <c r="G67" s="36"/>
      <c r="P67" s="41"/>
      <c r="R67" s="224"/>
      <c r="T67" s="225"/>
    </row>
    <row r="68" spans="7:20" hidden="1">
      <c r="G68" s="36"/>
      <c r="P68" s="41"/>
      <c r="R68" s="224"/>
      <c r="T68" s="225"/>
    </row>
    <row r="69" spans="7:20" hidden="1">
      <c r="G69" s="36"/>
      <c r="P69" s="41"/>
      <c r="R69" s="224"/>
      <c r="T69" s="225"/>
    </row>
    <row r="70" spans="7:20" hidden="1">
      <c r="G70" s="36"/>
      <c r="P70" s="41"/>
      <c r="R70" s="224"/>
      <c r="T70" s="225"/>
    </row>
    <row r="71" spans="7:20" hidden="1">
      <c r="G71" s="36"/>
      <c r="P71" s="41"/>
      <c r="R71" s="224"/>
      <c r="T71" s="225"/>
    </row>
    <row r="72" spans="7:20" hidden="1">
      <c r="G72" s="36"/>
      <c r="P72" s="41"/>
      <c r="R72" s="224"/>
      <c r="T72" s="225"/>
    </row>
    <row r="73" spans="7:20" hidden="1">
      <c r="G73" s="36"/>
      <c r="P73" s="41"/>
      <c r="R73" s="224"/>
      <c r="T73" s="225"/>
    </row>
    <row r="74" spans="7:20" hidden="1">
      <c r="G74" s="36"/>
      <c r="P74" s="41"/>
      <c r="R74" s="224"/>
      <c r="T74" s="225"/>
    </row>
    <row r="75" spans="7:20" hidden="1">
      <c r="G75" s="36"/>
      <c r="P75" s="41"/>
      <c r="R75" s="224"/>
      <c r="T75" s="225"/>
    </row>
    <row r="76" spans="7:20" hidden="1">
      <c r="G76" s="36"/>
      <c r="P76" s="41"/>
      <c r="R76" s="224"/>
      <c r="T76" s="225"/>
    </row>
    <row r="77" spans="7:20" hidden="1">
      <c r="G77" s="36"/>
      <c r="P77" s="41"/>
      <c r="R77" s="224"/>
      <c r="T77" s="225"/>
    </row>
    <row r="78" spans="7:20" hidden="1">
      <c r="G78" s="36"/>
      <c r="P78" s="41"/>
      <c r="R78" s="224"/>
      <c r="T78" s="225"/>
    </row>
    <row r="79" spans="7:20" hidden="1">
      <c r="G79" s="36"/>
      <c r="P79" s="41"/>
      <c r="R79" s="224"/>
      <c r="T79" s="225"/>
    </row>
    <row r="80" spans="7:20" hidden="1">
      <c r="G80" s="36"/>
      <c r="P80" s="41"/>
      <c r="R80" s="224"/>
      <c r="T80" s="225"/>
    </row>
    <row r="81" spans="7:20" hidden="1">
      <c r="G81" s="36"/>
      <c r="P81" s="41"/>
      <c r="R81" s="224"/>
      <c r="T81" s="225"/>
    </row>
    <row r="82" spans="7:20" hidden="1">
      <c r="G82" s="36"/>
      <c r="P82" s="41"/>
      <c r="R82" s="224"/>
      <c r="T82" s="225"/>
    </row>
    <row r="83" spans="7:20" hidden="1">
      <c r="G83" s="36"/>
      <c r="P83" s="41"/>
      <c r="R83" s="224"/>
      <c r="T83" s="225"/>
    </row>
    <row r="84" spans="7:20" hidden="1">
      <c r="G84" s="36"/>
      <c r="P84" s="41"/>
      <c r="R84" s="224"/>
      <c r="T84" s="225"/>
    </row>
    <row r="85" spans="7:20" hidden="1">
      <c r="G85" s="36"/>
      <c r="P85" s="41"/>
      <c r="R85" s="224"/>
      <c r="T85" s="225"/>
    </row>
    <row r="86" spans="7:20" hidden="1">
      <c r="G86" s="36"/>
      <c r="P86" s="41"/>
      <c r="R86" s="224"/>
      <c r="T86" s="225"/>
    </row>
    <row r="87" spans="7:20" hidden="1">
      <c r="G87" s="36"/>
      <c r="P87" s="41"/>
      <c r="R87" s="224"/>
      <c r="T87" s="225"/>
    </row>
    <row r="88" spans="7:20" hidden="1">
      <c r="G88" s="36"/>
      <c r="P88" s="41"/>
      <c r="R88" s="224"/>
      <c r="T88" s="225"/>
    </row>
    <row r="89" spans="7:20" hidden="1">
      <c r="G89" s="36"/>
      <c r="P89" s="41"/>
      <c r="R89" s="224"/>
      <c r="T89" s="225"/>
    </row>
    <row r="90" spans="7:20" hidden="1">
      <c r="G90" s="36"/>
      <c r="P90" s="41"/>
      <c r="R90" s="224"/>
      <c r="T90" s="225"/>
    </row>
    <row r="91" spans="7:20" hidden="1">
      <c r="G91" s="36"/>
      <c r="P91" s="41"/>
      <c r="R91" s="224"/>
      <c r="T91" s="225"/>
    </row>
    <row r="92" spans="7:20" hidden="1">
      <c r="G92" s="36"/>
      <c r="P92" s="41"/>
      <c r="R92" s="224"/>
      <c r="T92" s="225"/>
    </row>
    <row r="93" spans="7:20" hidden="1">
      <c r="G93" s="36"/>
      <c r="P93" s="41"/>
      <c r="R93" s="224"/>
      <c r="T93" s="225"/>
    </row>
    <row r="94" spans="7:20" hidden="1">
      <c r="G94" s="36"/>
      <c r="P94" s="41"/>
      <c r="R94" s="224"/>
      <c r="T94" s="225"/>
    </row>
    <row r="95" spans="7:20" hidden="1">
      <c r="G95" s="36"/>
      <c r="P95" s="41"/>
      <c r="R95" s="224"/>
      <c r="T95" s="225"/>
    </row>
    <row r="96" spans="7:20" hidden="1">
      <c r="G96" s="36"/>
      <c r="P96" s="41"/>
      <c r="R96" s="224"/>
      <c r="T96" s="225"/>
    </row>
    <row r="97" spans="7:20" hidden="1">
      <c r="G97" s="36"/>
      <c r="P97" s="41"/>
      <c r="R97" s="224"/>
      <c r="T97" s="225"/>
    </row>
    <row r="98" spans="7:20" hidden="1">
      <c r="G98" s="36"/>
      <c r="P98" s="41"/>
      <c r="R98" s="224"/>
      <c r="T98" s="225"/>
    </row>
    <row r="99" spans="7:20" hidden="1">
      <c r="G99" s="36"/>
      <c r="P99" s="41"/>
      <c r="R99" s="224"/>
      <c r="T99" s="225"/>
    </row>
    <row r="100" spans="7:20" hidden="1">
      <c r="G100" s="36"/>
      <c r="P100" s="41"/>
      <c r="R100" s="224"/>
      <c r="T100" s="225"/>
    </row>
    <row r="101" spans="7:20" hidden="1">
      <c r="G101" s="36"/>
      <c r="P101" s="41"/>
      <c r="R101" s="224"/>
      <c r="T101" s="225"/>
    </row>
    <row r="102" spans="7:20" hidden="1">
      <c r="G102" s="36"/>
      <c r="P102" s="41"/>
      <c r="R102" s="224"/>
      <c r="T102" s="225"/>
    </row>
    <row r="103" spans="7:20" hidden="1">
      <c r="G103" s="36"/>
      <c r="P103" s="41"/>
      <c r="R103" s="224"/>
      <c r="T103" s="225"/>
    </row>
    <row r="104" spans="7:20" hidden="1">
      <c r="G104" s="36"/>
      <c r="P104" s="41"/>
      <c r="R104" s="224"/>
      <c r="T104" s="225"/>
    </row>
    <row r="105" spans="7:20" hidden="1">
      <c r="G105" s="36"/>
      <c r="P105" s="41"/>
      <c r="R105" s="224"/>
      <c r="T105" s="225"/>
    </row>
    <row r="106" spans="7:20" hidden="1">
      <c r="G106" s="36"/>
      <c r="P106" s="41"/>
      <c r="R106" s="224"/>
      <c r="T106" s="225"/>
    </row>
    <row r="107" spans="7:20" hidden="1">
      <c r="G107" s="36"/>
      <c r="P107" s="41"/>
      <c r="R107" s="224"/>
      <c r="T107" s="225"/>
    </row>
    <row r="108" spans="7:20" hidden="1">
      <c r="G108" s="36"/>
      <c r="P108" s="41"/>
      <c r="R108" s="224"/>
      <c r="T108" s="225"/>
    </row>
    <row r="109" spans="7:20" hidden="1">
      <c r="G109" s="36"/>
      <c r="P109" s="41"/>
      <c r="R109" s="224"/>
      <c r="T109" s="225"/>
    </row>
    <row r="110" spans="7:20" hidden="1">
      <c r="G110" s="36"/>
      <c r="P110" s="41"/>
      <c r="R110" s="224"/>
      <c r="T110" s="225"/>
    </row>
    <row r="111" spans="7:20" hidden="1">
      <c r="G111" s="36"/>
      <c r="P111" s="41"/>
      <c r="R111" s="224"/>
      <c r="T111" s="225"/>
    </row>
    <row r="112" spans="7:20" hidden="1">
      <c r="G112" s="36"/>
      <c r="P112" s="41"/>
      <c r="R112" s="224"/>
      <c r="T112" s="225"/>
    </row>
    <row r="113" spans="7:20" hidden="1">
      <c r="G113" s="36"/>
      <c r="P113" s="41"/>
      <c r="R113" s="224"/>
      <c r="T113" s="225"/>
    </row>
    <row r="114" spans="7:20" hidden="1">
      <c r="G114" s="36"/>
      <c r="P114" s="41"/>
      <c r="R114" s="224"/>
      <c r="T114" s="225"/>
    </row>
    <row r="115" spans="7:20" hidden="1">
      <c r="G115" s="36"/>
      <c r="P115" s="41"/>
      <c r="R115" s="224"/>
      <c r="T115" s="225"/>
    </row>
    <row r="116" spans="7:20" hidden="1">
      <c r="G116" s="36"/>
      <c r="P116" s="41"/>
      <c r="R116" s="224"/>
      <c r="T116" s="225"/>
    </row>
    <row r="117" spans="7:20" hidden="1">
      <c r="G117" s="36"/>
      <c r="P117" s="41"/>
      <c r="R117" s="224"/>
      <c r="T117" s="225"/>
    </row>
    <row r="118" spans="7:20" hidden="1">
      <c r="G118" s="36"/>
      <c r="P118" s="41"/>
      <c r="R118" s="224"/>
      <c r="T118" s="225"/>
    </row>
    <row r="119" spans="7:20" hidden="1">
      <c r="G119" s="36"/>
      <c r="P119" s="41"/>
      <c r="R119" s="224"/>
      <c r="T119" s="225"/>
    </row>
    <row r="120" spans="7:20" hidden="1">
      <c r="G120" s="36"/>
      <c r="P120" s="41"/>
      <c r="R120" s="224"/>
      <c r="T120" s="225"/>
    </row>
    <row r="121" spans="7:20" hidden="1">
      <c r="G121" s="36"/>
      <c r="P121" s="41"/>
      <c r="R121" s="224"/>
      <c r="T121" s="225"/>
    </row>
    <row r="122" spans="7:20" hidden="1">
      <c r="G122" s="36"/>
      <c r="P122" s="41"/>
      <c r="R122" s="224"/>
      <c r="T122" s="225"/>
    </row>
    <row r="123" spans="7:20" hidden="1">
      <c r="G123" s="36"/>
      <c r="P123" s="41"/>
      <c r="R123" s="224"/>
      <c r="T123" s="225"/>
    </row>
    <row r="124" spans="7:20" hidden="1">
      <c r="G124" s="36"/>
      <c r="P124" s="41"/>
      <c r="R124" s="224"/>
      <c r="T124" s="225"/>
    </row>
    <row r="125" spans="7:20" hidden="1">
      <c r="G125" s="36"/>
      <c r="P125" s="41"/>
      <c r="R125" s="224"/>
      <c r="T125" s="225"/>
    </row>
    <row r="126" spans="7:20" hidden="1">
      <c r="G126" s="36"/>
      <c r="P126" s="41"/>
      <c r="R126" s="224"/>
      <c r="T126" s="225"/>
    </row>
    <row r="127" spans="7:20" hidden="1">
      <c r="G127" s="36"/>
      <c r="P127" s="41"/>
      <c r="R127" s="224"/>
      <c r="T127" s="225"/>
    </row>
    <row r="128" spans="7:20" hidden="1">
      <c r="G128" s="36"/>
      <c r="P128" s="41"/>
      <c r="R128" s="224"/>
      <c r="T128" s="225"/>
    </row>
    <row r="129" spans="7:20" hidden="1">
      <c r="G129" s="36"/>
      <c r="P129" s="41"/>
      <c r="R129" s="224"/>
      <c r="T129" s="225"/>
    </row>
    <row r="130" spans="7:20" hidden="1">
      <c r="G130" s="36"/>
      <c r="P130" s="41"/>
      <c r="R130" s="224"/>
      <c r="T130" s="225"/>
    </row>
    <row r="131" spans="7:20" hidden="1">
      <c r="G131" s="36"/>
      <c r="P131" s="41"/>
      <c r="R131" s="224"/>
      <c r="T131" s="225"/>
    </row>
    <row r="132" spans="7:20" hidden="1">
      <c r="G132" s="36"/>
      <c r="P132" s="41"/>
      <c r="R132" s="224"/>
      <c r="T132" s="225"/>
    </row>
    <row r="133" spans="7:20" hidden="1">
      <c r="G133" s="36"/>
      <c r="P133" s="41"/>
      <c r="R133" s="224"/>
      <c r="T133" s="225"/>
    </row>
    <row r="134" spans="7:20" hidden="1">
      <c r="G134" s="36"/>
      <c r="P134" s="41"/>
      <c r="R134" s="224"/>
      <c r="T134" s="225"/>
    </row>
    <row r="135" spans="7:20" hidden="1">
      <c r="G135" s="36"/>
      <c r="P135" s="41"/>
      <c r="R135" s="224"/>
      <c r="T135" s="225"/>
    </row>
    <row r="136" spans="7:20" hidden="1">
      <c r="G136" s="36"/>
      <c r="P136" s="41"/>
      <c r="R136" s="224"/>
      <c r="T136" s="225"/>
    </row>
    <row r="137" spans="7:20" hidden="1">
      <c r="G137" s="36"/>
      <c r="P137" s="41"/>
      <c r="R137" s="224"/>
      <c r="T137" s="225"/>
    </row>
    <row r="138" spans="7:20" hidden="1">
      <c r="G138" s="36"/>
      <c r="P138" s="41"/>
      <c r="R138" s="224"/>
      <c r="T138" s="225"/>
    </row>
    <row r="139" spans="7:20" hidden="1">
      <c r="G139" s="36"/>
      <c r="P139" s="41"/>
      <c r="R139" s="224"/>
      <c r="T139" s="225"/>
    </row>
    <row r="140" spans="7:20" hidden="1">
      <c r="G140" s="36"/>
      <c r="P140" s="41"/>
      <c r="R140" s="224"/>
      <c r="T140" s="225"/>
    </row>
    <row r="141" spans="7:20" hidden="1">
      <c r="G141" s="36"/>
      <c r="P141" s="41"/>
      <c r="R141" s="224"/>
      <c r="T141" s="225"/>
    </row>
    <row r="142" spans="7:20" hidden="1">
      <c r="G142" s="36"/>
      <c r="P142" s="41"/>
      <c r="R142" s="224"/>
      <c r="T142" s="225"/>
    </row>
    <row r="143" spans="7:20" hidden="1">
      <c r="G143" s="36"/>
      <c r="P143" s="41"/>
      <c r="R143" s="224"/>
      <c r="T143" s="225"/>
    </row>
    <row r="144" spans="7:20" hidden="1">
      <c r="G144" s="36"/>
      <c r="P144" s="41"/>
      <c r="R144" s="224"/>
      <c r="T144" s="225"/>
    </row>
    <row r="145" spans="7:20" hidden="1">
      <c r="G145" s="36"/>
      <c r="P145" s="41"/>
      <c r="R145" s="224"/>
      <c r="T145" s="225"/>
    </row>
    <row r="146" spans="7:20" hidden="1">
      <c r="G146" s="36"/>
      <c r="P146" s="41"/>
      <c r="R146" s="224"/>
      <c r="T146" s="225"/>
    </row>
    <row r="147" spans="7:20" hidden="1">
      <c r="G147" s="36"/>
      <c r="P147" s="41"/>
      <c r="R147" s="224"/>
      <c r="T147" s="225"/>
    </row>
    <row r="148" spans="7:20" hidden="1">
      <c r="G148" s="36"/>
      <c r="P148" s="41"/>
      <c r="R148" s="224"/>
      <c r="T148" s="225"/>
    </row>
    <row r="149" spans="7:20" hidden="1">
      <c r="G149" s="36"/>
      <c r="P149" s="41"/>
      <c r="R149" s="224"/>
      <c r="T149" s="225"/>
    </row>
    <row r="150" spans="7:20" hidden="1">
      <c r="G150" s="36"/>
      <c r="P150" s="41"/>
      <c r="R150" s="224"/>
      <c r="T150" s="225"/>
    </row>
    <row r="151" spans="7:20" hidden="1">
      <c r="G151" s="36"/>
      <c r="P151" s="41"/>
      <c r="R151" s="224"/>
      <c r="T151" s="225"/>
    </row>
    <row r="152" spans="7:20" hidden="1">
      <c r="G152" s="36"/>
      <c r="P152" s="41"/>
      <c r="R152" s="224"/>
      <c r="T152" s="225"/>
    </row>
    <row r="153" spans="7:20" hidden="1">
      <c r="G153" s="36"/>
      <c r="P153" s="41"/>
      <c r="R153" s="224"/>
      <c r="T153" s="225"/>
    </row>
    <row r="154" spans="7:20" hidden="1">
      <c r="G154" s="36"/>
      <c r="P154" s="41"/>
      <c r="R154" s="224"/>
      <c r="T154" s="225"/>
    </row>
    <row r="155" spans="7:20" hidden="1">
      <c r="G155" s="36"/>
      <c r="P155" s="41"/>
      <c r="R155" s="224"/>
      <c r="T155" s="225"/>
    </row>
    <row r="156" spans="7:20" hidden="1">
      <c r="G156" s="36"/>
      <c r="P156" s="41"/>
      <c r="R156" s="224"/>
      <c r="T156" s="225"/>
    </row>
    <row r="157" spans="7:20" hidden="1">
      <c r="G157" s="36"/>
      <c r="P157" s="41"/>
      <c r="R157" s="224"/>
      <c r="T157" s="225"/>
    </row>
    <row r="158" spans="7:20" hidden="1">
      <c r="G158" s="36"/>
      <c r="P158" s="41"/>
      <c r="R158" s="224"/>
      <c r="T158" s="225"/>
    </row>
    <row r="159" spans="7:20" hidden="1">
      <c r="G159" s="36"/>
      <c r="P159" s="41"/>
      <c r="R159" s="224"/>
      <c r="T159" s="225"/>
    </row>
    <row r="160" spans="7:20" hidden="1">
      <c r="G160" s="36"/>
      <c r="P160" s="41"/>
      <c r="R160" s="224"/>
      <c r="T160" s="225"/>
    </row>
    <row r="161" spans="7:20" hidden="1">
      <c r="G161" s="36"/>
      <c r="P161" s="41"/>
      <c r="R161" s="224"/>
      <c r="T161" s="225"/>
    </row>
    <row r="162" spans="7:20" hidden="1">
      <c r="G162" s="36"/>
      <c r="P162" s="41"/>
      <c r="R162" s="224"/>
      <c r="T162" s="225"/>
    </row>
    <row r="163" spans="7:20" hidden="1">
      <c r="G163" s="36"/>
      <c r="P163" s="41"/>
      <c r="R163" s="224"/>
      <c r="T163" s="225"/>
    </row>
    <row r="164" spans="7:20" hidden="1">
      <c r="G164" s="36"/>
      <c r="P164" s="41"/>
      <c r="R164" s="224"/>
      <c r="T164" s="225"/>
    </row>
    <row r="165" spans="7:20" hidden="1">
      <c r="G165" s="36"/>
      <c r="P165" s="41"/>
      <c r="R165" s="224"/>
      <c r="T165" s="225"/>
    </row>
    <row r="166" spans="7:20" hidden="1">
      <c r="G166" s="36"/>
      <c r="P166" s="41"/>
      <c r="R166" s="224"/>
      <c r="T166" s="225"/>
    </row>
    <row r="167" spans="7:20" hidden="1">
      <c r="G167" s="36"/>
      <c r="P167" s="41"/>
      <c r="R167" s="224"/>
      <c r="T167" s="225"/>
    </row>
    <row r="168" spans="7:20" hidden="1">
      <c r="G168" s="36"/>
      <c r="P168" s="41"/>
      <c r="R168" s="224"/>
      <c r="T168" s="225"/>
    </row>
    <row r="169" spans="7:20" hidden="1">
      <c r="G169" s="36"/>
      <c r="P169" s="41"/>
      <c r="R169" s="224"/>
      <c r="T169" s="225"/>
    </row>
    <row r="170" spans="7:20" hidden="1">
      <c r="G170" s="36"/>
      <c r="P170" s="41"/>
      <c r="R170" s="224"/>
      <c r="T170" s="225"/>
    </row>
    <row r="171" spans="7:20" hidden="1">
      <c r="G171" s="36"/>
      <c r="P171" s="41"/>
      <c r="R171" s="224"/>
      <c r="T171" s="225"/>
    </row>
    <row r="172" spans="7:20" hidden="1">
      <c r="G172" s="36"/>
      <c r="P172" s="41"/>
      <c r="R172" s="224"/>
      <c r="T172" s="225"/>
    </row>
    <row r="173" spans="7:20" hidden="1">
      <c r="G173" s="36"/>
      <c r="P173" s="41"/>
      <c r="R173" s="224"/>
      <c r="T173" s="225"/>
    </row>
    <row r="174" spans="7:20" hidden="1">
      <c r="G174" s="36"/>
      <c r="P174" s="41"/>
      <c r="R174" s="224"/>
      <c r="T174" s="225"/>
    </row>
    <row r="175" spans="7:20" hidden="1">
      <c r="G175" s="36"/>
      <c r="P175" s="41"/>
      <c r="R175" s="224"/>
      <c r="T175" s="225"/>
    </row>
    <row r="176" spans="7:20" hidden="1">
      <c r="G176" s="36"/>
      <c r="P176" s="41"/>
      <c r="R176" s="224"/>
      <c r="T176" s="225"/>
    </row>
    <row r="177" spans="7:20" hidden="1">
      <c r="G177" s="36"/>
      <c r="P177" s="41"/>
      <c r="R177" s="224"/>
      <c r="T177" s="225"/>
    </row>
    <row r="178" spans="7:20" hidden="1">
      <c r="G178" s="36"/>
      <c r="P178" s="41"/>
      <c r="R178" s="224"/>
      <c r="T178" s="225"/>
    </row>
    <row r="179" spans="7:20" hidden="1">
      <c r="G179" s="36"/>
      <c r="P179" s="41"/>
      <c r="R179" s="224"/>
      <c r="T179" s="225"/>
    </row>
    <row r="180" spans="7:20" hidden="1">
      <c r="G180" s="36"/>
      <c r="P180" s="41"/>
      <c r="R180" s="224"/>
      <c r="T180" s="225"/>
    </row>
    <row r="181" spans="7:20" hidden="1">
      <c r="G181" s="36"/>
      <c r="P181" s="41"/>
      <c r="R181" s="224"/>
      <c r="T181" s="225"/>
    </row>
    <row r="182" spans="7:20" hidden="1">
      <c r="G182" s="36"/>
      <c r="P182" s="41"/>
      <c r="R182" s="224"/>
      <c r="T182" s="225"/>
    </row>
    <row r="183" spans="7:20" hidden="1">
      <c r="G183" s="36"/>
      <c r="P183" s="41"/>
      <c r="R183" s="224"/>
      <c r="T183" s="225"/>
    </row>
    <row r="184" spans="7:20" hidden="1">
      <c r="G184" s="36"/>
      <c r="P184" s="41"/>
      <c r="R184" s="224"/>
      <c r="T184" s="225"/>
    </row>
    <row r="185" spans="7:20" hidden="1">
      <c r="G185" s="36"/>
      <c r="P185" s="41"/>
      <c r="R185" s="224"/>
      <c r="T185" s="225"/>
    </row>
    <row r="186" spans="7:20" hidden="1">
      <c r="G186" s="36"/>
      <c r="P186" s="41"/>
      <c r="R186" s="224"/>
      <c r="T186" s="225"/>
    </row>
    <row r="187" spans="7:20" hidden="1">
      <c r="G187" s="36"/>
      <c r="P187" s="41"/>
      <c r="R187" s="224"/>
      <c r="T187" s="225"/>
    </row>
    <row r="188" spans="7:20" hidden="1">
      <c r="G188" s="36"/>
      <c r="P188" s="41"/>
      <c r="R188" s="224"/>
      <c r="T188" s="225"/>
    </row>
    <row r="189" spans="7:20" hidden="1">
      <c r="G189" s="36"/>
      <c r="P189" s="41"/>
      <c r="R189" s="224"/>
      <c r="T189" s="225"/>
    </row>
    <row r="190" spans="7:20" hidden="1">
      <c r="G190" s="36"/>
      <c r="P190" s="41"/>
      <c r="R190" s="224"/>
      <c r="T190" s="225"/>
    </row>
    <row r="191" spans="7:20" hidden="1">
      <c r="G191" s="36"/>
      <c r="P191" s="41"/>
      <c r="R191" s="224"/>
      <c r="T191" s="225"/>
    </row>
    <row r="192" spans="7:20" hidden="1">
      <c r="G192" s="36"/>
      <c r="P192" s="41"/>
      <c r="R192" s="224"/>
      <c r="T192" s="225"/>
    </row>
    <row r="193" spans="7:20" hidden="1">
      <c r="G193" s="36"/>
      <c r="P193" s="41"/>
      <c r="R193" s="224"/>
      <c r="T193" s="225"/>
    </row>
    <row r="194" spans="7:20" hidden="1">
      <c r="G194" s="36"/>
      <c r="P194" s="41"/>
      <c r="R194" s="224"/>
      <c r="T194" s="225"/>
    </row>
    <row r="195" spans="7:20" hidden="1">
      <c r="G195" s="36"/>
      <c r="P195" s="41"/>
      <c r="R195" s="224"/>
      <c r="T195" s="225"/>
    </row>
    <row r="196" spans="7:20" hidden="1">
      <c r="G196" s="36"/>
      <c r="P196" s="41"/>
      <c r="R196" s="224"/>
      <c r="T196" s="225"/>
    </row>
    <row r="197" spans="7:20" hidden="1">
      <c r="G197" s="36"/>
      <c r="P197" s="41"/>
      <c r="R197" s="224"/>
      <c r="T197" s="225"/>
    </row>
    <row r="198" spans="7:20" hidden="1">
      <c r="G198" s="36"/>
      <c r="P198" s="41"/>
      <c r="R198" s="224"/>
      <c r="T198" s="225"/>
    </row>
    <row r="199" spans="7:20" hidden="1">
      <c r="G199" s="36"/>
      <c r="P199" s="41"/>
      <c r="R199" s="224"/>
      <c r="T199" s="225"/>
    </row>
    <row r="200" spans="7:20" hidden="1">
      <c r="G200" s="36"/>
      <c r="P200" s="41"/>
      <c r="R200" s="224"/>
      <c r="T200" s="225"/>
    </row>
    <row r="201" spans="7:20" hidden="1">
      <c r="G201" s="36"/>
      <c r="P201" s="41"/>
      <c r="R201" s="224"/>
      <c r="T201" s="225"/>
    </row>
    <row r="202" spans="7:20" hidden="1">
      <c r="G202" s="36"/>
      <c r="P202" s="41"/>
      <c r="R202" s="224"/>
      <c r="T202" s="225"/>
    </row>
    <row r="203" spans="7:20" hidden="1">
      <c r="G203" s="36"/>
      <c r="P203" s="41"/>
      <c r="R203" s="224"/>
      <c r="T203" s="225"/>
    </row>
    <row r="204" spans="7:20" hidden="1">
      <c r="G204" s="36"/>
      <c r="P204" s="41"/>
      <c r="R204" s="224"/>
      <c r="T204" s="225"/>
    </row>
    <row r="205" spans="7:20" hidden="1">
      <c r="G205" s="36"/>
      <c r="P205" s="41"/>
      <c r="R205" s="224"/>
      <c r="T205" s="225"/>
    </row>
    <row r="206" spans="7:20" hidden="1">
      <c r="G206" s="36"/>
      <c r="P206" s="41"/>
      <c r="R206" s="224"/>
      <c r="T206" s="225"/>
    </row>
    <row r="207" spans="7:20" hidden="1">
      <c r="G207" s="36"/>
      <c r="P207" s="41"/>
      <c r="R207" s="224"/>
      <c r="T207" s="225"/>
    </row>
    <row r="208" spans="7:20" hidden="1">
      <c r="G208" s="36"/>
      <c r="P208" s="41"/>
      <c r="R208" s="224"/>
      <c r="T208" s="225"/>
    </row>
    <row r="209" spans="7:20" hidden="1">
      <c r="G209" s="36"/>
      <c r="P209" s="41"/>
      <c r="R209" s="224"/>
      <c r="T209" s="225"/>
    </row>
    <row r="210" spans="7:20" hidden="1">
      <c r="G210" s="36"/>
      <c r="P210" s="41"/>
      <c r="R210" s="224"/>
      <c r="T210" s="225"/>
    </row>
    <row r="211" spans="7:20" hidden="1">
      <c r="G211" s="36"/>
      <c r="P211" s="41"/>
      <c r="R211" s="224"/>
      <c r="T211" s="225"/>
    </row>
    <row r="212" spans="7:20" hidden="1">
      <c r="G212" s="36"/>
      <c r="P212" s="41"/>
      <c r="R212" s="224"/>
      <c r="T212" s="225"/>
    </row>
    <row r="213" spans="7:20" hidden="1">
      <c r="G213" s="36"/>
      <c r="P213" s="41"/>
      <c r="R213" s="224"/>
      <c r="T213" s="225"/>
    </row>
    <row r="214" spans="7:20" hidden="1">
      <c r="G214" s="36"/>
      <c r="P214" s="41"/>
      <c r="R214" s="224"/>
      <c r="T214" s="225"/>
    </row>
    <row r="215" spans="7:20" hidden="1">
      <c r="G215" s="36"/>
      <c r="P215" s="41"/>
      <c r="R215" s="224"/>
      <c r="T215" s="225"/>
    </row>
    <row r="216" spans="7:20" hidden="1">
      <c r="G216" s="36"/>
      <c r="P216" s="41"/>
      <c r="R216" s="224"/>
      <c r="T216" s="225"/>
    </row>
    <row r="217" spans="7:20" hidden="1">
      <c r="G217" s="36"/>
      <c r="P217" s="41"/>
      <c r="R217" s="224"/>
      <c r="T217" s="225"/>
    </row>
    <row r="218" spans="7:20" hidden="1">
      <c r="G218" s="36"/>
      <c r="P218" s="41"/>
      <c r="R218" s="224"/>
      <c r="T218" s="225"/>
    </row>
    <row r="219" spans="7:20" hidden="1">
      <c r="G219" s="36"/>
      <c r="P219" s="41"/>
      <c r="R219" s="224"/>
      <c r="T219" s="225"/>
    </row>
    <row r="220" spans="7:20" hidden="1">
      <c r="G220" s="36"/>
      <c r="P220" s="41"/>
      <c r="R220" s="224"/>
      <c r="T220" s="225"/>
    </row>
    <row r="221" spans="7:20" hidden="1">
      <c r="G221" s="36"/>
      <c r="P221" s="41"/>
      <c r="R221" s="224"/>
      <c r="T221" s="225"/>
    </row>
    <row r="222" spans="7:20" hidden="1">
      <c r="G222" s="36"/>
      <c r="P222" s="41"/>
      <c r="R222" s="224"/>
      <c r="T222" s="225"/>
    </row>
    <row r="223" spans="7:20" hidden="1">
      <c r="G223" s="36"/>
      <c r="P223" s="41"/>
      <c r="R223" s="224"/>
      <c r="T223" s="225"/>
    </row>
    <row r="224" spans="7:20" hidden="1">
      <c r="G224" s="36"/>
      <c r="P224" s="41"/>
      <c r="R224" s="224"/>
      <c r="T224" s="225"/>
    </row>
    <row r="225" spans="7:20" hidden="1">
      <c r="G225" s="36"/>
      <c r="P225" s="41"/>
      <c r="R225" s="224"/>
      <c r="T225" s="225"/>
    </row>
    <row r="226" spans="7:20" hidden="1">
      <c r="G226" s="36"/>
      <c r="P226" s="41"/>
      <c r="R226" s="224"/>
      <c r="T226" s="225"/>
    </row>
    <row r="227" spans="7:20" hidden="1">
      <c r="G227" s="36"/>
      <c r="P227" s="41"/>
      <c r="R227" s="224"/>
      <c r="T227" s="225"/>
    </row>
    <row r="228" spans="7:20" hidden="1">
      <c r="G228" s="36"/>
      <c r="P228" s="41"/>
      <c r="R228" s="224"/>
      <c r="T228" s="225"/>
    </row>
    <row r="229" spans="7:20" hidden="1">
      <c r="G229" s="36"/>
      <c r="P229" s="41"/>
      <c r="R229" s="224"/>
      <c r="T229" s="225"/>
    </row>
    <row r="230" spans="7:20" hidden="1">
      <c r="G230" s="36"/>
      <c r="P230" s="41"/>
      <c r="R230" s="224"/>
      <c r="T230" s="225"/>
    </row>
    <row r="231" spans="7:20" hidden="1">
      <c r="G231" s="36"/>
      <c r="P231" s="41"/>
      <c r="R231" s="224"/>
      <c r="T231" s="225"/>
    </row>
    <row r="232" spans="7:20" hidden="1">
      <c r="G232" s="36"/>
      <c r="P232" s="41"/>
      <c r="R232" s="224"/>
      <c r="T232" s="225"/>
    </row>
    <row r="233" spans="7:20" hidden="1">
      <c r="G233" s="36"/>
      <c r="P233" s="41"/>
      <c r="R233" s="224"/>
      <c r="T233" s="225"/>
    </row>
    <row r="234" spans="7:20" hidden="1">
      <c r="G234" s="36"/>
      <c r="P234" s="41"/>
      <c r="R234" s="224"/>
      <c r="T234" s="225"/>
    </row>
    <row r="235" spans="7:20" hidden="1">
      <c r="G235" s="36"/>
      <c r="P235" s="41"/>
      <c r="R235" s="224"/>
      <c r="T235" s="225"/>
    </row>
    <row r="236" spans="7:20" hidden="1">
      <c r="G236" s="36"/>
      <c r="P236" s="41"/>
      <c r="R236" s="224"/>
      <c r="T236" s="225"/>
    </row>
    <row r="237" spans="7:20" hidden="1">
      <c r="G237" s="36"/>
      <c r="P237" s="41"/>
      <c r="R237" s="224"/>
      <c r="T237" s="225"/>
    </row>
    <row r="238" spans="7:20" hidden="1">
      <c r="G238" s="36"/>
      <c r="P238" s="41"/>
      <c r="R238" s="224"/>
      <c r="T238" s="225"/>
    </row>
    <row r="239" spans="7:20" hidden="1">
      <c r="G239" s="36"/>
      <c r="P239" s="41"/>
      <c r="R239" s="224"/>
      <c r="T239" s="225"/>
    </row>
    <row r="240" spans="7:20" hidden="1">
      <c r="G240" s="36"/>
      <c r="P240" s="41"/>
      <c r="R240" s="224"/>
      <c r="T240" s="225"/>
    </row>
    <row r="241" spans="7:20" hidden="1">
      <c r="G241" s="36"/>
      <c r="P241" s="41"/>
      <c r="R241" s="224"/>
      <c r="T241" s="225"/>
    </row>
    <row r="242" spans="7:20" hidden="1">
      <c r="G242" s="36"/>
      <c r="P242" s="41"/>
      <c r="R242" s="224"/>
      <c r="T242" s="225"/>
    </row>
    <row r="243" spans="7:20" hidden="1">
      <c r="G243" s="36"/>
      <c r="P243" s="41"/>
      <c r="R243" s="224"/>
      <c r="T243" s="225"/>
    </row>
    <row r="244" spans="7:20" hidden="1">
      <c r="G244" s="36"/>
      <c r="P244" s="41"/>
      <c r="R244" s="224"/>
      <c r="T244" s="225"/>
    </row>
    <row r="245" spans="7:20" hidden="1">
      <c r="G245" s="36"/>
      <c r="P245" s="41"/>
      <c r="R245" s="224"/>
      <c r="T245" s="225"/>
    </row>
    <row r="246" spans="7:20" hidden="1">
      <c r="G246" s="36"/>
      <c r="P246" s="41"/>
      <c r="R246" s="224"/>
      <c r="T246" s="225"/>
    </row>
    <row r="247" spans="7:20" hidden="1">
      <c r="G247" s="36"/>
      <c r="P247" s="41"/>
      <c r="R247" s="224"/>
      <c r="T247" s="225"/>
    </row>
    <row r="248" spans="7:20" hidden="1">
      <c r="G248" s="36"/>
      <c r="P248" s="41"/>
      <c r="R248" s="224"/>
      <c r="T248" s="225"/>
    </row>
    <row r="249" spans="7:20" hidden="1">
      <c r="G249" s="36"/>
      <c r="P249" s="41"/>
      <c r="R249" s="224"/>
      <c r="T249" s="225"/>
    </row>
    <row r="250" spans="7:20" hidden="1">
      <c r="G250" s="36"/>
      <c r="P250" s="41"/>
      <c r="R250" s="224"/>
      <c r="T250" s="225"/>
    </row>
    <row r="251" spans="7:20" hidden="1">
      <c r="G251" s="36"/>
      <c r="P251" s="41"/>
      <c r="R251" s="224"/>
      <c r="T251" s="225"/>
    </row>
    <row r="252" spans="7:20" hidden="1">
      <c r="G252" s="36"/>
      <c r="P252" s="41"/>
      <c r="R252" s="224"/>
      <c r="T252" s="225"/>
    </row>
    <row r="253" spans="7:20" hidden="1">
      <c r="G253" s="36"/>
      <c r="P253" s="41"/>
      <c r="R253" s="224"/>
      <c r="T253" s="225"/>
    </row>
    <row r="254" spans="7:20" hidden="1">
      <c r="G254" s="36"/>
      <c r="P254" s="41"/>
      <c r="R254" s="224"/>
      <c r="T254" s="225"/>
    </row>
    <row r="255" spans="7:20" hidden="1">
      <c r="G255" s="36"/>
      <c r="P255" s="41"/>
      <c r="R255" s="224"/>
      <c r="T255" s="225"/>
    </row>
    <row r="256" spans="7:20" hidden="1">
      <c r="G256" s="36"/>
      <c r="P256" s="41"/>
      <c r="R256" s="224"/>
      <c r="T256" s="225"/>
    </row>
    <row r="257" spans="7:20" hidden="1">
      <c r="G257" s="36"/>
      <c r="P257" s="41"/>
      <c r="R257" s="224"/>
      <c r="T257" s="225"/>
    </row>
    <row r="258" spans="7:20" hidden="1">
      <c r="G258" s="36"/>
      <c r="P258" s="41"/>
      <c r="R258" s="224"/>
      <c r="T258" s="225"/>
    </row>
    <row r="259" spans="7:20" hidden="1">
      <c r="G259" s="36"/>
      <c r="P259" s="41"/>
      <c r="R259" s="224"/>
      <c r="T259" s="225"/>
    </row>
    <row r="260" spans="7:20" hidden="1">
      <c r="G260" s="36"/>
      <c r="P260" s="41"/>
      <c r="R260" s="224"/>
      <c r="T260" s="225"/>
    </row>
    <row r="261" spans="7:20" hidden="1">
      <c r="G261" s="36"/>
      <c r="P261" s="41"/>
      <c r="R261" s="224"/>
      <c r="T261" s="225"/>
    </row>
    <row r="262" spans="7:20" hidden="1">
      <c r="G262" s="36"/>
      <c r="P262" s="41"/>
      <c r="R262" s="224"/>
      <c r="T262" s="225"/>
    </row>
    <row r="263" spans="7:20" hidden="1">
      <c r="G263" s="36"/>
      <c r="P263" s="41"/>
      <c r="R263" s="224"/>
      <c r="T263" s="225"/>
    </row>
    <row r="264" spans="7:20" hidden="1">
      <c r="G264" s="36"/>
      <c r="P264" s="41"/>
      <c r="R264" s="224"/>
      <c r="T264" s="225"/>
    </row>
    <row r="265" spans="7:20" hidden="1">
      <c r="G265" s="36"/>
      <c r="P265" s="41"/>
      <c r="R265" s="224"/>
      <c r="T265" s="225"/>
    </row>
    <row r="266" spans="7:20" hidden="1">
      <c r="G266" s="36"/>
      <c r="P266" s="41"/>
      <c r="R266" s="224"/>
      <c r="T266" s="225"/>
    </row>
    <row r="267" spans="7:20" hidden="1">
      <c r="G267" s="36"/>
      <c r="P267" s="41"/>
      <c r="R267" s="224"/>
      <c r="T267" s="225"/>
    </row>
    <row r="268" spans="7:20" hidden="1">
      <c r="G268" s="36"/>
      <c r="P268" s="41"/>
      <c r="R268" s="224"/>
      <c r="T268" s="225"/>
    </row>
    <row r="269" spans="7:20" hidden="1">
      <c r="G269" s="36"/>
      <c r="P269" s="41"/>
      <c r="R269" s="224"/>
      <c r="T269" s="225"/>
    </row>
    <row r="270" spans="7:20" hidden="1">
      <c r="G270" s="36"/>
      <c r="P270" s="41"/>
      <c r="R270" s="224"/>
      <c r="T270" s="225"/>
    </row>
    <row r="271" spans="7:20" hidden="1">
      <c r="G271" s="36"/>
      <c r="P271" s="41"/>
      <c r="R271" s="224"/>
      <c r="T271" s="225"/>
    </row>
    <row r="272" spans="7:20" hidden="1">
      <c r="G272" s="36"/>
      <c r="P272" s="41"/>
      <c r="R272" s="224"/>
      <c r="T272" s="225"/>
    </row>
    <row r="273" spans="7:20" hidden="1">
      <c r="G273" s="36"/>
      <c r="P273" s="41"/>
      <c r="R273" s="224"/>
      <c r="T273" s="225"/>
    </row>
    <row r="274" spans="7:20" hidden="1">
      <c r="G274" s="36"/>
      <c r="P274" s="41"/>
      <c r="R274" s="224"/>
      <c r="T274" s="225"/>
    </row>
    <row r="275" spans="7:20" hidden="1">
      <c r="G275" s="36"/>
      <c r="P275" s="41"/>
      <c r="R275" s="224"/>
      <c r="T275" s="225"/>
    </row>
    <row r="276" spans="7:20" hidden="1">
      <c r="G276" s="36"/>
      <c r="P276" s="41"/>
      <c r="R276" s="224"/>
      <c r="T276" s="225"/>
    </row>
    <row r="277" spans="7:20" hidden="1">
      <c r="G277" s="36"/>
      <c r="P277" s="41"/>
      <c r="R277" s="224"/>
      <c r="T277" s="225"/>
    </row>
    <row r="278" spans="7:20" hidden="1">
      <c r="G278" s="36"/>
      <c r="P278" s="41"/>
      <c r="R278" s="224"/>
      <c r="T278" s="225"/>
    </row>
    <row r="279" spans="7:20" hidden="1">
      <c r="G279" s="36"/>
      <c r="P279" s="41"/>
      <c r="R279" s="224"/>
      <c r="T279" s="225"/>
    </row>
    <row r="280" spans="7:20" hidden="1">
      <c r="G280" s="36"/>
      <c r="P280" s="41"/>
      <c r="R280" s="224"/>
      <c r="T280" s="225"/>
    </row>
    <row r="281" spans="7:20" hidden="1">
      <c r="G281" s="36"/>
      <c r="P281" s="41"/>
      <c r="R281" s="224"/>
      <c r="T281" s="225"/>
    </row>
    <row r="282" spans="7:20" hidden="1">
      <c r="G282" s="36"/>
      <c r="P282" s="41"/>
      <c r="R282" s="224"/>
      <c r="T282" s="225"/>
    </row>
    <row r="283" spans="7:20" hidden="1">
      <c r="G283" s="36"/>
      <c r="P283" s="41"/>
      <c r="R283" s="224"/>
      <c r="T283" s="225"/>
    </row>
    <row r="284" spans="7:20" hidden="1">
      <c r="G284" s="36"/>
      <c r="P284" s="41"/>
      <c r="R284" s="224"/>
      <c r="T284" s="225"/>
    </row>
    <row r="285" spans="7:20" hidden="1">
      <c r="G285" s="36"/>
      <c r="P285" s="41"/>
      <c r="R285" s="224"/>
      <c r="T285" s="225"/>
    </row>
    <row r="286" spans="7:20" hidden="1">
      <c r="G286" s="36"/>
      <c r="P286" s="41"/>
      <c r="R286" s="224"/>
      <c r="T286" s="225"/>
    </row>
    <row r="287" spans="7:20" hidden="1">
      <c r="G287" s="36"/>
      <c r="P287" s="41"/>
      <c r="R287" s="224"/>
      <c r="T287" s="225"/>
    </row>
    <row r="288" spans="7:20" hidden="1">
      <c r="G288" s="36"/>
      <c r="P288" s="41"/>
      <c r="R288" s="224"/>
      <c r="T288" s="225"/>
    </row>
    <row r="289" spans="7:20" hidden="1">
      <c r="G289" s="36"/>
      <c r="P289" s="41"/>
      <c r="R289" s="224"/>
      <c r="T289" s="225"/>
    </row>
    <row r="290" spans="7:20" hidden="1">
      <c r="G290" s="36"/>
      <c r="P290" s="41"/>
      <c r="R290" s="224"/>
      <c r="T290" s="225"/>
    </row>
    <row r="291" spans="7:20" hidden="1">
      <c r="G291" s="36"/>
      <c r="P291" s="41"/>
      <c r="R291" s="224"/>
      <c r="T291" s="225"/>
    </row>
    <row r="292" spans="7:20" hidden="1">
      <c r="G292" s="36"/>
      <c r="P292" s="41"/>
      <c r="R292" s="224"/>
      <c r="T292" s="225"/>
    </row>
    <row r="293" spans="7:20" hidden="1">
      <c r="G293" s="36"/>
      <c r="P293" s="41"/>
      <c r="R293" s="224"/>
      <c r="T293" s="225"/>
    </row>
    <row r="294" spans="7:20" hidden="1">
      <c r="G294" s="36"/>
      <c r="P294" s="41"/>
      <c r="R294" s="224"/>
      <c r="T294" s="225"/>
    </row>
    <row r="295" spans="7:20" hidden="1">
      <c r="G295" s="36"/>
      <c r="P295" s="41"/>
      <c r="R295" s="224"/>
      <c r="T295" s="225"/>
    </row>
    <row r="296" spans="7:20" hidden="1">
      <c r="G296" s="36"/>
      <c r="P296" s="41"/>
      <c r="R296" s="224"/>
      <c r="T296" s="225"/>
    </row>
    <row r="297" spans="7:20" hidden="1">
      <c r="G297" s="36"/>
      <c r="P297" s="41"/>
      <c r="R297" s="224"/>
      <c r="T297" s="225"/>
    </row>
    <row r="298" spans="7:20" hidden="1">
      <c r="G298" s="36"/>
      <c r="P298" s="41"/>
      <c r="R298" s="224"/>
      <c r="T298" s="225"/>
    </row>
    <row r="299" spans="7:20" hidden="1">
      <c r="G299" s="36"/>
      <c r="P299" s="41"/>
      <c r="R299" s="224"/>
      <c r="T299" s="225"/>
    </row>
    <row r="300" spans="7:20" hidden="1">
      <c r="G300" s="36"/>
      <c r="P300" s="41"/>
      <c r="R300" s="224"/>
      <c r="T300" s="225"/>
    </row>
    <row r="301" spans="7:20" hidden="1">
      <c r="G301" s="36"/>
      <c r="P301" s="41"/>
      <c r="R301" s="224"/>
      <c r="T301" s="225"/>
    </row>
    <row r="302" spans="7:20" hidden="1">
      <c r="G302" s="36"/>
      <c r="P302" s="41"/>
      <c r="R302" s="224"/>
      <c r="T302" s="225"/>
    </row>
    <row r="303" spans="7:20" hidden="1">
      <c r="G303" s="36"/>
      <c r="P303" s="41"/>
      <c r="R303" s="224"/>
      <c r="T303" s="225"/>
    </row>
    <row r="304" spans="7:20" hidden="1">
      <c r="G304" s="36"/>
      <c r="P304" s="41"/>
      <c r="R304" s="224"/>
      <c r="T304" s="225"/>
    </row>
    <row r="305" spans="7:20" hidden="1">
      <c r="G305" s="36"/>
      <c r="P305" s="41"/>
      <c r="R305" s="224"/>
      <c r="T305" s="225"/>
    </row>
    <row r="306" spans="7:20" hidden="1">
      <c r="G306" s="36"/>
      <c r="P306" s="41"/>
      <c r="R306" s="224"/>
      <c r="T306" s="225"/>
    </row>
    <row r="307" spans="7:20" hidden="1">
      <c r="G307" s="36"/>
      <c r="P307" s="41"/>
      <c r="R307" s="224"/>
      <c r="T307" s="225"/>
    </row>
    <row r="308" spans="7:20" hidden="1">
      <c r="G308" s="36"/>
      <c r="P308" s="41"/>
      <c r="R308" s="224"/>
      <c r="T308" s="225"/>
    </row>
    <row r="309" spans="7:20" hidden="1">
      <c r="G309" s="36"/>
      <c r="P309" s="41"/>
      <c r="R309" s="224"/>
      <c r="T309" s="225"/>
    </row>
    <row r="310" spans="7:20" hidden="1">
      <c r="G310" s="36"/>
      <c r="P310" s="41"/>
      <c r="R310" s="224"/>
      <c r="T310" s="225"/>
    </row>
    <row r="311" spans="7:20" hidden="1">
      <c r="G311" s="36"/>
      <c r="P311" s="41"/>
      <c r="R311" s="224"/>
      <c r="T311" s="225"/>
    </row>
    <row r="312" spans="7:20" hidden="1">
      <c r="G312" s="36"/>
      <c r="P312" s="41"/>
      <c r="R312" s="224"/>
      <c r="T312" s="225"/>
    </row>
    <row r="313" spans="7:20" hidden="1">
      <c r="G313" s="36"/>
      <c r="P313" s="41"/>
      <c r="R313" s="224"/>
      <c r="T313" s="225"/>
    </row>
    <row r="314" spans="7:20" hidden="1">
      <c r="G314" s="36"/>
      <c r="P314" s="41"/>
      <c r="R314" s="224"/>
      <c r="T314" s="225"/>
    </row>
    <row r="315" spans="7:20" hidden="1">
      <c r="G315" s="36"/>
      <c r="P315" s="41"/>
      <c r="R315" s="224"/>
      <c r="T315" s="225"/>
    </row>
    <row r="316" spans="7:20" hidden="1">
      <c r="G316" s="36"/>
      <c r="P316" s="41"/>
      <c r="R316" s="224"/>
      <c r="T316" s="225"/>
    </row>
    <row r="317" spans="7:20" hidden="1">
      <c r="G317" s="36"/>
      <c r="P317" s="41"/>
      <c r="R317" s="224"/>
      <c r="T317" s="225"/>
    </row>
    <row r="318" spans="7:20" hidden="1">
      <c r="G318" s="36"/>
      <c r="P318" s="41"/>
      <c r="R318" s="224"/>
      <c r="T318" s="225"/>
    </row>
    <row r="319" spans="7:20" hidden="1">
      <c r="G319" s="36"/>
      <c r="P319" s="41"/>
      <c r="R319" s="224"/>
      <c r="T319" s="225"/>
    </row>
    <row r="320" spans="7:20" hidden="1">
      <c r="G320" s="36"/>
      <c r="P320" s="41"/>
      <c r="R320" s="224"/>
      <c r="T320" s="225"/>
    </row>
    <row r="321" spans="7:20" hidden="1">
      <c r="G321" s="36"/>
      <c r="P321" s="41"/>
      <c r="R321" s="224"/>
      <c r="T321" s="225"/>
    </row>
    <row r="322" spans="7:20" hidden="1">
      <c r="G322" s="36"/>
      <c r="P322" s="41"/>
      <c r="R322" s="224"/>
      <c r="T322" s="225"/>
    </row>
    <row r="323" spans="7:20" hidden="1">
      <c r="G323" s="36"/>
      <c r="P323" s="41"/>
      <c r="R323" s="224"/>
      <c r="T323" s="225"/>
    </row>
    <row r="324" spans="7:20" hidden="1">
      <c r="G324" s="36"/>
      <c r="P324" s="41"/>
      <c r="R324" s="224"/>
      <c r="T324" s="225"/>
    </row>
    <row r="325" spans="7:20" hidden="1">
      <c r="G325" s="36"/>
      <c r="P325" s="41"/>
      <c r="R325" s="224"/>
      <c r="T325" s="225"/>
    </row>
    <row r="326" spans="7:20" hidden="1">
      <c r="G326" s="36"/>
      <c r="P326" s="41"/>
      <c r="R326" s="224"/>
      <c r="T326" s="225"/>
    </row>
    <row r="327" spans="7:20" hidden="1">
      <c r="G327" s="36"/>
      <c r="P327" s="41"/>
      <c r="R327" s="224"/>
      <c r="T327" s="225"/>
    </row>
    <row r="328" spans="7:20" hidden="1">
      <c r="G328" s="36"/>
      <c r="P328" s="41"/>
      <c r="R328" s="224"/>
      <c r="T328" s="225"/>
    </row>
    <row r="329" spans="7:20" hidden="1">
      <c r="G329" s="36"/>
      <c r="P329" s="41"/>
      <c r="R329" s="224"/>
      <c r="T329" s="225"/>
    </row>
    <row r="330" spans="7:20" hidden="1">
      <c r="G330" s="36"/>
      <c r="P330" s="41"/>
      <c r="R330" s="224"/>
      <c r="T330" s="225"/>
    </row>
    <row r="331" spans="7:20" hidden="1">
      <c r="G331" s="36"/>
      <c r="P331" s="41"/>
      <c r="R331" s="224"/>
      <c r="T331" s="225"/>
    </row>
    <row r="332" spans="7:20" hidden="1">
      <c r="G332" s="36"/>
      <c r="P332" s="41"/>
      <c r="R332" s="224"/>
      <c r="T332" s="225"/>
    </row>
    <row r="333" spans="7:20" hidden="1">
      <c r="G333" s="36"/>
      <c r="P333" s="41"/>
      <c r="R333" s="224"/>
      <c r="T333" s="225"/>
    </row>
    <row r="334" spans="7:20" hidden="1">
      <c r="G334" s="36"/>
      <c r="P334" s="41"/>
      <c r="R334" s="224"/>
      <c r="T334" s="225"/>
    </row>
    <row r="335" spans="7:20" hidden="1">
      <c r="G335" s="36"/>
      <c r="P335" s="41"/>
      <c r="R335" s="224"/>
      <c r="T335" s="225"/>
    </row>
    <row r="336" spans="7:20" hidden="1">
      <c r="G336" s="36"/>
      <c r="P336" s="41"/>
      <c r="R336" s="224"/>
      <c r="T336" s="225"/>
    </row>
    <row r="337" spans="7:20" hidden="1">
      <c r="G337" s="36"/>
      <c r="P337" s="41"/>
      <c r="R337" s="224"/>
      <c r="T337" s="225"/>
    </row>
    <row r="338" spans="7:20" hidden="1">
      <c r="G338" s="36"/>
      <c r="P338" s="41"/>
      <c r="R338" s="224"/>
      <c r="T338" s="225"/>
    </row>
    <row r="339" spans="7:20" hidden="1">
      <c r="G339" s="36"/>
      <c r="P339" s="41"/>
      <c r="R339" s="224"/>
      <c r="T339" s="225"/>
    </row>
    <row r="340" spans="7:20" hidden="1">
      <c r="G340" s="36"/>
      <c r="P340" s="41"/>
      <c r="R340" s="224"/>
      <c r="T340" s="225"/>
    </row>
    <row r="341" spans="7:20" hidden="1">
      <c r="G341" s="36"/>
      <c r="P341" s="41"/>
      <c r="R341" s="224"/>
      <c r="T341" s="225"/>
    </row>
    <row r="342" spans="7:20" hidden="1">
      <c r="G342" s="36"/>
      <c r="P342" s="41"/>
      <c r="R342" s="224"/>
      <c r="T342" s="225"/>
    </row>
    <row r="343" spans="7:20" hidden="1">
      <c r="G343" s="36"/>
      <c r="P343" s="41"/>
      <c r="R343" s="224"/>
      <c r="T343" s="225"/>
    </row>
    <row r="344" spans="7:20" hidden="1">
      <c r="G344" s="36"/>
      <c r="P344" s="41"/>
      <c r="R344" s="224"/>
      <c r="T344" s="225"/>
    </row>
    <row r="345" spans="7:20" hidden="1">
      <c r="G345" s="36"/>
      <c r="P345" s="41"/>
      <c r="R345" s="224"/>
      <c r="T345" s="225"/>
    </row>
    <row r="346" spans="7:20" hidden="1">
      <c r="G346" s="36"/>
      <c r="P346" s="41"/>
      <c r="R346" s="224"/>
      <c r="T346" s="225"/>
    </row>
    <row r="347" spans="7:20" hidden="1">
      <c r="G347" s="36"/>
      <c r="P347" s="41"/>
      <c r="R347" s="224"/>
      <c r="T347" s="225"/>
    </row>
    <row r="348" spans="7:20" hidden="1">
      <c r="G348" s="36"/>
      <c r="P348" s="41"/>
      <c r="R348" s="224"/>
      <c r="T348" s="225"/>
    </row>
    <row r="349" spans="7:20" hidden="1">
      <c r="G349" s="36"/>
      <c r="P349" s="41"/>
      <c r="R349" s="224"/>
      <c r="T349" s="225"/>
    </row>
    <row r="350" spans="7:20" hidden="1">
      <c r="G350" s="36"/>
      <c r="P350" s="41"/>
      <c r="R350" s="224"/>
      <c r="T350" s="225"/>
    </row>
    <row r="351" spans="7:20" hidden="1">
      <c r="G351" s="36"/>
      <c r="P351" s="41"/>
      <c r="R351" s="224"/>
      <c r="T351" s="225"/>
    </row>
    <row r="352" spans="7:20" hidden="1">
      <c r="G352" s="36"/>
      <c r="P352" s="41"/>
      <c r="R352" s="224"/>
      <c r="T352" s="225"/>
    </row>
    <row r="353" spans="7:20" hidden="1">
      <c r="G353" s="36"/>
      <c r="P353" s="41"/>
      <c r="R353" s="224"/>
      <c r="T353" s="225"/>
    </row>
    <row r="354" spans="7:20" hidden="1">
      <c r="G354" s="36"/>
      <c r="P354" s="41"/>
      <c r="R354" s="224"/>
      <c r="T354" s="225"/>
    </row>
    <row r="355" spans="7:20" hidden="1">
      <c r="G355" s="36"/>
      <c r="P355" s="41"/>
      <c r="R355" s="224"/>
      <c r="T355" s="225"/>
    </row>
    <row r="356" spans="7:20" hidden="1">
      <c r="G356" s="36"/>
      <c r="P356" s="41"/>
      <c r="R356" s="224"/>
      <c r="T356" s="225"/>
    </row>
    <row r="357" spans="7:20" hidden="1">
      <c r="G357" s="36"/>
      <c r="P357" s="41"/>
      <c r="R357" s="224"/>
      <c r="T357" s="225"/>
    </row>
    <row r="358" spans="7:20" hidden="1">
      <c r="G358" s="36"/>
      <c r="P358" s="41"/>
      <c r="R358" s="224"/>
      <c r="T358" s="225"/>
    </row>
    <row r="359" spans="7:20" hidden="1">
      <c r="G359" s="36"/>
      <c r="P359" s="41"/>
      <c r="R359" s="224"/>
      <c r="T359" s="225"/>
    </row>
    <row r="360" spans="7:20" hidden="1">
      <c r="G360" s="36"/>
      <c r="P360" s="41"/>
      <c r="R360" s="224"/>
      <c r="T360" s="225"/>
    </row>
    <row r="361" spans="7:20" hidden="1">
      <c r="G361" s="36"/>
      <c r="P361" s="41"/>
      <c r="R361" s="224"/>
      <c r="T361" s="225"/>
    </row>
    <row r="362" spans="7:20" hidden="1">
      <c r="G362" s="36"/>
      <c r="P362" s="41"/>
      <c r="R362" s="224"/>
      <c r="T362" s="225"/>
    </row>
    <row r="363" spans="7:20" hidden="1">
      <c r="G363" s="36"/>
      <c r="P363" s="41"/>
      <c r="R363" s="224"/>
      <c r="T363" s="225"/>
    </row>
    <row r="364" spans="7:20" hidden="1">
      <c r="G364" s="36"/>
      <c r="P364" s="41"/>
      <c r="R364" s="224"/>
      <c r="T364" s="225"/>
    </row>
    <row r="365" spans="7:20" hidden="1">
      <c r="G365" s="36"/>
      <c r="P365" s="41"/>
      <c r="R365" s="224"/>
      <c r="T365" s="225"/>
    </row>
    <row r="366" spans="7:20" hidden="1">
      <c r="G366" s="36"/>
      <c r="P366" s="41"/>
      <c r="R366" s="224"/>
      <c r="T366" s="225"/>
    </row>
    <row r="367" spans="7:20" hidden="1">
      <c r="G367" s="36"/>
      <c r="P367" s="41"/>
      <c r="R367" s="224"/>
      <c r="T367" s="225"/>
    </row>
    <row r="368" spans="7:20" hidden="1">
      <c r="G368" s="36"/>
      <c r="P368" s="41"/>
      <c r="R368" s="224"/>
      <c r="T368" s="225"/>
    </row>
    <row r="369" spans="7:20" hidden="1">
      <c r="G369" s="36"/>
      <c r="P369" s="41"/>
      <c r="R369" s="224"/>
      <c r="T369" s="225"/>
    </row>
    <row r="370" spans="7:20" hidden="1">
      <c r="G370" s="36"/>
      <c r="P370" s="41"/>
      <c r="R370" s="224"/>
      <c r="T370" s="225"/>
    </row>
    <row r="371" spans="7:20" hidden="1">
      <c r="G371" s="36"/>
      <c r="P371" s="41"/>
      <c r="R371" s="224"/>
      <c r="T371" s="225"/>
    </row>
    <row r="372" spans="7:20" hidden="1">
      <c r="G372" s="36"/>
      <c r="P372" s="41"/>
      <c r="R372" s="224"/>
      <c r="T372" s="225"/>
    </row>
    <row r="373" spans="7:20" hidden="1">
      <c r="G373" s="36"/>
      <c r="P373" s="41"/>
      <c r="R373" s="224"/>
      <c r="T373" s="225"/>
    </row>
    <row r="374" spans="7:20" hidden="1">
      <c r="G374" s="36"/>
      <c r="P374" s="41"/>
      <c r="R374" s="224"/>
      <c r="S374" s="225"/>
      <c r="T374" s="225"/>
    </row>
    <row r="375" spans="7:20" hidden="1">
      <c r="G375" s="36"/>
      <c r="P375" s="41"/>
      <c r="R375" s="224"/>
      <c r="S375" s="225"/>
      <c r="T375" s="225"/>
    </row>
    <row r="376" spans="7:20" hidden="1">
      <c r="G376" s="36"/>
      <c r="P376" s="41"/>
      <c r="R376" s="224"/>
      <c r="S376" s="225"/>
      <c r="T376" s="225"/>
    </row>
    <row r="377" spans="7:20" hidden="1">
      <c r="G377" s="36"/>
      <c r="P377" s="41"/>
      <c r="R377" s="224"/>
      <c r="S377" s="225"/>
      <c r="T377" s="225"/>
    </row>
    <row r="378" spans="7:20" hidden="1">
      <c r="G378" s="36"/>
      <c r="P378" s="41"/>
      <c r="R378" s="224"/>
      <c r="S378" s="225"/>
      <c r="T378" s="225"/>
    </row>
    <row r="379" spans="7:20" hidden="1">
      <c r="G379" s="36"/>
      <c r="P379" s="41"/>
      <c r="R379" s="224"/>
      <c r="S379" s="225"/>
      <c r="T379" s="225"/>
    </row>
    <row r="380" spans="7:20" hidden="1">
      <c r="G380" s="36"/>
      <c r="P380" s="41"/>
      <c r="R380" s="224"/>
      <c r="S380" s="225"/>
      <c r="T380" s="225"/>
    </row>
    <row r="381" spans="7:20" hidden="1">
      <c r="G381" s="36"/>
      <c r="P381" s="41"/>
      <c r="R381" s="224"/>
      <c r="S381" s="225"/>
      <c r="T381" s="225"/>
    </row>
    <row r="382" spans="7:20" hidden="1">
      <c r="G382" s="36"/>
      <c r="P382" s="41"/>
      <c r="R382" s="224"/>
      <c r="S382" s="225"/>
      <c r="T382" s="225"/>
    </row>
    <row r="383" spans="7:20" hidden="1">
      <c r="G383" s="36"/>
      <c r="P383" s="41"/>
      <c r="R383" s="224"/>
      <c r="S383" s="225"/>
      <c r="T383" s="225"/>
    </row>
    <row r="384" spans="7:20" hidden="1">
      <c r="G384" s="36"/>
      <c r="P384" s="41"/>
      <c r="R384" s="224"/>
      <c r="S384" s="225"/>
      <c r="T384" s="225"/>
    </row>
    <row r="385" spans="7:20" hidden="1">
      <c r="G385" s="36"/>
      <c r="P385" s="41"/>
      <c r="R385" s="224"/>
      <c r="S385" s="225"/>
      <c r="T385" s="225"/>
    </row>
    <row r="386" spans="7:20" hidden="1">
      <c r="G386" s="36"/>
      <c r="P386" s="41"/>
      <c r="R386" s="224"/>
      <c r="S386" s="225"/>
      <c r="T386" s="225"/>
    </row>
    <row r="387" spans="7:20" hidden="1">
      <c r="G387" s="36"/>
      <c r="P387" s="41"/>
      <c r="R387" s="224"/>
      <c r="S387" s="225"/>
      <c r="T387" s="225"/>
    </row>
    <row r="388" spans="7:20" hidden="1">
      <c r="G388" s="36"/>
      <c r="P388" s="41"/>
      <c r="R388" s="224"/>
      <c r="S388" s="225"/>
      <c r="T388" s="225"/>
    </row>
    <row r="389" spans="7:20" hidden="1">
      <c r="G389" s="36"/>
      <c r="P389" s="41"/>
      <c r="R389" s="224"/>
      <c r="S389" s="225"/>
      <c r="T389" s="225"/>
    </row>
    <row r="390" spans="7:20" hidden="1">
      <c r="G390" s="36"/>
      <c r="P390" s="41"/>
      <c r="R390" s="224"/>
      <c r="S390" s="225"/>
      <c r="T390" s="225"/>
    </row>
    <row r="391" spans="7:20" hidden="1">
      <c r="G391" s="36"/>
      <c r="P391" s="41"/>
      <c r="R391" s="224"/>
      <c r="S391" s="225"/>
      <c r="T391" s="225"/>
    </row>
    <row r="392" spans="7:20" hidden="1">
      <c r="G392" s="36"/>
      <c r="P392" s="41"/>
      <c r="R392" s="224"/>
      <c r="S392" s="225"/>
      <c r="T392" s="225"/>
    </row>
    <row r="393" spans="7:20" hidden="1">
      <c r="G393" s="36"/>
      <c r="P393" s="41"/>
      <c r="R393" s="224"/>
      <c r="S393" s="225"/>
      <c r="T393" s="225"/>
    </row>
    <row r="394" spans="7:20" hidden="1">
      <c r="G394" s="36"/>
      <c r="P394" s="41"/>
      <c r="R394" s="224"/>
      <c r="S394" s="225"/>
      <c r="T394" s="225"/>
    </row>
    <row r="395" spans="7:20" hidden="1">
      <c r="G395" s="36"/>
      <c r="P395" s="41"/>
      <c r="R395" s="224"/>
      <c r="S395" s="225"/>
      <c r="T395" s="225"/>
    </row>
    <row r="396" spans="7:20" hidden="1">
      <c r="G396" s="36"/>
      <c r="P396" s="41"/>
      <c r="R396" s="224"/>
      <c r="S396" s="225"/>
      <c r="T396" s="225"/>
    </row>
    <row r="397" spans="7:20" hidden="1">
      <c r="G397" s="36"/>
      <c r="P397" s="41"/>
      <c r="R397" s="224"/>
      <c r="S397" s="225"/>
      <c r="T397" s="225"/>
    </row>
    <row r="398" spans="7:20" hidden="1">
      <c r="G398" s="36"/>
      <c r="P398" s="41"/>
      <c r="R398" s="224"/>
      <c r="S398" s="225"/>
      <c r="T398" s="225"/>
    </row>
    <row r="399" spans="7:20" hidden="1">
      <c r="G399" s="36"/>
      <c r="P399" s="41"/>
      <c r="R399" s="224"/>
      <c r="S399" s="225"/>
      <c r="T399" s="225"/>
    </row>
    <row r="400" spans="7:20" hidden="1">
      <c r="G400" s="36"/>
      <c r="P400" s="41"/>
      <c r="R400" s="224"/>
      <c r="S400" s="225"/>
      <c r="T400" s="225"/>
    </row>
    <row r="401" spans="7:20" hidden="1">
      <c r="G401" s="36"/>
      <c r="P401" s="41"/>
      <c r="R401" s="224"/>
      <c r="S401" s="225"/>
      <c r="T401" s="225"/>
    </row>
    <row r="402" spans="7:20" hidden="1">
      <c r="G402" s="36"/>
      <c r="P402" s="41"/>
      <c r="R402" s="224"/>
      <c r="S402" s="225"/>
      <c r="T402" s="225"/>
    </row>
    <row r="403" spans="7:20" hidden="1">
      <c r="G403" s="36"/>
      <c r="P403" s="41"/>
      <c r="R403" s="224"/>
      <c r="S403" s="225"/>
      <c r="T403" s="225"/>
    </row>
    <row r="404" spans="7:20" hidden="1">
      <c r="G404" s="36"/>
      <c r="P404" s="41"/>
      <c r="R404" s="224"/>
      <c r="S404" s="225"/>
      <c r="T404" s="225"/>
    </row>
    <row r="405" spans="7:20" hidden="1">
      <c r="G405" s="36"/>
      <c r="P405" s="41"/>
      <c r="R405" s="224"/>
      <c r="S405" s="225"/>
      <c r="T405" s="225"/>
    </row>
    <row r="406" spans="7:20" hidden="1">
      <c r="G406" s="36"/>
      <c r="P406" s="41"/>
      <c r="R406" s="224"/>
      <c r="S406" s="225"/>
      <c r="T406" s="225"/>
    </row>
    <row r="407" spans="7:20" hidden="1">
      <c r="G407" s="36"/>
      <c r="R407" s="224"/>
      <c r="S407" s="225"/>
      <c r="T407" s="225"/>
    </row>
    <row r="408" spans="7:20" hidden="1">
      <c r="G408" s="36"/>
      <c r="R408" s="224"/>
      <c r="S408" s="225"/>
      <c r="T408" s="225"/>
    </row>
    <row r="409" spans="7:20" hidden="1">
      <c r="G409" s="36"/>
      <c r="R409" s="224"/>
      <c r="S409" s="225"/>
      <c r="T409" s="225"/>
    </row>
    <row r="410" spans="7:20" hidden="1">
      <c r="G410" s="36"/>
      <c r="R410" s="224"/>
      <c r="S410" s="225"/>
      <c r="T410" s="225"/>
    </row>
    <row r="411" spans="7:20" hidden="1">
      <c r="G411" s="36"/>
      <c r="R411" s="224"/>
      <c r="S411" s="225"/>
      <c r="T411" s="225"/>
    </row>
    <row r="412" spans="7:20" hidden="1">
      <c r="G412" s="36"/>
      <c r="R412" s="224"/>
      <c r="S412" s="225"/>
      <c r="T412" s="225"/>
    </row>
    <row r="413" spans="7:20" hidden="1">
      <c r="G413" s="36"/>
      <c r="R413" s="224"/>
      <c r="S413" s="225"/>
      <c r="T413" s="225"/>
    </row>
    <row r="414" spans="7:20" hidden="1">
      <c r="G414" s="36"/>
      <c r="R414" s="224"/>
      <c r="S414" s="225"/>
      <c r="T414" s="225"/>
    </row>
    <row r="415" spans="7:20" hidden="1">
      <c r="G415" s="36"/>
      <c r="R415" s="224"/>
      <c r="S415" s="225"/>
      <c r="T415" s="225"/>
    </row>
    <row r="416" spans="7:20" hidden="1">
      <c r="G416" s="36"/>
      <c r="R416" s="224"/>
      <c r="S416" s="225"/>
      <c r="T416" s="225"/>
    </row>
    <row r="417" spans="7:20" hidden="1">
      <c r="G417" s="36"/>
      <c r="R417" s="224"/>
      <c r="S417" s="225"/>
      <c r="T417" s="225"/>
    </row>
    <row r="418" spans="7:20" hidden="1">
      <c r="G418" s="36"/>
      <c r="S418" s="225"/>
      <c r="T418" s="225"/>
    </row>
    <row r="419" spans="7:20" hidden="1">
      <c r="G419" s="36"/>
    </row>
    <row r="420" spans="7:20" hidden="1">
      <c r="G420" s="36"/>
    </row>
    <row r="421" spans="7:20" hidden="1">
      <c r="G421" s="36"/>
    </row>
    <row r="422" spans="7:20" hidden="1">
      <c r="G422" s="36"/>
    </row>
    <row r="423" spans="7:20" hidden="1">
      <c r="G423" s="36"/>
    </row>
    <row r="424" spans="7:20" hidden="1">
      <c r="G424" s="36"/>
    </row>
    <row r="425" spans="7:20" hidden="1">
      <c r="G425" s="36"/>
    </row>
    <row r="426" spans="7:20" hidden="1">
      <c r="G426" s="36"/>
    </row>
    <row r="427" spans="7:20" hidden="1">
      <c r="G427" s="36"/>
    </row>
    <row r="428" spans="7:20" hidden="1">
      <c r="G428" s="36"/>
    </row>
    <row r="429" spans="7:20" hidden="1">
      <c r="G429" s="36"/>
    </row>
    <row r="430" spans="7:20" hidden="1">
      <c r="G430" s="36"/>
    </row>
    <row r="431" spans="7:20" hidden="1">
      <c r="G431" s="36"/>
    </row>
    <row r="432" spans="7:20" hidden="1">
      <c r="G432" s="36"/>
    </row>
    <row r="433" spans="7:7" hidden="1">
      <c r="G433" s="36"/>
    </row>
    <row r="434" spans="7:7" hidden="1">
      <c r="G434" s="36"/>
    </row>
    <row r="435" spans="7:7" hidden="1">
      <c r="G435" s="36"/>
    </row>
    <row r="436" spans="7:7" hidden="1">
      <c r="G436" s="36"/>
    </row>
    <row r="437" spans="7:7" hidden="1">
      <c r="G437" s="36"/>
    </row>
    <row r="438" spans="7:7" hidden="1">
      <c r="G438" s="36"/>
    </row>
    <row r="439" spans="7:7" hidden="1">
      <c r="G439" s="36"/>
    </row>
    <row r="440" spans="7:7" hidden="1">
      <c r="G440" s="36"/>
    </row>
    <row r="441" spans="7:7" hidden="1">
      <c r="G441" s="36"/>
    </row>
    <row r="442" spans="7:7" hidden="1">
      <c r="G442" s="36"/>
    </row>
    <row r="443" spans="7:7" hidden="1">
      <c r="G443" s="36"/>
    </row>
    <row r="444" spans="7:7" hidden="1">
      <c r="G444" s="36"/>
    </row>
    <row r="445" spans="7:7" hidden="1">
      <c r="G445" s="36"/>
    </row>
    <row r="446" spans="7:7" hidden="1">
      <c r="G446" s="36"/>
    </row>
    <row r="447" spans="7:7" hidden="1">
      <c r="G447" s="36"/>
    </row>
    <row r="448" spans="7:7" hidden="1">
      <c r="G448" s="36"/>
    </row>
    <row r="449" spans="5:7" hidden="1">
      <c r="G449" s="36"/>
    </row>
    <row r="450" spans="5:7" hidden="1">
      <c r="G450" s="36"/>
    </row>
    <row r="451" spans="5:7" hidden="1">
      <c r="G451" s="36"/>
    </row>
    <row r="452" spans="5:7" hidden="1">
      <c r="G452" s="36"/>
    </row>
    <row r="453" spans="5:7" hidden="1">
      <c r="G453" s="36"/>
    </row>
    <row r="454" spans="5:7" hidden="1">
      <c r="G454" s="36"/>
    </row>
    <row r="455" spans="5:7" hidden="1">
      <c r="G455" s="36"/>
    </row>
    <row r="456" spans="5:7" hidden="1">
      <c r="G456" s="36"/>
    </row>
    <row r="457" spans="5:7" hidden="1">
      <c r="G457" s="36"/>
    </row>
    <row r="458" spans="5:7" hidden="1">
      <c r="E458" s="225"/>
      <c r="G458" s="36"/>
    </row>
    <row r="459" spans="5:7" hidden="1">
      <c r="G459" s="36"/>
    </row>
    <row r="460" spans="5:7" hidden="1">
      <c r="G460" s="36"/>
    </row>
    <row r="461" spans="5:7" hidden="1">
      <c r="G461" s="36"/>
    </row>
    <row r="462" spans="5:7" hidden="1">
      <c r="G462" s="36"/>
    </row>
    <row r="463" spans="5:7" hidden="1">
      <c r="G463" s="36"/>
    </row>
    <row r="464" spans="5:7" hidden="1">
      <c r="G464" s="36"/>
    </row>
    <row r="465" spans="7:7" hidden="1">
      <c r="G465" s="36"/>
    </row>
    <row r="466" spans="7:7" hidden="1">
      <c r="G466" s="36"/>
    </row>
    <row r="467" spans="7:7" hidden="1">
      <c r="G467" s="36"/>
    </row>
    <row r="468" spans="7:7" hidden="1">
      <c r="G468" s="36"/>
    </row>
    <row r="469" spans="7:7" hidden="1">
      <c r="G469" s="36"/>
    </row>
    <row r="470" spans="7:7" hidden="1">
      <c r="G470" s="36"/>
    </row>
    <row r="471" spans="7:7" hidden="1">
      <c r="G471" s="36"/>
    </row>
    <row r="472" spans="7:7" hidden="1">
      <c r="G472" s="36"/>
    </row>
    <row r="473" spans="7:7" hidden="1">
      <c r="G473" s="36"/>
    </row>
    <row r="474" spans="7:7" hidden="1">
      <c r="G474" s="36"/>
    </row>
    <row r="475" spans="7:7" hidden="1">
      <c r="G475" s="36"/>
    </row>
    <row r="476" spans="7:7" hidden="1">
      <c r="G476" s="36"/>
    </row>
    <row r="477" spans="7:7" hidden="1">
      <c r="G477" s="36"/>
    </row>
    <row r="478" spans="7:7" hidden="1">
      <c r="G478" s="36"/>
    </row>
    <row r="479" spans="7:7" hidden="1">
      <c r="G479" s="36"/>
    </row>
    <row r="480" spans="7:7" hidden="1">
      <c r="G480" s="36"/>
    </row>
    <row r="481" spans="7:7" hidden="1">
      <c r="G481" s="36"/>
    </row>
    <row r="482" spans="7:7" hidden="1">
      <c r="G482" s="36"/>
    </row>
    <row r="483" spans="7:7" hidden="1">
      <c r="G483" s="36"/>
    </row>
    <row r="484" spans="7:7" hidden="1">
      <c r="G484" s="36"/>
    </row>
    <row r="485" spans="7:7" hidden="1">
      <c r="G485" s="36"/>
    </row>
    <row r="486" spans="7:7" hidden="1">
      <c r="G486" s="36"/>
    </row>
    <row r="487" spans="7:7" hidden="1">
      <c r="G487" s="36"/>
    </row>
    <row r="488" spans="7:7" hidden="1">
      <c r="G488" s="36"/>
    </row>
    <row r="489" spans="7:7" hidden="1">
      <c r="G489" s="36"/>
    </row>
    <row r="490" spans="7:7" hidden="1">
      <c r="G490" s="36"/>
    </row>
    <row r="491" spans="7:7" hidden="1">
      <c r="G491" s="36"/>
    </row>
    <row r="492" spans="7:7" hidden="1">
      <c r="G492" s="36"/>
    </row>
    <row r="493" spans="7:7" hidden="1">
      <c r="G493" s="36"/>
    </row>
    <row r="494" spans="7:7" hidden="1">
      <c r="G494" s="36"/>
    </row>
    <row r="495" spans="7:7" hidden="1">
      <c r="G495" s="36"/>
    </row>
    <row r="496" spans="7:7" hidden="1">
      <c r="G496" s="36"/>
    </row>
    <row r="497" spans="7:7" hidden="1">
      <c r="G497" s="36"/>
    </row>
    <row r="498" spans="7:7" hidden="1">
      <c r="G498" s="36"/>
    </row>
    <row r="499" spans="7:7" hidden="1">
      <c r="G499" s="36"/>
    </row>
    <row r="500" spans="7:7" hidden="1">
      <c r="G500" s="36"/>
    </row>
    <row r="501" spans="7:7" hidden="1">
      <c r="G501" s="36"/>
    </row>
    <row r="502" spans="7:7" hidden="1">
      <c r="G502" s="36"/>
    </row>
    <row r="503" spans="7:7" hidden="1">
      <c r="G503" s="36"/>
    </row>
    <row r="504" spans="7:7" hidden="1">
      <c r="G504" s="36"/>
    </row>
    <row r="505" spans="7:7" hidden="1">
      <c r="G505" s="36"/>
    </row>
    <row r="506" spans="7:7" hidden="1">
      <c r="G506" s="36"/>
    </row>
    <row r="507" spans="7:7" hidden="1">
      <c r="G507" s="36"/>
    </row>
    <row r="508" spans="7:7" hidden="1">
      <c r="G508" s="36"/>
    </row>
    <row r="509" spans="7:7" hidden="1">
      <c r="G509" s="36"/>
    </row>
    <row r="510" spans="7:7" hidden="1">
      <c r="G510" s="36"/>
    </row>
    <row r="511" spans="7:7" hidden="1">
      <c r="G511" s="36"/>
    </row>
    <row r="512" spans="7:7" hidden="1">
      <c r="G512" s="36"/>
    </row>
    <row r="513" spans="7:7" hidden="1">
      <c r="G513" s="36"/>
    </row>
    <row r="514" spans="7:7" hidden="1">
      <c r="G514" s="36"/>
    </row>
    <row r="515" spans="7:7" hidden="1">
      <c r="G515" s="36"/>
    </row>
    <row r="516" spans="7:7" hidden="1">
      <c r="G516" s="36"/>
    </row>
    <row r="517" spans="7:7" hidden="1">
      <c r="G517" s="36"/>
    </row>
    <row r="518" spans="7:7" hidden="1">
      <c r="G518" s="36"/>
    </row>
    <row r="519" spans="7:7" hidden="1">
      <c r="G519" s="36"/>
    </row>
    <row r="520" spans="7:7" hidden="1">
      <c r="G520" s="36"/>
    </row>
    <row r="521" spans="7:7" hidden="1">
      <c r="G521" s="36"/>
    </row>
    <row r="522" spans="7:7" hidden="1">
      <c r="G522" s="36"/>
    </row>
    <row r="523" spans="7:7" hidden="1">
      <c r="G523" s="36"/>
    </row>
    <row r="524" spans="7:7" hidden="1">
      <c r="G524" s="36"/>
    </row>
    <row r="525" spans="7:7" hidden="1">
      <c r="G525" s="36"/>
    </row>
    <row r="526" spans="7:7" hidden="1">
      <c r="G526" s="36"/>
    </row>
    <row r="527" spans="7:7" hidden="1">
      <c r="G527" s="36"/>
    </row>
    <row r="528" spans="7:7" hidden="1">
      <c r="G528" s="36"/>
    </row>
    <row r="529" spans="7:7" hidden="1">
      <c r="G529" s="36"/>
    </row>
    <row r="530" spans="7:7" hidden="1">
      <c r="G530" s="36"/>
    </row>
    <row r="531" spans="7:7" hidden="1">
      <c r="G531" s="36"/>
    </row>
    <row r="532" spans="7:7" hidden="1">
      <c r="G532" s="36"/>
    </row>
    <row r="533" spans="7:7" hidden="1">
      <c r="G533" s="36"/>
    </row>
    <row r="534" spans="7:7" hidden="1">
      <c r="G534" s="36"/>
    </row>
    <row r="535" spans="7:7" hidden="1">
      <c r="G535" s="36"/>
    </row>
    <row r="536" spans="7:7" hidden="1">
      <c r="G536" s="36"/>
    </row>
    <row r="537" spans="7:7" hidden="1">
      <c r="G537" s="36"/>
    </row>
    <row r="538" spans="7:7" hidden="1">
      <c r="G538" s="36"/>
    </row>
    <row r="539" spans="7:7" hidden="1">
      <c r="G539" s="36"/>
    </row>
    <row r="540" spans="7:7" hidden="1">
      <c r="G540" s="36"/>
    </row>
    <row r="541" spans="7:7" hidden="1">
      <c r="G541" s="36"/>
    </row>
    <row r="542" spans="7:7" hidden="1">
      <c r="G542" s="36"/>
    </row>
    <row r="543" spans="7:7" hidden="1">
      <c r="G543" s="36"/>
    </row>
    <row r="544" spans="7:7" hidden="1">
      <c r="G544" s="36"/>
    </row>
    <row r="545" spans="7:7" hidden="1">
      <c r="G545" s="36"/>
    </row>
    <row r="546" spans="7:7" hidden="1">
      <c r="G546" s="36"/>
    </row>
    <row r="547" spans="7:7" hidden="1">
      <c r="G547" s="36"/>
    </row>
    <row r="548" spans="7:7" hidden="1">
      <c r="G548" s="36"/>
    </row>
    <row r="549" spans="7:7" hidden="1">
      <c r="G549" s="36"/>
    </row>
    <row r="550" spans="7:7" hidden="1">
      <c r="G550" s="36"/>
    </row>
    <row r="551" spans="7:7" hidden="1">
      <c r="G551" s="36"/>
    </row>
    <row r="552" spans="7:7" hidden="1">
      <c r="G552" s="36"/>
    </row>
    <row r="553" spans="7:7" hidden="1">
      <c r="G553" s="36"/>
    </row>
    <row r="554" spans="7:7" hidden="1">
      <c r="G554" s="36"/>
    </row>
    <row r="555" spans="7:7" hidden="1">
      <c r="G555" s="36"/>
    </row>
    <row r="556" spans="7:7" hidden="1">
      <c r="G556" s="36"/>
    </row>
    <row r="557" spans="7:7" hidden="1">
      <c r="G557" s="36"/>
    </row>
    <row r="558" spans="7:7" hidden="1">
      <c r="G558" s="36"/>
    </row>
    <row r="559" spans="7:7" hidden="1">
      <c r="G559" s="36"/>
    </row>
    <row r="560" spans="7:7" hidden="1">
      <c r="G560" s="36"/>
    </row>
    <row r="561" spans="7:7" hidden="1">
      <c r="G561" s="36"/>
    </row>
    <row r="562" spans="7:7" hidden="1">
      <c r="G562" s="36"/>
    </row>
    <row r="563" spans="7:7" hidden="1">
      <c r="G563" s="36"/>
    </row>
    <row r="564" spans="7:7" hidden="1">
      <c r="G564" s="36"/>
    </row>
    <row r="565" spans="7:7" hidden="1">
      <c r="G565" s="36"/>
    </row>
    <row r="566" spans="7:7" hidden="1">
      <c r="G566" s="36"/>
    </row>
    <row r="567" spans="7:7" hidden="1">
      <c r="G567" s="36"/>
    </row>
    <row r="568" spans="7:7" hidden="1">
      <c r="G568" s="36"/>
    </row>
    <row r="569" spans="7:7" hidden="1">
      <c r="G569" s="36"/>
    </row>
    <row r="570" spans="7:7" hidden="1">
      <c r="G570" s="36"/>
    </row>
    <row r="571" spans="7:7" hidden="1">
      <c r="G571" s="36"/>
    </row>
    <row r="572" spans="7:7" hidden="1">
      <c r="G572" s="36"/>
    </row>
    <row r="573" spans="7:7" hidden="1">
      <c r="G573" s="36"/>
    </row>
    <row r="574" spans="7:7" hidden="1">
      <c r="G574" s="36"/>
    </row>
    <row r="575" spans="7:7" hidden="1">
      <c r="G575" s="36"/>
    </row>
    <row r="576" spans="7:7" hidden="1">
      <c r="G576" s="36"/>
    </row>
    <row r="577" spans="7:7" hidden="1">
      <c r="G577" s="36"/>
    </row>
    <row r="578" spans="7:7" hidden="1">
      <c r="G578" s="36"/>
    </row>
    <row r="579" spans="7:7" hidden="1">
      <c r="G579" s="36"/>
    </row>
    <row r="580" spans="7:7" hidden="1">
      <c r="G580" s="36"/>
    </row>
    <row r="581" spans="7:7" hidden="1">
      <c r="G581" s="36"/>
    </row>
    <row r="582" spans="7:7" hidden="1">
      <c r="G582" s="36"/>
    </row>
    <row r="583" spans="7:7" hidden="1">
      <c r="G583" s="36"/>
    </row>
    <row r="584" spans="7:7" hidden="1">
      <c r="G584" s="36"/>
    </row>
    <row r="585" spans="7:7" hidden="1">
      <c r="G585" s="36"/>
    </row>
    <row r="586" spans="7:7" hidden="1">
      <c r="G586" s="36"/>
    </row>
    <row r="587" spans="7:7" hidden="1">
      <c r="G587" s="36"/>
    </row>
    <row r="588" spans="7:7" hidden="1">
      <c r="G588" s="36"/>
    </row>
    <row r="589" spans="7:7" hidden="1">
      <c r="G589" s="36"/>
    </row>
    <row r="590" spans="7:7" hidden="1">
      <c r="G590" s="36"/>
    </row>
    <row r="591" spans="7:7" hidden="1">
      <c r="G591" s="36"/>
    </row>
    <row r="592" spans="7:7" hidden="1">
      <c r="G592" s="36"/>
    </row>
    <row r="593" spans="7:7" hidden="1">
      <c r="G593" s="36"/>
    </row>
    <row r="594" spans="7:7" hidden="1">
      <c r="G594" s="36"/>
    </row>
    <row r="595" spans="7:7" hidden="1">
      <c r="G595" s="36"/>
    </row>
    <row r="596" spans="7:7" hidden="1">
      <c r="G596" s="36"/>
    </row>
    <row r="597" spans="7:7" hidden="1">
      <c r="G597" s="36"/>
    </row>
    <row r="598" spans="7:7" hidden="1">
      <c r="G598" s="36"/>
    </row>
    <row r="599" spans="7:7" hidden="1">
      <c r="G599" s="36"/>
    </row>
    <row r="600" spans="7:7" hidden="1">
      <c r="G600" s="36"/>
    </row>
    <row r="601" spans="7:7" hidden="1">
      <c r="G601" s="36"/>
    </row>
    <row r="602" spans="7:7" hidden="1">
      <c r="G602" s="36"/>
    </row>
    <row r="603" spans="7:7" hidden="1">
      <c r="G603" s="36"/>
    </row>
    <row r="604" spans="7:7" hidden="1">
      <c r="G604" s="36"/>
    </row>
    <row r="605" spans="7:7" hidden="1">
      <c r="G605" s="36"/>
    </row>
    <row r="606" spans="7:7" hidden="1">
      <c r="G606" s="36"/>
    </row>
    <row r="607" spans="7:7" hidden="1">
      <c r="G607" s="36"/>
    </row>
    <row r="608" spans="7:7" hidden="1">
      <c r="G608" s="36"/>
    </row>
    <row r="609" spans="7:7" hidden="1">
      <c r="G609" s="36"/>
    </row>
    <row r="610" spans="7:7" hidden="1">
      <c r="G610" s="36"/>
    </row>
    <row r="611" spans="7:7" hidden="1">
      <c r="G611" s="36"/>
    </row>
    <row r="612" spans="7:7" hidden="1">
      <c r="G612" s="36"/>
    </row>
    <row r="613" spans="7:7" hidden="1">
      <c r="G613" s="36"/>
    </row>
    <row r="614" spans="7:7" hidden="1">
      <c r="G614" s="36"/>
    </row>
    <row r="615" spans="7:7" hidden="1">
      <c r="G615" s="36"/>
    </row>
    <row r="616" spans="7:7" hidden="1">
      <c r="G616" s="36"/>
    </row>
    <row r="617" spans="7:7" hidden="1">
      <c r="G617" s="36"/>
    </row>
    <row r="618" spans="7:7" hidden="1">
      <c r="G618" s="36"/>
    </row>
    <row r="619" spans="7:7" hidden="1">
      <c r="G619" s="36"/>
    </row>
    <row r="620" spans="7:7" hidden="1">
      <c r="G620" s="36"/>
    </row>
    <row r="621" spans="7:7" hidden="1">
      <c r="G621" s="36"/>
    </row>
    <row r="622" spans="7:7" hidden="1">
      <c r="G622" s="36"/>
    </row>
    <row r="623" spans="7:7" hidden="1">
      <c r="G623" s="36"/>
    </row>
    <row r="624" spans="7:7" hidden="1">
      <c r="G624" s="36"/>
    </row>
    <row r="625" spans="7:7" hidden="1">
      <c r="G625" s="36"/>
    </row>
    <row r="626" spans="7:7" hidden="1">
      <c r="G626" s="36"/>
    </row>
    <row r="627" spans="7:7" hidden="1">
      <c r="G627" s="36"/>
    </row>
    <row r="628" spans="7:7" hidden="1">
      <c r="G628" s="36"/>
    </row>
    <row r="629" spans="7:7" hidden="1">
      <c r="G629" s="36"/>
    </row>
    <row r="630" spans="7:7" hidden="1">
      <c r="G630" s="36"/>
    </row>
    <row r="631" spans="7:7" hidden="1">
      <c r="G631" s="36"/>
    </row>
    <row r="632" spans="7:7" hidden="1">
      <c r="G632" s="36"/>
    </row>
    <row r="633" spans="7:7" hidden="1">
      <c r="G633" s="36"/>
    </row>
    <row r="634" spans="7:7" hidden="1">
      <c r="G634" s="36"/>
    </row>
    <row r="635" spans="7:7" hidden="1">
      <c r="G635" s="36"/>
    </row>
    <row r="636" spans="7:7" hidden="1">
      <c r="G636" s="36"/>
    </row>
    <row r="637" spans="7:7" hidden="1">
      <c r="G637" s="36"/>
    </row>
    <row r="638" spans="7:7" hidden="1">
      <c r="G638" s="36"/>
    </row>
    <row r="639" spans="7:7" hidden="1">
      <c r="G639" s="36"/>
    </row>
    <row r="640" spans="7:7" hidden="1">
      <c r="G640" s="36"/>
    </row>
    <row r="641" spans="7:7" hidden="1">
      <c r="G641" s="36"/>
    </row>
    <row r="642" spans="7:7" hidden="1">
      <c r="G642" s="36"/>
    </row>
    <row r="643" spans="7:7" hidden="1">
      <c r="G643" s="36"/>
    </row>
    <row r="644" spans="7:7" hidden="1">
      <c r="G644" s="36"/>
    </row>
    <row r="645" spans="7:7" hidden="1">
      <c r="G645" s="36"/>
    </row>
    <row r="646" spans="7:7" hidden="1">
      <c r="G646" s="36"/>
    </row>
    <row r="647" spans="7:7" hidden="1">
      <c r="G647" s="36"/>
    </row>
    <row r="648" spans="7:7" hidden="1">
      <c r="G648" s="36"/>
    </row>
    <row r="649" spans="7:7" hidden="1">
      <c r="G649" s="36"/>
    </row>
    <row r="650" spans="7:7" hidden="1">
      <c r="G650" s="36"/>
    </row>
    <row r="651" spans="7:7" hidden="1">
      <c r="G651" s="36"/>
    </row>
    <row r="652" spans="7:7" hidden="1">
      <c r="G652" s="36"/>
    </row>
    <row r="653" spans="7:7" hidden="1">
      <c r="G653" s="36"/>
    </row>
    <row r="654" spans="7:7" hidden="1">
      <c r="G654" s="36"/>
    </row>
    <row r="655" spans="7:7" hidden="1">
      <c r="G655" s="36"/>
    </row>
    <row r="656" spans="7:7" hidden="1">
      <c r="G656" s="36"/>
    </row>
    <row r="657" spans="7:7" hidden="1">
      <c r="G657" s="36"/>
    </row>
    <row r="658" spans="7:7" hidden="1">
      <c r="G658" s="36"/>
    </row>
    <row r="659" spans="7:7" hidden="1">
      <c r="G659" s="36"/>
    </row>
    <row r="660" spans="7:7" hidden="1">
      <c r="G660" s="36"/>
    </row>
    <row r="661" spans="7:7" hidden="1">
      <c r="G661" s="36"/>
    </row>
    <row r="662" spans="7:7" hidden="1">
      <c r="G662" s="36"/>
    </row>
    <row r="663" spans="7:7" hidden="1">
      <c r="G663" s="36"/>
    </row>
    <row r="664" spans="7:7" hidden="1">
      <c r="G664" s="36"/>
    </row>
    <row r="665" spans="7:7" hidden="1">
      <c r="G665" s="36"/>
    </row>
    <row r="666" spans="7:7" hidden="1">
      <c r="G666" s="36"/>
    </row>
    <row r="667" spans="7:7" hidden="1">
      <c r="G667" s="36"/>
    </row>
    <row r="668" spans="7:7" hidden="1">
      <c r="G668" s="36"/>
    </row>
    <row r="669" spans="7:7" hidden="1">
      <c r="G669" s="36"/>
    </row>
    <row r="670" spans="7:7" hidden="1">
      <c r="G670" s="36"/>
    </row>
    <row r="671" spans="7:7" hidden="1">
      <c r="G671" s="36"/>
    </row>
    <row r="672" spans="7:7" hidden="1">
      <c r="G672" s="36"/>
    </row>
    <row r="673" spans="7:7" hidden="1">
      <c r="G673" s="36"/>
    </row>
    <row r="674" spans="7:7" hidden="1">
      <c r="G674" s="36"/>
    </row>
    <row r="675" spans="7:7" hidden="1">
      <c r="G675" s="36"/>
    </row>
    <row r="676" spans="7:7" hidden="1">
      <c r="G676" s="36"/>
    </row>
    <row r="677" spans="7:7" hidden="1">
      <c r="G677" s="36"/>
    </row>
    <row r="678" spans="7:7" hidden="1">
      <c r="G678" s="36"/>
    </row>
    <row r="679" spans="7:7" hidden="1">
      <c r="G679" s="36"/>
    </row>
    <row r="680" spans="7:7" hidden="1">
      <c r="G680" s="36"/>
    </row>
    <row r="681" spans="7:7" hidden="1">
      <c r="G681" s="36"/>
    </row>
    <row r="682" spans="7:7" hidden="1">
      <c r="G682" s="36"/>
    </row>
    <row r="683" spans="7:7" hidden="1">
      <c r="G683" s="36"/>
    </row>
    <row r="684" spans="7:7" hidden="1">
      <c r="G684" s="36"/>
    </row>
    <row r="685" spans="7:7" hidden="1">
      <c r="G685" s="36"/>
    </row>
    <row r="686" spans="7:7" hidden="1">
      <c r="G686" s="36"/>
    </row>
    <row r="687" spans="7:7" hidden="1">
      <c r="G687" s="36"/>
    </row>
    <row r="688" spans="7:7" hidden="1">
      <c r="G688" s="36"/>
    </row>
    <row r="689" spans="7:7" hidden="1">
      <c r="G689" s="36"/>
    </row>
    <row r="690" spans="7:7" hidden="1">
      <c r="G690" s="36"/>
    </row>
    <row r="691" spans="7:7" hidden="1">
      <c r="G691" s="36"/>
    </row>
    <row r="692" spans="7:7" hidden="1">
      <c r="G692" s="36"/>
    </row>
    <row r="693" spans="7:7" hidden="1">
      <c r="G693" s="36"/>
    </row>
    <row r="694" spans="7:7" hidden="1">
      <c r="G694" s="36"/>
    </row>
    <row r="695" spans="7:7" hidden="1">
      <c r="G695" s="36"/>
    </row>
    <row r="696" spans="7:7" hidden="1">
      <c r="G696" s="36"/>
    </row>
    <row r="697" spans="7:7" hidden="1">
      <c r="G697" s="36"/>
    </row>
    <row r="698" spans="7:7" hidden="1">
      <c r="G698" s="36"/>
    </row>
    <row r="699" spans="7:7" hidden="1">
      <c r="G699" s="36"/>
    </row>
    <row r="700" spans="7:7" hidden="1">
      <c r="G700" s="36"/>
    </row>
    <row r="701" spans="7:7" hidden="1">
      <c r="G701" s="36"/>
    </row>
    <row r="702" spans="7:7" hidden="1">
      <c r="G702" s="36"/>
    </row>
    <row r="703" spans="7:7" hidden="1">
      <c r="G703" s="36"/>
    </row>
    <row r="704" spans="7:7" hidden="1">
      <c r="G704" s="36"/>
    </row>
    <row r="705" spans="7:7" hidden="1">
      <c r="G705" s="36"/>
    </row>
    <row r="706" spans="7:7" hidden="1">
      <c r="G706" s="36"/>
    </row>
    <row r="707" spans="7:7" hidden="1">
      <c r="G707" s="36"/>
    </row>
    <row r="708" spans="7:7" hidden="1">
      <c r="G708" s="36"/>
    </row>
    <row r="709" spans="7:7" hidden="1">
      <c r="G709" s="36"/>
    </row>
    <row r="710" spans="7:7" hidden="1">
      <c r="G710" s="36"/>
    </row>
    <row r="711" spans="7:7" hidden="1">
      <c r="G711" s="36"/>
    </row>
    <row r="712" spans="7:7" hidden="1">
      <c r="G712" s="36"/>
    </row>
    <row r="713" spans="7:7" hidden="1">
      <c r="G713" s="36"/>
    </row>
    <row r="714" spans="7:7" hidden="1">
      <c r="G714" s="36"/>
    </row>
    <row r="715" spans="7:7" hidden="1">
      <c r="G715" s="36"/>
    </row>
    <row r="716" spans="7:7" hidden="1">
      <c r="G716" s="36"/>
    </row>
    <row r="717" spans="7:7" hidden="1">
      <c r="G717" s="36"/>
    </row>
    <row r="718" spans="7:7" hidden="1">
      <c r="G718" s="36"/>
    </row>
    <row r="719" spans="7:7" hidden="1">
      <c r="G719" s="36"/>
    </row>
    <row r="720" spans="7:7" hidden="1">
      <c r="G720" s="36"/>
    </row>
    <row r="721" spans="7:7" hidden="1">
      <c r="G721" s="36"/>
    </row>
    <row r="722" spans="7:7" hidden="1">
      <c r="G722" s="36"/>
    </row>
    <row r="723" spans="7:7" hidden="1">
      <c r="G723" s="36"/>
    </row>
    <row r="724" spans="7:7" hidden="1">
      <c r="G724" s="36"/>
    </row>
    <row r="725" spans="7:7" hidden="1">
      <c r="G725" s="36"/>
    </row>
    <row r="726" spans="7:7" hidden="1">
      <c r="G726" s="36"/>
    </row>
    <row r="727" spans="7:7" hidden="1">
      <c r="G727" s="36"/>
    </row>
    <row r="728" spans="7:7" hidden="1">
      <c r="G728" s="36"/>
    </row>
    <row r="729" spans="7:7" hidden="1">
      <c r="G729" s="36"/>
    </row>
    <row r="730" spans="7:7" hidden="1">
      <c r="G730" s="36"/>
    </row>
    <row r="731" spans="7:7" hidden="1">
      <c r="G731" s="36"/>
    </row>
    <row r="732" spans="7:7" hidden="1">
      <c r="G732" s="36"/>
    </row>
    <row r="733" spans="7:7" hidden="1">
      <c r="G733" s="36"/>
    </row>
    <row r="734" spans="7:7" hidden="1">
      <c r="G734" s="36"/>
    </row>
    <row r="735" spans="7:7" hidden="1">
      <c r="G735" s="36"/>
    </row>
    <row r="736" spans="7:7" hidden="1">
      <c r="G736" s="36"/>
    </row>
    <row r="737" spans="7:7" hidden="1">
      <c r="G737" s="36"/>
    </row>
    <row r="738" spans="7:7" hidden="1">
      <c r="G738" s="36"/>
    </row>
    <row r="739" spans="7:7" hidden="1">
      <c r="G739" s="36"/>
    </row>
    <row r="740" spans="7:7" hidden="1">
      <c r="G740" s="36"/>
    </row>
    <row r="741" spans="7:7" hidden="1">
      <c r="G741" s="36"/>
    </row>
    <row r="742" spans="7:7" hidden="1">
      <c r="G742" s="36"/>
    </row>
    <row r="743" spans="7:7" hidden="1">
      <c r="G743" s="36"/>
    </row>
    <row r="744" spans="7:7" hidden="1">
      <c r="G744" s="36"/>
    </row>
    <row r="745" spans="7:7" hidden="1">
      <c r="G745" s="36"/>
    </row>
    <row r="746" spans="7:7" hidden="1">
      <c r="G746" s="36"/>
    </row>
    <row r="747" spans="7:7" hidden="1">
      <c r="G747" s="36"/>
    </row>
    <row r="748" spans="7:7" hidden="1">
      <c r="G748" s="36"/>
    </row>
    <row r="749" spans="7:7" hidden="1">
      <c r="G749" s="36"/>
    </row>
    <row r="750" spans="7:7" hidden="1">
      <c r="G750" s="36"/>
    </row>
    <row r="751" spans="7:7" hidden="1">
      <c r="G751" s="36"/>
    </row>
    <row r="752" spans="7:7" hidden="1">
      <c r="G752" s="36"/>
    </row>
    <row r="753" spans="7:7" hidden="1">
      <c r="G753" s="36"/>
    </row>
    <row r="754" spans="7:7" hidden="1">
      <c r="G754" s="36"/>
    </row>
    <row r="755" spans="7:7" hidden="1">
      <c r="G755" s="36"/>
    </row>
    <row r="756" spans="7:7" hidden="1">
      <c r="G756" s="36"/>
    </row>
    <row r="757" spans="7:7" hidden="1">
      <c r="G757" s="36"/>
    </row>
    <row r="758" spans="7:7" hidden="1">
      <c r="G758" s="36"/>
    </row>
    <row r="759" spans="7:7" hidden="1">
      <c r="G759" s="36"/>
    </row>
    <row r="760" spans="7:7" hidden="1">
      <c r="G760" s="36"/>
    </row>
    <row r="761" spans="7:7" hidden="1">
      <c r="G761" s="36"/>
    </row>
    <row r="762" spans="7:7" hidden="1">
      <c r="G762" s="36"/>
    </row>
    <row r="763" spans="7:7" hidden="1">
      <c r="G763" s="36"/>
    </row>
    <row r="764" spans="7:7" hidden="1">
      <c r="G764" s="36"/>
    </row>
    <row r="765" spans="7:7" hidden="1">
      <c r="G765" s="36"/>
    </row>
    <row r="766" spans="7:7" hidden="1">
      <c r="G766" s="36"/>
    </row>
    <row r="767" spans="7:7" hidden="1">
      <c r="G767" s="36"/>
    </row>
    <row r="768" spans="7:7" hidden="1">
      <c r="G768" s="36"/>
    </row>
    <row r="1048576" ht="1" hidden="1" customHeight="1"/>
  </sheetData>
  <sheetProtection algorithmName="SHA-512" hashValue="MCcJ1NsmZTPIelYoLSHeLZl3xn1sLqEMW/GjRBz16pK1OhTcxHe3ML013GtZ1uOdPxiiyMYxFQsoTvote4l2Dg==" saltValue="EjOxowwdD8CQgZAgLnk+1Q==" spinCount="100000" sheet="1" objects="1" scenarios="1"/>
  <mergeCells count="19">
    <mergeCell ref="R46:T46"/>
    <mergeCell ref="B35:I35"/>
    <mergeCell ref="B5:D6"/>
    <mergeCell ref="E39:F39"/>
    <mergeCell ref="H39:I39"/>
    <mergeCell ref="Q42:Q43"/>
    <mergeCell ref="B39:D40"/>
    <mergeCell ref="N42:O43"/>
    <mergeCell ref="N5:T6"/>
    <mergeCell ref="H5:I5"/>
    <mergeCell ref="E5:F5"/>
    <mergeCell ref="S7:S9"/>
    <mergeCell ref="T7:T9"/>
    <mergeCell ref="E24:F24"/>
    <mergeCell ref="H24:I24"/>
    <mergeCell ref="B24:D25"/>
    <mergeCell ref="R43:T44"/>
    <mergeCell ref="B2:L2"/>
    <mergeCell ref="B3:L4"/>
  </mergeCells>
  <phoneticPr fontId="12"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0</xdr:rowOff>
                  </from>
                  <to>
                    <xdr:col>11</xdr:col>
                    <xdr:colOff>38100</xdr:colOff>
                    <xdr:row>18</xdr:row>
                    <xdr:rowOff>190500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0</xdr:rowOff>
                  </from>
                  <to>
                    <xdr:col>11</xdr:col>
                    <xdr:colOff>38100</xdr:colOff>
                    <xdr:row>19</xdr:row>
                    <xdr:rowOff>190500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
                <anchor moveWithCells="1" sizeWithCells="1">
                  <from>
                    <xdr:col>10</xdr:col>
                    <xdr:colOff>25400</xdr:colOff>
                    <xdr:row>20</xdr:row>
                    <xdr:rowOff>12700</xdr:rowOff>
                  </from>
                  <to>
                    <xdr:col>11</xdr:col>
                    <xdr:colOff>38100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11</xdr:col>
                    <xdr:colOff>38100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32</xdr:row>
                    <xdr:rowOff>0</xdr:rowOff>
                  </from>
                  <to>
                    <xdr:col>11</xdr:col>
                    <xdr:colOff>12700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11</xdr:col>
                    <xdr:colOff>12700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theme="9" tint="0.39997558519241921"/>
  </sheetPr>
  <dimension ref="A1:AX30"/>
  <sheetViews>
    <sheetView showGridLines="0" showRowColHeaders="0" zoomScaleNormal="100" workbookViewId="0">
      <selection activeCell="H2" sqref="H2"/>
    </sheetView>
  </sheetViews>
  <sheetFormatPr baseColWidth="10" defaultColWidth="0" defaultRowHeight="15" zeroHeight="1"/>
  <cols>
    <col min="1" max="1" width="0.83203125" style="50" customWidth="1"/>
    <col min="2" max="2" width="10.33203125" style="50" customWidth="1"/>
    <col min="3" max="3" width="74.33203125" style="50" customWidth="1"/>
    <col min="4" max="4" width="13.33203125" style="50" customWidth="1"/>
    <col min="5" max="5" width="10.1640625" style="50" customWidth="1"/>
    <col min="6" max="6" width="12.33203125" style="50" customWidth="1"/>
    <col min="7" max="7" width="5" style="50" customWidth="1"/>
    <col min="8" max="8" width="4.33203125" style="50" customWidth="1"/>
    <col min="9" max="9" width="72" style="50" customWidth="1"/>
    <col min="10" max="10" width="18.33203125" style="50" customWidth="1"/>
    <col min="11" max="11" width="11.1640625" style="50" customWidth="1"/>
    <col min="12" max="12" width="19.33203125" style="50" customWidth="1"/>
    <col min="13" max="13" width="16.33203125" style="50" customWidth="1"/>
    <col min="14" max="14" width="18.6640625" style="50" customWidth="1"/>
    <col min="15" max="15" width="8" style="50" customWidth="1"/>
    <col min="16" max="16" width="7" style="50" customWidth="1"/>
    <col min="17" max="50" width="0" style="50" hidden="1" customWidth="1"/>
    <col min="51" max="16384" width="9" style="50" hidden="1"/>
  </cols>
  <sheetData>
    <row r="1" spans="1:17" ht="56" customHeight="1">
      <c r="A1" s="397" t="s">
        <v>214</v>
      </c>
      <c r="B1" s="397"/>
      <c r="C1" s="397"/>
      <c r="D1" s="397"/>
      <c r="E1" s="397"/>
      <c r="F1" s="397"/>
    </row>
    <row r="2" spans="1:17" ht="49.25" customHeight="1" thickBot="1">
      <c r="A2" s="181"/>
      <c r="B2" s="181"/>
      <c r="C2" s="181"/>
      <c r="D2" s="181"/>
      <c r="E2" s="181"/>
      <c r="F2" s="181"/>
    </row>
    <row r="3" spans="1:17" ht="45" customHeight="1" thickBot="1">
      <c r="B3" s="394" t="s">
        <v>143</v>
      </c>
      <c r="C3" s="395"/>
      <c r="D3" s="395"/>
      <c r="E3" s="395"/>
      <c r="F3" s="396"/>
      <c r="G3" s="130"/>
      <c r="H3" s="130"/>
      <c r="I3" s="394" t="s">
        <v>144</v>
      </c>
      <c r="J3" s="395"/>
      <c r="K3" s="395"/>
      <c r="L3" s="182" t="s">
        <v>180</v>
      </c>
      <c r="M3" s="182" t="s">
        <v>215</v>
      </c>
      <c r="N3" s="183" t="s">
        <v>182</v>
      </c>
    </row>
    <row r="4" spans="1:17" ht="35" customHeight="1">
      <c r="B4" s="51"/>
      <c r="C4" s="60" t="s">
        <v>146</v>
      </c>
      <c r="F4" s="52"/>
      <c r="I4" s="90" t="s">
        <v>147</v>
      </c>
      <c r="J4" s="86" t="s">
        <v>148</v>
      </c>
      <c r="K4" s="60" t="s">
        <v>149</v>
      </c>
      <c r="L4" s="161">
        <v>15.621891122263216</v>
      </c>
      <c r="M4" s="161">
        <v>6.9171968784206097</v>
      </c>
      <c r="N4" s="162">
        <v>2.7999703296590539</v>
      </c>
      <c r="O4" s="132"/>
    </row>
    <row r="5" spans="1:17" ht="35" customHeight="1">
      <c r="B5" s="51"/>
      <c r="C5" s="151" t="s">
        <v>277</v>
      </c>
      <c r="F5" s="52"/>
      <c r="I5" s="90" t="s">
        <v>150</v>
      </c>
      <c r="J5" s="86" t="s">
        <v>151</v>
      </c>
      <c r="K5" s="60" t="s">
        <v>149</v>
      </c>
      <c r="L5" s="161">
        <v>3.4286954922975412</v>
      </c>
      <c r="M5" s="161">
        <v>1.5181616215159719</v>
      </c>
      <c r="N5" s="162">
        <v>0.61451169348893198</v>
      </c>
    </row>
    <row r="6" spans="1:17" ht="35" customHeight="1">
      <c r="B6" s="51"/>
      <c r="F6" s="52"/>
      <c r="I6" s="90" t="s">
        <v>152</v>
      </c>
      <c r="J6" s="86" t="s">
        <v>153</v>
      </c>
      <c r="K6" s="60" t="s">
        <v>149</v>
      </c>
      <c r="L6" s="161">
        <v>0.58002062311838709</v>
      </c>
      <c r="M6" s="161">
        <v>0.42377366331976862</v>
      </c>
      <c r="N6" s="162">
        <v>0.34580564943696374</v>
      </c>
    </row>
    <row r="7" spans="1:17" ht="38" customHeight="1">
      <c r="B7" s="51"/>
      <c r="F7" s="52"/>
      <c r="I7" s="90"/>
      <c r="J7" s="86"/>
      <c r="K7" s="60"/>
      <c r="L7" s="161"/>
      <c r="M7" s="161"/>
      <c r="N7" s="162"/>
    </row>
    <row r="8" spans="1:17" ht="38" customHeight="1" thickBot="1">
      <c r="B8" s="51"/>
      <c r="F8" s="52"/>
      <c r="I8" s="51"/>
      <c r="N8" s="52"/>
      <c r="O8" s="132"/>
    </row>
    <row r="9" spans="1:17" ht="45" customHeight="1" thickBot="1">
      <c r="B9" s="51"/>
      <c r="F9" s="52"/>
      <c r="I9" s="394" t="s">
        <v>216</v>
      </c>
      <c r="J9" s="395"/>
      <c r="K9" s="395"/>
      <c r="L9" s="395"/>
      <c r="M9" s="395"/>
      <c r="N9" s="396"/>
    </row>
    <row r="10" spans="1:17" ht="35" customHeight="1">
      <c r="B10" s="51"/>
      <c r="F10" s="52"/>
      <c r="I10" s="91" t="s">
        <v>155</v>
      </c>
      <c r="J10" s="84" t="s">
        <v>156</v>
      </c>
      <c r="K10" s="85" t="s">
        <v>137</v>
      </c>
      <c r="L10" s="340">
        <v>28.482472343452983</v>
      </c>
      <c r="M10" s="340">
        <v>12.661693152238277</v>
      </c>
      <c r="N10" s="341">
        <v>3.1506655027351043</v>
      </c>
    </row>
    <row r="11" spans="1:17" ht="35" customHeight="1">
      <c r="B11" s="51"/>
      <c r="F11" s="52"/>
      <c r="I11" s="90" t="s">
        <v>157</v>
      </c>
      <c r="J11" s="86" t="s">
        <v>158</v>
      </c>
      <c r="K11" s="60" t="s">
        <v>137</v>
      </c>
      <c r="L11" s="342">
        <v>4.7993355209968867</v>
      </c>
      <c r="M11" s="342">
        <v>3.9029158725382063</v>
      </c>
      <c r="N11" s="343">
        <v>3.0546833778001492</v>
      </c>
      <c r="O11" s="132"/>
    </row>
    <row r="12" spans="1:17" ht="35" customHeight="1">
      <c r="B12" s="51"/>
      <c r="F12" s="52"/>
      <c r="I12" s="90" t="s">
        <v>159</v>
      </c>
      <c r="J12" s="86" t="s">
        <v>160</v>
      </c>
      <c r="K12" s="60" t="s">
        <v>137</v>
      </c>
      <c r="L12" s="342">
        <v>34.281807864449867</v>
      </c>
      <c r="M12" s="342">
        <v>17.564609024776484</v>
      </c>
      <c r="N12" s="343">
        <v>7.2053488805352535</v>
      </c>
    </row>
    <row r="13" spans="1:17" ht="35" customHeight="1">
      <c r="B13" s="51"/>
      <c r="F13" s="52"/>
      <c r="I13" s="90" t="s">
        <v>161</v>
      </c>
      <c r="J13" s="86" t="s">
        <v>162</v>
      </c>
      <c r="K13" s="60" t="s">
        <v>137</v>
      </c>
      <c r="L13" s="342">
        <v>4.5562200426830888</v>
      </c>
      <c r="M13" s="342">
        <v>4.5562980781409754</v>
      </c>
      <c r="N13" s="343">
        <v>4.5564150517006956</v>
      </c>
      <c r="O13" s="132"/>
      <c r="Q13" s="61"/>
    </row>
    <row r="14" spans="1:17" ht="35" customHeight="1">
      <c r="B14" s="51"/>
      <c r="F14" s="52"/>
      <c r="I14" s="90" t="s">
        <v>163</v>
      </c>
      <c r="J14" s="86" t="s">
        <v>136</v>
      </c>
      <c r="K14" s="60" t="s">
        <v>137</v>
      </c>
      <c r="L14" s="342">
        <v>214.89452793314348</v>
      </c>
      <c r="M14" s="342">
        <v>151.02462144651173</v>
      </c>
      <c r="N14" s="343">
        <v>116.63271449546308</v>
      </c>
    </row>
    <row r="15" spans="1:17" ht="35" customHeight="1">
      <c r="B15" s="51"/>
      <c r="F15" s="52"/>
      <c r="I15" s="90" t="s">
        <v>164</v>
      </c>
      <c r="J15" s="86" t="s">
        <v>165</v>
      </c>
      <c r="K15" s="60" t="s">
        <v>130</v>
      </c>
      <c r="L15" s="342">
        <v>100.90744658400182</v>
      </c>
      <c r="M15" s="342">
        <v>44.502862828231279</v>
      </c>
      <c r="N15" s="343">
        <v>17.942547833247787</v>
      </c>
    </row>
    <row r="16" spans="1:17" ht="39.5" customHeight="1" thickBot="1">
      <c r="B16" s="53"/>
      <c r="C16" s="150"/>
      <c r="D16" s="54"/>
      <c r="E16" s="54"/>
      <c r="F16" s="55"/>
      <c r="I16" s="137" t="s">
        <v>166</v>
      </c>
      <c r="J16" s="88" t="s">
        <v>276</v>
      </c>
      <c r="K16" s="89" t="s">
        <v>130</v>
      </c>
      <c r="L16" s="344">
        <v>62</v>
      </c>
      <c r="M16" s="344">
        <v>66</v>
      </c>
      <c r="N16" s="345">
        <v>33</v>
      </c>
    </row>
    <row r="17" spans="3:50" ht="20" customHeight="1">
      <c r="C17" s="62"/>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56"/>
      <c r="AX17" s="56"/>
    </row>
    <row r="18" spans="3:50" ht="22.25" customHeight="1">
      <c r="C18" s="424"/>
      <c r="D18" s="424"/>
      <c r="E18" s="424"/>
      <c r="F18" s="135"/>
      <c r="G18" s="135"/>
      <c r="H18" s="135"/>
    </row>
    <row r="19" spans="3:50" ht="18" hidden="1">
      <c r="C19" s="57"/>
      <c r="D19" s="86"/>
      <c r="E19" s="60"/>
      <c r="F19" s="133"/>
      <c r="G19" s="133"/>
      <c r="H19" s="133"/>
    </row>
    <row r="20" spans="3:50" ht="18" hidden="1">
      <c r="C20" s="57"/>
      <c r="D20" s="86"/>
      <c r="E20" s="60"/>
      <c r="F20" s="133"/>
      <c r="G20" s="133"/>
      <c r="H20" s="133"/>
    </row>
    <row r="21" spans="3:50" ht="18" hidden="1">
      <c r="C21" s="57"/>
      <c r="D21" s="86"/>
      <c r="E21" s="60"/>
      <c r="F21" s="133"/>
      <c r="G21" s="133"/>
      <c r="H21" s="133"/>
    </row>
    <row r="22" spans="3:50" ht="18" hidden="1">
      <c r="C22" s="136"/>
      <c r="D22" s="86"/>
      <c r="E22" s="87"/>
      <c r="F22" s="134"/>
      <c r="G22" s="134"/>
      <c r="H22" s="134"/>
    </row>
    <row r="23" spans="3:50" ht="18" hidden="1">
      <c r="C23" s="57"/>
      <c r="D23" s="86"/>
      <c r="E23" s="60"/>
      <c r="F23" s="131"/>
      <c r="G23" s="131"/>
      <c r="H23" s="131"/>
    </row>
    <row r="24" spans="3:50" ht="18" hidden="1">
      <c r="C24" s="57"/>
      <c r="D24" s="86"/>
      <c r="E24" s="60"/>
      <c r="F24" s="131"/>
      <c r="G24" s="131"/>
      <c r="H24" s="131"/>
    </row>
    <row r="25" spans="3:50" ht="18" hidden="1">
      <c r="C25" s="57"/>
      <c r="D25" s="86"/>
      <c r="E25" s="60"/>
      <c r="F25" s="131"/>
      <c r="G25" s="131"/>
      <c r="H25" s="131"/>
    </row>
    <row r="26" spans="3:50" ht="18" hidden="1">
      <c r="C26" s="57"/>
      <c r="D26" s="86"/>
      <c r="E26" s="60"/>
      <c r="F26" s="131"/>
      <c r="G26" s="131"/>
      <c r="H26" s="131"/>
    </row>
    <row r="27" spans="3:50" ht="18" hidden="1">
      <c r="C27" s="57"/>
      <c r="D27" s="86"/>
      <c r="E27" s="60"/>
      <c r="F27" s="131"/>
      <c r="G27" s="131"/>
      <c r="H27" s="131"/>
    </row>
    <row r="28" spans="3:50" ht="18" hidden="1">
      <c r="C28" s="86"/>
      <c r="D28" s="86"/>
      <c r="E28" s="60"/>
      <c r="F28" s="60"/>
      <c r="G28" s="60"/>
      <c r="H28" s="60"/>
    </row>
    <row r="30" spans="3:50" ht="21.75" hidden="1" customHeight="1"/>
  </sheetData>
  <sheetProtection algorithmName="SHA-512" hashValue="oPc/ZdRukfVYTfRHuI3mxyXH7ve6XNQnt+V2nkxbqot1Tetczt633CW7aGDmQ0B9GXBSTLdzRVYEHdgCKHrrtg==" saltValue="N+j8VVvJr0hGyaVQLr+C5A==" spinCount="100000" sheet="1" objects="1" scenarios="1"/>
  <mergeCells count="5">
    <mergeCell ref="C18:E18"/>
    <mergeCell ref="I3:K3"/>
    <mergeCell ref="A1:F1"/>
    <mergeCell ref="I9:N9"/>
    <mergeCell ref="B3:F3"/>
  </mergeCells>
  <phoneticPr fontId="12"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9" tint="0.39997558519241921"/>
  </sheetPr>
  <dimension ref="A1:TX102"/>
  <sheetViews>
    <sheetView showGridLines="0" showRowColHeaders="0" zoomScaleNormal="100" workbookViewId="0">
      <selection activeCell="P6" sqref="P6"/>
    </sheetView>
  </sheetViews>
  <sheetFormatPr baseColWidth="10" defaultColWidth="0" defaultRowHeight="20" customHeight="1"/>
  <cols>
    <col min="1" max="1" width="19.6640625" style="78" customWidth="1"/>
    <col min="2" max="2" width="36.1640625" style="79" customWidth="1"/>
    <col min="3" max="3" width="33.33203125" style="79" customWidth="1"/>
    <col min="4" max="4" width="32.1640625" style="79" customWidth="1"/>
    <col min="5" max="5" width="32.6640625" style="79" customWidth="1"/>
    <col min="6" max="6" width="28.33203125" style="79" customWidth="1"/>
    <col min="7" max="7" width="32.33203125" style="79" customWidth="1"/>
    <col min="8" max="8" width="33" style="79" customWidth="1"/>
    <col min="9" max="9" width="30" style="79" customWidth="1"/>
    <col min="10" max="10" width="35.33203125" style="79" customWidth="1"/>
    <col min="11" max="11" width="37.33203125" style="79" customWidth="1"/>
    <col min="12" max="12" width="38.1640625" style="79" customWidth="1"/>
    <col min="13" max="13" width="38.33203125" style="79" customWidth="1"/>
    <col min="14" max="14" width="37.33203125" style="349" customWidth="1"/>
    <col min="15" max="15" width="37.6640625" style="350" customWidth="1"/>
    <col min="16" max="16" width="37.1640625" style="350" customWidth="1"/>
    <col min="17" max="32" width="9" style="77" hidden="1" customWidth="1"/>
    <col min="33" max="33" width="11.6640625" style="77" hidden="1" customWidth="1"/>
    <col min="34" max="16384" width="9" style="77" hidden="1"/>
  </cols>
  <sheetData>
    <row r="1" spans="1:544" s="70" customFormat="1" ht="41.25" customHeight="1" thickBot="1">
      <c r="A1" s="425" t="s">
        <v>169</v>
      </c>
      <c r="B1" s="425"/>
      <c r="C1" s="425"/>
      <c r="D1" s="425"/>
      <c r="E1" s="425"/>
      <c r="F1" s="425"/>
      <c r="G1" s="425"/>
      <c r="H1" s="425"/>
      <c r="I1" s="425"/>
      <c r="J1" s="425"/>
      <c r="K1" s="425"/>
      <c r="L1" s="425"/>
      <c r="M1" s="425"/>
      <c r="N1" s="152"/>
      <c r="O1" s="152"/>
      <c r="P1" s="152"/>
    </row>
    <row r="2" spans="1:544" s="37" customFormat="1" ht="48" customHeight="1" thickBot="1">
      <c r="A2" s="155" t="s">
        <v>170</v>
      </c>
      <c r="B2" s="156" t="s">
        <v>217</v>
      </c>
      <c r="C2" s="156" t="s">
        <v>218</v>
      </c>
      <c r="D2" s="156" t="s">
        <v>219</v>
      </c>
      <c r="E2" s="156" t="s">
        <v>220</v>
      </c>
      <c r="F2" s="156" t="s">
        <v>221</v>
      </c>
      <c r="G2" s="156" t="s">
        <v>222</v>
      </c>
      <c r="H2" s="156" t="s">
        <v>223</v>
      </c>
      <c r="I2" s="156" t="s">
        <v>224</v>
      </c>
      <c r="J2" s="156" t="s">
        <v>225</v>
      </c>
      <c r="K2" s="156" t="s">
        <v>226</v>
      </c>
      <c r="L2" s="156" t="s">
        <v>227</v>
      </c>
      <c r="M2" s="157" t="s">
        <v>228</v>
      </c>
      <c r="N2" s="157" t="s">
        <v>229</v>
      </c>
      <c r="O2" s="157" t="s">
        <v>230</v>
      </c>
      <c r="P2" s="157" t="s">
        <v>231</v>
      </c>
    </row>
    <row r="3" spans="1:544" s="73" customFormat="1" ht="20" customHeight="1">
      <c r="A3" s="71">
        <v>1</v>
      </c>
      <c r="B3" s="72">
        <v>0.18624404653605742</v>
      </c>
      <c r="C3" s="72">
        <v>0.28400126345646731</v>
      </c>
      <c r="D3" s="72">
        <v>0.59790262951039053</v>
      </c>
      <c r="E3" s="72">
        <v>4.2798795804412754E-4</v>
      </c>
      <c r="F3" s="72">
        <v>1.1561808338976796E-3</v>
      </c>
      <c r="G3" s="72">
        <v>3.8017197080110515E-3</v>
      </c>
      <c r="H3" s="72">
        <v>84480.299508755634</v>
      </c>
      <c r="I3" s="72">
        <v>184032.81871979081</v>
      </c>
      <c r="J3" s="72">
        <v>503673.17509955307</v>
      </c>
      <c r="K3" s="75">
        <v>190687394.70049125</v>
      </c>
      <c r="L3" s="75">
        <v>190587842.1812802</v>
      </c>
      <c r="M3" s="75">
        <v>190268201.82490045</v>
      </c>
      <c r="N3" s="348">
        <v>99.955716585839099</v>
      </c>
      <c r="O3" s="348">
        <v>99.903532520860423</v>
      </c>
      <c r="P3" s="348">
        <v>99.735981430648764</v>
      </c>
    </row>
    <row r="4" spans="1:544" s="73" customFormat="1" ht="20" customHeight="1">
      <c r="A4" s="74">
        <v>2</v>
      </c>
      <c r="B4" s="75">
        <v>0.17872492623279551</v>
      </c>
      <c r="C4" s="75">
        <v>0.30156095188847243</v>
      </c>
      <c r="D4" s="75">
        <v>0.72565543799870569</v>
      </c>
      <c r="E4" s="75">
        <v>4.9594589524176399E-4</v>
      </c>
      <c r="F4" s="75">
        <v>1.4241259133809495E-3</v>
      </c>
      <c r="G4" s="75">
        <v>5.1170243247108714E-3</v>
      </c>
      <c r="H4" s="75">
        <v>81069.626539196048</v>
      </c>
      <c r="I4" s="75">
        <v>195411.49682373015</v>
      </c>
      <c r="J4" s="75">
        <v>611292.14097010985</v>
      </c>
      <c r="K4" s="75">
        <v>190604619.73746726</v>
      </c>
      <c r="L4" s="75">
        <v>190398120.02350846</v>
      </c>
      <c r="M4" s="75">
        <v>189710719.16686562</v>
      </c>
      <c r="N4" s="348">
        <v>99.91232708567091</v>
      </c>
      <c r="O4" s="348">
        <v>99.804082768232192</v>
      </c>
      <c r="P4" s="348">
        <v>99.443756668463635</v>
      </c>
    </row>
    <row r="5" spans="1:544" s="73" customFormat="1" ht="20" customHeight="1">
      <c r="A5" s="74">
        <v>3</v>
      </c>
      <c r="B5" s="75">
        <v>0.18126955793537175</v>
      </c>
      <c r="C5" s="75">
        <v>0.32692323480120333</v>
      </c>
      <c r="D5" s="75">
        <v>0.86604209258251441</v>
      </c>
      <c r="E5" s="75">
        <v>5.5297809810954661E-4</v>
      </c>
      <c r="F5" s="75">
        <v>1.6571144956710568E-3</v>
      </c>
      <c r="G5" s="75">
        <v>6.3581916983714033E-3</v>
      </c>
      <c r="H5" s="75">
        <v>82223.871479484616</v>
      </c>
      <c r="I5" s="75">
        <v>211846.25615117975</v>
      </c>
      <c r="J5" s="75">
        <v>729553.85879151034</v>
      </c>
      <c r="K5" s="75">
        <v>190522972.98845792</v>
      </c>
      <c r="L5" s="75">
        <v>190194491.147021</v>
      </c>
      <c r="M5" s="75">
        <v>189040296.1669848</v>
      </c>
      <c r="N5" s="348">
        <v>99.869528979813154</v>
      </c>
      <c r="O5" s="348">
        <v>99.69734330441581</v>
      </c>
      <c r="P5" s="348">
        <v>99.092330128319389</v>
      </c>
    </row>
    <row r="6" spans="1:544" s="73" customFormat="1" ht="20" customHeight="1">
      <c r="A6" s="74">
        <v>4</v>
      </c>
      <c r="B6" s="75">
        <v>0.18661917208348711</v>
      </c>
      <c r="C6" s="75">
        <v>0.35392338520164157</v>
      </c>
      <c r="D6" s="75">
        <v>1.0798395051675205</v>
      </c>
      <c r="E6" s="75">
        <v>6.0450399915836753E-4</v>
      </c>
      <c r="F6" s="75">
        <v>1.8731504022863504E-3</v>
      </c>
      <c r="G6" s="75">
        <v>7.9073911849581371E-3</v>
      </c>
      <c r="H6" s="75">
        <v>84650.45645706974</v>
      </c>
      <c r="I6" s="75">
        <v>229342.35361066373</v>
      </c>
      <c r="J6" s="75">
        <v>909656.79915311933</v>
      </c>
      <c r="K6" s="75">
        <v>190439535.82448965</v>
      </c>
      <c r="L6" s="75">
        <v>189973896.84214008</v>
      </c>
      <c r="M6" s="75">
        <v>188220690.83801249</v>
      </c>
      <c r="N6" s="348">
        <v>99.825792362993582</v>
      </c>
      <c r="O6" s="348">
        <v>99.581710795755441</v>
      </c>
      <c r="P6" s="348">
        <v>98.662704257644108</v>
      </c>
    </row>
    <row r="7" spans="1:544" s="73" customFormat="1" ht="20" customHeight="1">
      <c r="A7" s="74">
        <v>5</v>
      </c>
      <c r="B7" s="75">
        <v>0.19310138724015496</v>
      </c>
      <c r="C7" s="75">
        <v>0.38142971978256751</v>
      </c>
      <c r="D7" s="75">
        <v>1.4973746041191203</v>
      </c>
      <c r="E7" s="75">
        <v>6.5260330729540925E-4</v>
      </c>
      <c r="F7" s="75">
        <v>2.0792247993876938E-3</v>
      </c>
      <c r="G7" s="75">
        <v>1.057830286707331E-2</v>
      </c>
      <c r="H7" s="75">
        <v>87590.789252134273</v>
      </c>
      <c r="I7" s="75">
        <v>247166.45841910376</v>
      </c>
      <c r="J7" s="75">
        <v>1261388.3665099472</v>
      </c>
      <c r="K7" s="75">
        <v>190353415.20163506</v>
      </c>
      <c r="L7" s="75">
        <v>189735642.43612519</v>
      </c>
      <c r="M7" s="75">
        <v>187135168.25518095</v>
      </c>
      <c r="N7" s="348">
        <v>99.780649113835608</v>
      </c>
      <c r="O7" s="348">
        <v>99.456821104329549</v>
      </c>
      <c r="P7" s="348">
        <v>98.093688210162512</v>
      </c>
    </row>
    <row r="8" spans="1:544" s="73" customFormat="1" ht="20" customHeight="1">
      <c r="A8" s="74">
        <v>6</v>
      </c>
      <c r="B8" s="75">
        <v>0.20012558403092978</v>
      </c>
      <c r="C8" s="75">
        <v>0.40955084278209453</v>
      </c>
      <c r="D8" s="75">
        <v>2.2899819961534291</v>
      </c>
      <c r="E8" s="75">
        <v>6.9833337181443296E-4</v>
      </c>
      <c r="F8" s="75">
        <v>2.2800062514408081E-3</v>
      </c>
      <c r="G8" s="75">
        <v>1.5561823999033008E-2</v>
      </c>
      <c r="H8" s="75">
        <v>90776.964916429744</v>
      </c>
      <c r="I8" s="75">
        <v>265388.94612279726</v>
      </c>
      <c r="J8" s="75">
        <v>1929080.8335596493</v>
      </c>
      <c r="K8" s="75">
        <v>190264231.32455078</v>
      </c>
      <c r="L8" s="75">
        <v>189479364.73385423</v>
      </c>
      <c r="M8" s="75">
        <v>185539933.65514615</v>
      </c>
      <c r="N8" s="348">
        <v>99.733900148830003</v>
      </c>
      <c r="O8" s="348">
        <v>99.322483848237184</v>
      </c>
      <c r="P8" s="348">
        <v>97.257488115135502</v>
      </c>
    </row>
    <row r="9" spans="1:544" s="76" customFormat="1" ht="20" customHeight="1">
      <c r="A9" s="74">
        <v>7</v>
      </c>
      <c r="B9" s="75">
        <v>0.20743425903065232</v>
      </c>
      <c r="C9" s="75">
        <v>0.43951855219987257</v>
      </c>
      <c r="D9" s="75">
        <v>3.634529363413955</v>
      </c>
      <c r="E9" s="75">
        <v>7.4231689196103371E-4</v>
      </c>
      <c r="F9" s="75">
        <v>2.4817937334708226E-3</v>
      </c>
      <c r="G9" s="75">
        <v>2.4244054428494886E-2</v>
      </c>
      <c r="H9" s="75">
        <v>94092.179896303875</v>
      </c>
      <c r="I9" s="75">
        <v>284808.02182551741</v>
      </c>
      <c r="J9" s="75">
        <v>3061727.5357399164</v>
      </c>
      <c r="K9" s="75">
        <v>190171796.7521444</v>
      </c>
      <c r="L9" s="75">
        <v>189204266.24988008</v>
      </c>
      <c r="M9" s="75">
        <v>183044529.47049639</v>
      </c>
      <c r="N9" s="348">
        <v>99.685447213927318</v>
      </c>
      <c r="O9" s="348">
        <v>99.178280996546306</v>
      </c>
      <c r="P9" s="348">
        <v>95.949431471749378</v>
      </c>
    </row>
    <row r="10" spans="1:544" ht="20" customHeight="1">
      <c r="A10" s="74">
        <v>8</v>
      </c>
      <c r="B10" s="75">
        <v>0.21490013613590839</v>
      </c>
      <c r="C10" s="75">
        <v>0.47383052376874923</v>
      </c>
      <c r="D10" s="75">
        <v>5.6156497060653452</v>
      </c>
      <c r="E10" s="75">
        <v>7.849562687168236E-4</v>
      </c>
      <c r="F10" s="75">
        <v>2.6951903446379793E-3</v>
      </c>
      <c r="G10" s="75">
        <v>3.765568494580919E-2</v>
      </c>
      <c r="H10" s="75">
        <v>97478.701751248038</v>
      </c>
      <c r="I10" s="75">
        <v>307042.17940214957</v>
      </c>
      <c r="J10" s="75">
        <v>4730623.3123894474</v>
      </c>
      <c r="K10" s="75">
        <v>190076011.31132063</v>
      </c>
      <c r="L10" s="75">
        <v>188908341.14926624</v>
      </c>
      <c r="M10" s="75">
        <v>179148354.04643169</v>
      </c>
      <c r="N10" s="348">
        <v>99.635237799765108</v>
      </c>
      <c r="O10" s="348">
        <v>99.02316111809786</v>
      </c>
      <c r="P10" s="348">
        <v>93.907109759460965</v>
      </c>
      <c r="Q10" s="73"/>
      <c r="R10" s="73"/>
      <c r="S10" s="73"/>
      <c r="T10" s="73"/>
      <c r="U10" s="73"/>
      <c r="V10" s="73"/>
      <c r="W10" s="73"/>
      <c r="X10" s="73"/>
      <c r="Y10" s="73"/>
      <c r="Z10" s="73"/>
      <c r="AA10" s="73"/>
      <c r="AB10" s="73"/>
      <c r="AC10" s="73"/>
      <c r="AD10" s="73"/>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c r="BS10" s="73"/>
      <c r="BT10" s="73"/>
      <c r="BU10" s="73"/>
      <c r="BV10" s="73"/>
      <c r="BW10" s="73"/>
      <c r="BX10" s="73"/>
      <c r="BY10" s="73"/>
      <c r="BZ10" s="73"/>
      <c r="CA10" s="73"/>
      <c r="CB10" s="73"/>
      <c r="CC10" s="73"/>
      <c r="CD10" s="73"/>
      <c r="CE10" s="73"/>
      <c r="CF10" s="73"/>
      <c r="CG10" s="73"/>
      <c r="CH10" s="73"/>
      <c r="CI10" s="73"/>
      <c r="CJ10" s="73"/>
      <c r="CK10" s="73"/>
      <c r="CL10" s="73"/>
      <c r="CM10" s="73"/>
      <c r="CN10" s="73"/>
      <c r="CO10" s="73"/>
      <c r="CP10" s="73"/>
      <c r="CQ10" s="73"/>
      <c r="CR10" s="73"/>
      <c r="CS10" s="73"/>
      <c r="CT10" s="73"/>
      <c r="CU10" s="73"/>
      <c r="CV10" s="73"/>
      <c r="CW10" s="73"/>
      <c r="CX10" s="73"/>
      <c r="CY10" s="73"/>
      <c r="CZ10" s="73"/>
      <c r="DA10" s="73"/>
      <c r="DB10" s="73"/>
      <c r="DC10" s="73"/>
      <c r="DD10" s="73"/>
      <c r="DE10" s="73"/>
      <c r="DF10" s="73"/>
      <c r="DG10" s="73"/>
      <c r="DH10" s="73"/>
      <c r="DI10" s="73"/>
      <c r="DJ10" s="73"/>
      <c r="DK10" s="73"/>
      <c r="DL10" s="73"/>
      <c r="DM10" s="73"/>
      <c r="DN10" s="73"/>
      <c r="DO10" s="73"/>
      <c r="DP10" s="73"/>
      <c r="DQ10" s="73"/>
      <c r="DR10" s="73"/>
      <c r="DS10" s="73"/>
      <c r="DT10" s="73"/>
      <c r="DU10" s="73"/>
      <c r="DV10" s="73"/>
      <c r="DW10" s="73"/>
      <c r="DX10" s="73"/>
      <c r="DY10" s="73"/>
      <c r="DZ10" s="73"/>
      <c r="EA10" s="73"/>
      <c r="EB10" s="73"/>
      <c r="EC10" s="73"/>
      <c r="ED10" s="73"/>
      <c r="EE10" s="73"/>
      <c r="EF10" s="73"/>
      <c r="EG10" s="73"/>
      <c r="EH10" s="73"/>
      <c r="EI10" s="73"/>
      <c r="EJ10" s="73"/>
      <c r="EK10" s="73"/>
      <c r="EL10" s="73"/>
      <c r="EM10" s="73"/>
      <c r="EN10" s="73"/>
      <c r="EO10" s="73"/>
      <c r="EP10" s="73"/>
      <c r="EQ10" s="73"/>
      <c r="ER10" s="73"/>
      <c r="ES10" s="73"/>
      <c r="ET10" s="73"/>
      <c r="EU10" s="73"/>
      <c r="EV10" s="73"/>
      <c r="EW10" s="73"/>
      <c r="EX10" s="73"/>
      <c r="EY10" s="73"/>
      <c r="EZ10" s="73"/>
      <c r="FA10" s="73"/>
      <c r="FB10" s="73"/>
      <c r="FC10" s="73"/>
      <c r="FD10" s="73"/>
      <c r="FE10" s="73"/>
      <c r="FF10" s="73"/>
      <c r="FG10" s="73"/>
      <c r="FH10" s="73"/>
      <c r="FI10" s="73"/>
      <c r="FJ10" s="73"/>
      <c r="FK10" s="73"/>
      <c r="FL10" s="73"/>
      <c r="FM10" s="73"/>
      <c r="FN10" s="73"/>
      <c r="FO10" s="73"/>
      <c r="FP10" s="73"/>
      <c r="FQ10" s="73"/>
      <c r="FR10" s="73"/>
      <c r="FS10" s="73"/>
      <c r="FT10" s="73"/>
      <c r="FU10" s="73"/>
      <c r="FV10" s="73"/>
      <c r="FW10" s="73"/>
      <c r="FX10" s="73"/>
      <c r="FY10" s="73"/>
      <c r="FZ10" s="73"/>
      <c r="GA10" s="73"/>
      <c r="GB10" s="73"/>
      <c r="GC10" s="73"/>
      <c r="GD10" s="73"/>
      <c r="GE10" s="73"/>
      <c r="GF10" s="73"/>
      <c r="GG10" s="73"/>
      <c r="GH10" s="73"/>
      <c r="GI10" s="73"/>
      <c r="GJ10" s="73"/>
      <c r="GK10" s="73"/>
      <c r="GL10" s="73"/>
      <c r="GM10" s="73"/>
      <c r="GN10" s="73"/>
      <c r="GO10" s="73"/>
      <c r="GP10" s="73"/>
      <c r="GQ10" s="73"/>
      <c r="GR10" s="73"/>
      <c r="GS10" s="73"/>
      <c r="GT10" s="73"/>
      <c r="GU10" s="73"/>
      <c r="GV10" s="73"/>
      <c r="GW10" s="73"/>
      <c r="GX10" s="73"/>
      <c r="GY10" s="73"/>
      <c r="GZ10" s="73"/>
      <c r="HA10" s="73"/>
      <c r="HB10" s="73"/>
      <c r="HC10" s="73"/>
      <c r="HD10" s="73"/>
      <c r="HE10" s="73"/>
      <c r="HF10" s="73"/>
      <c r="HG10" s="73"/>
      <c r="HH10" s="73"/>
      <c r="HI10" s="73"/>
      <c r="HJ10" s="73"/>
      <c r="HK10" s="73"/>
      <c r="HL10" s="73"/>
      <c r="HM10" s="73"/>
      <c r="HN10" s="73"/>
      <c r="HO10" s="73"/>
      <c r="HP10" s="73"/>
      <c r="HQ10" s="73"/>
      <c r="HR10" s="73"/>
      <c r="HS10" s="73"/>
      <c r="HT10" s="73"/>
      <c r="HU10" s="73"/>
      <c r="HV10" s="73"/>
      <c r="HW10" s="73"/>
      <c r="HX10" s="73"/>
      <c r="HY10" s="73"/>
      <c r="HZ10" s="73"/>
      <c r="IA10" s="73"/>
      <c r="IB10" s="73"/>
      <c r="IC10" s="73"/>
      <c r="ID10" s="73"/>
      <c r="IE10" s="73"/>
      <c r="IF10" s="73"/>
      <c r="IG10" s="73"/>
      <c r="IH10" s="73"/>
      <c r="II10" s="73"/>
      <c r="IJ10" s="73"/>
      <c r="IK10" s="73"/>
      <c r="IL10" s="73"/>
      <c r="IM10" s="73"/>
      <c r="IN10" s="73"/>
      <c r="IO10" s="73"/>
      <c r="IP10" s="73"/>
      <c r="IQ10" s="73"/>
      <c r="IR10" s="73"/>
      <c r="IS10" s="73"/>
      <c r="IT10" s="73"/>
      <c r="IU10" s="73"/>
      <c r="IV10" s="73"/>
      <c r="IW10" s="73"/>
      <c r="IX10" s="73"/>
      <c r="IY10" s="73"/>
      <c r="IZ10" s="73"/>
      <c r="JA10" s="73"/>
      <c r="JB10" s="73"/>
      <c r="JC10" s="73"/>
      <c r="JD10" s="73"/>
      <c r="JE10" s="73"/>
      <c r="JF10" s="73"/>
      <c r="JG10" s="73"/>
      <c r="JH10" s="73"/>
      <c r="JI10" s="73"/>
      <c r="JJ10" s="73"/>
      <c r="JK10" s="73"/>
      <c r="JL10" s="73"/>
      <c r="JM10" s="73"/>
      <c r="JN10" s="73"/>
      <c r="JO10" s="73"/>
      <c r="JP10" s="73"/>
      <c r="JQ10" s="73"/>
      <c r="JR10" s="73"/>
      <c r="JS10" s="73"/>
      <c r="JT10" s="73"/>
      <c r="JU10" s="73"/>
      <c r="JV10" s="73"/>
      <c r="JW10" s="73"/>
      <c r="JX10" s="73"/>
      <c r="JY10" s="73"/>
      <c r="JZ10" s="73"/>
      <c r="KA10" s="73"/>
      <c r="KB10" s="73"/>
      <c r="KC10" s="73"/>
      <c r="KD10" s="73"/>
      <c r="KE10" s="73"/>
      <c r="KF10" s="73"/>
      <c r="KG10" s="73"/>
      <c r="KH10" s="73"/>
      <c r="KI10" s="73"/>
      <c r="KJ10" s="73"/>
      <c r="KK10" s="73"/>
      <c r="KL10" s="73"/>
      <c r="KM10" s="73"/>
      <c r="KN10" s="73"/>
      <c r="KO10" s="73"/>
      <c r="KP10" s="73"/>
      <c r="KQ10" s="73"/>
      <c r="KR10" s="73"/>
      <c r="KS10" s="73"/>
      <c r="KT10" s="73"/>
      <c r="KU10" s="73"/>
      <c r="KV10" s="73"/>
      <c r="KW10" s="73"/>
      <c r="KX10" s="73"/>
      <c r="KY10" s="73"/>
      <c r="KZ10" s="73"/>
      <c r="LA10" s="73"/>
      <c r="LB10" s="73"/>
      <c r="LC10" s="73"/>
      <c r="LD10" s="73"/>
      <c r="LE10" s="73"/>
      <c r="LF10" s="73"/>
      <c r="LG10" s="73"/>
      <c r="LH10" s="73"/>
      <c r="LI10" s="73"/>
      <c r="LJ10" s="73"/>
      <c r="LK10" s="73"/>
      <c r="LL10" s="73"/>
      <c r="LM10" s="73"/>
      <c r="LN10" s="73"/>
      <c r="LO10" s="73"/>
      <c r="LP10" s="73"/>
      <c r="LQ10" s="73"/>
      <c r="LR10" s="73"/>
      <c r="LS10" s="73"/>
      <c r="LT10" s="73"/>
      <c r="LU10" s="73"/>
      <c r="LV10" s="73"/>
      <c r="LW10" s="73"/>
      <c r="LX10" s="73"/>
      <c r="LY10" s="73"/>
      <c r="LZ10" s="73"/>
      <c r="MA10" s="73"/>
      <c r="MB10" s="73"/>
      <c r="MC10" s="73"/>
      <c r="MD10" s="73"/>
      <c r="ME10" s="73"/>
      <c r="MF10" s="73"/>
      <c r="MG10" s="73"/>
      <c r="MH10" s="73"/>
      <c r="MI10" s="73"/>
      <c r="MJ10" s="73"/>
      <c r="MK10" s="73"/>
      <c r="ML10" s="73"/>
      <c r="MM10" s="73"/>
      <c r="MN10" s="73"/>
      <c r="MO10" s="73"/>
      <c r="MP10" s="73"/>
      <c r="MQ10" s="73"/>
      <c r="MR10" s="73"/>
      <c r="MS10" s="73"/>
      <c r="MT10" s="73"/>
      <c r="MU10" s="73"/>
      <c r="MV10" s="73"/>
      <c r="MW10" s="73"/>
      <c r="MX10" s="73"/>
      <c r="MY10" s="73"/>
      <c r="MZ10" s="73"/>
      <c r="NA10" s="73"/>
      <c r="NB10" s="73"/>
      <c r="NC10" s="73"/>
      <c r="ND10" s="73"/>
      <c r="NE10" s="73"/>
      <c r="NF10" s="73"/>
      <c r="NG10" s="73"/>
      <c r="NH10" s="73"/>
      <c r="NI10" s="73"/>
      <c r="NJ10" s="73"/>
      <c r="NK10" s="73"/>
      <c r="NL10" s="73"/>
      <c r="NM10" s="73"/>
      <c r="NN10" s="73"/>
      <c r="NO10" s="73"/>
      <c r="NP10" s="73"/>
      <c r="NQ10" s="73"/>
      <c r="NR10" s="73"/>
      <c r="NS10" s="73"/>
      <c r="NT10" s="73"/>
      <c r="NU10" s="73"/>
      <c r="NV10" s="73"/>
      <c r="NW10" s="73"/>
      <c r="NX10" s="73"/>
      <c r="NY10" s="73"/>
      <c r="NZ10" s="73"/>
      <c r="OA10" s="73"/>
      <c r="OB10" s="73"/>
      <c r="OC10" s="73"/>
      <c r="OD10" s="73"/>
      <c r="OE10" s="73"/>
      <c r="OF10" s="73"/>
      <c r="OG10" s="73"/>
      <c r="OH10" s="73"/>
      <c r="OI10" s="73"/>
      <c r="OJ10" s="73"/>
      <c r="OK10" s="73"/>
      <c r="OL10" s="73"/>
      <c r="OM10" s="73"/>
      <c r="ON10" s="73"/>
      <c r="OO10" s="73"/>
      <c r="OP10" s="73"/>
      <c r="OQ10" s="73"/>
      <c r="OR10" s="73"/>
      <c r="OS10" s="73"/>
      <c r="OT10" s="73"/>
      <c r="OU10" s="73"/>
      <c r="OV10" s="73"/>
      <c r="OW10" s="73"/>
      <c r="OX10" s="73"/>
      <c r="OY10" s="73"/>
      <c r="OZ10" s="73"/>
      <c r="PA10" s="73"/>
      <c r="PB10" s="73"/>
      <c r="PC10" s="73"/>
      <c r="PD10" s="73"/>
      <c r="PE10" s="73"/>
      <c r="PF10" s="73"/>
      <c r="PG10" s="73"/>
      <c r="PH10" s="73"/>
      <c r="PI10" s="73"/>
      <c r="PJ10" s="73"/>
      <c r="PK10" s="73"/>
      <c r="PL10" s="73"/>
      <c r="PM10" s="73"/>
      <c r="PN10" s="73"/>
      <c r="PO10" s="73"/>
      <c r="PP10" s="73"/>
      <c r="PQ10" s="73"/>
      <c r="PR10" s="73"/>
      <c r="PS10" s="73"/>
      <c r="PT10" s="73"/>
      <c r="PU10" s="73"/>
      <c r="PV10" s="73"/>
      <c r="PW10" s="73"/>
      <c r="PX10" s="73"/>
      <c r="PY10" s="73"/>
      <c r="PZ10" s="73"/>
      <c r="QA10" s="73"/>
      <c r="QB10" s="73"/>
      <c r="QC10" s="73"/>
      <c r="QD10" s="73"/>
      <c r="QE10" s="73"/>
      <c r="QF10" s="73"/>
      <c r="QG10" s="73"/>
      <c r="QH10" s="73"/>
      <c r="QI10" s="73"/>
      <c r="QJ10" s="73"/>
      <c r="QK10" s="73"/>
      <c r="QL10" s="73"/>
      <c r="QM10" s="73"/>
      <c r="QN10" s="73"/>
      <c r="QO10" s="73"/>
      <c r="QP10" s="73"/>
      <c r="QQ10" s="73"/>
      <c r="QR10" s="73"/>
      <c r="QS10" s="73"/>
      <c r="QT10" s="73"/>
      <c r="QU10" s="73"/>
      <c r="QV10" s="73"/>
      <c r="QW10" s="73"/>
      <c r="QX10" s="73"/>
      <c r="QY10" s="73"/>
      <c r="QZ10" s="73"/>
      <c r="RA10" s="73"/>
      <c r="RB10" s="73"/>
      <c r="RC10" s="73"/>
      <c r="RD10" s="73"/>
      <c r="RE10" s="73"/>
      <c r="RF10" s="73"/>
      <c r="RG10" s="73"/>
      <c r="RH10" s="73"/>
      <c r="RI10" s="73"/>
      <c r="RJ10" s="73"/>
      <c r="RK10" s="73"/>
      <c r="RL10" s="73"/>
      <c r="RM10" s="73"/>
      <c r="RN10" s="73"/>
      <c r="RO10" s="73"/>
      <c r="RP10" s="73"/>
      <c r="RQ10" s="73"/>
      <c r="RR10" s="73"/>
      <c r="RS10" s="73"/>
      <c r="RT10" s="73"/>
      <c r="RU10" s="73"/>
      <c r="RV10" s="73"/>
      <c r="RW10" s="73"/>
      <c r="RX10" s="73"/>
      <c r="RY10" s="73"/>
      <c r="RZ10" s="73"/>
      <c r="SA10" s="73"/>
      <c r="SB10" s="73"/>
      <c r="SC10" s="73"/>
      <c r="SD10" s="73"/>
      <c r="SE10" s="73"/>
      <c r="SF10" s="73"/>
      <c r="SG10" s="73"/>
      <c r="SH10" s="73"/>
      <c r="SI10" s="73"/>
      <c r="SJ10" s="73"/>
      <c r="SK10" s="73"/>
      <c r="SL10" s="73"/>
      <c r="SM10" s="73"/>
      <c r="SN10" s="73"/>
      <c r="SO10" s="73"/>
      <c r="SP10" s="73"/>
      <c r="SQ10" s="73"/>
      <c r="SR10" s="73"/>
      <c r="SS10" s="73"/>
      <c r="ST10" s="73"/>
      <c r="SU10" s="73"/>
      <c r="SV10" s="73"/>
      <c r="SW10" s="73"/>
      <c r="SX10" s="73"/>
      <c r="SY10" s="73"/>
      <c r="SZ10" s="73"/>
      <c r="TA10" s="73"/>
      <c r="TB10" s="73"/>
      <c r="TC10" s="73"/>
      <c r="TD10" s="73"/>
      <c r="TE10" s="73"/>
      <c r="TF10" s="73"/>
      <c r="TG10" s="73"/>
      <c r="TH10" s="73"/>
      <c r="TI10" s="73"/>
      <c r="TJ10" s="73"/>
      <c r="TK10" s="73"/>
      <c r="TL10" s="73"/>
      <c r="TM10" s="73"/>
      <c r="TN10" s="73"/>
      <c r="TO10" s="73"/>
      <c r="TP10" s="73"/>
      <c r="TQ10" s="73"/>
      <c r="TR10" s="73"/>
      <c r="TS10" s="73"/>
      <c r="TT10" s="73"/>
      <c r="TU10" s="73"/>
      <c r="TV10" s="73"/>
      <c r="TW10" s="73"/>
      <c r="TX10" s="73"/>
    </row>
    <row r="11" spans="1:544" ht="20" customHeight="1">
      <c r="A11" s="74">
        <v>9</v>
      </c>
      <c r="B11" s="75">
        <v>0.22245584090578788</v>
      </c>
      <c r="C11" s="75">
        <v>0.51611762007291551</v>
      </c>
      <c r="D11" s="75">
        <v>8.1221982630749192</v>
      </c>
      <c r="E11" s="75">
        <v>8.2653004798790327E-4</v>
      </c>
      <c r="F11" s="75">
        <v>2.9361753483812757E-3</v>
      </c>
      <c r="G11" s="75">
        <v>5.5682775690261636E-2</v>
      </c>
      <c r="H11" s="75">
        <v>100905.96943486536</v>
      </c>
      <c r="I11" s="75">
        <v>334444.21780724922</v>
      </c>
      <c r="J11" s="75">
        <v>6842139.8168143127</v>
      </c>
      <c r="K11" s="75">
        <v>189976818.97572756</v>
      </c>
      <c r="L11" s="75">
        <v>188587597.95066154</v>
      </c>
      <c r="M11" s="75">
        <v>173361972.48182982</v>
      </c>
      <c r="N11" s="348">
        <v>99.583242538098219</v>
      </c>
      <c r="O11" s="348">
        <v>98.855031933119875</v>
      </c>
      <c r="P11" s="348">
        <v>90.873967916827269</v>
      </c>
      <c r="Q11" s="73"/>
      <c r="R11" s="73"/>
      <c r="S11" s="73"/>
      <c r="T11" s="73"/>
      <c r="U11" s="73"/>
      <c r="V11" s="73"/>
      <c r="W11" s="73"/>
      <c r="X11" s="73"/>
      <c r="Y11" s="73"/>
      <c r="Z11" s="73"/>
      <c r="AA11" s="73"/>
      <c r="AB11" s="73"/>
      <c r="AC11" s="73"/>
      <c r="AD11" s="73"/>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c r="BS11" s="73"/>
      <c r="BT11" s="73"/>
      <c r="BU11" s="73"/>
      <c r="BV11" s="73"/>
      <c r="BW11" s="73"/>
      <c r="BX11" s="73"/>
      <c r="BY11" s="73"/>
      <c r="BZ11" s="73"/>
      <c r="CA11" s="73"/>
      <c r="CB11" s="73"/>
      <c r="CC11" s="73"/>
      <c r="CD11" s="73"/>
      <c r="CE11" s="73"/>
      <c r="CF11" s="73"/>
      <c r="CG11" s="73"/>
      <c r="CH11" s="73"/>
      <c r="CI11" s="73"/>
      <c r="CJ11" s="73"/>
      <c r="CK11" s="73"/>
      <c r="CL11" s="73"/>
      <c r="CM11" s="73"/>
      <c r="CN11" s="73"/>
      <c r="CO11" s="73"/>
      <c r="CP11" s="73"/>
      <c r="CQ11" s="73"/>
      <c r="CR11" s="73"/>
      <c r="CS11" s="73"/>
      <c r="CT11" s="73"/>
      <c r="CU11" s="73"/>
      <c r="CV11" s="73"/>
      <c r="CW11" s="73"/>
      <c r="CX11" s="73"/>
      <c r="CY11" s="73"/>
      <c r="CZ11" s="73"/>
      <c r="DA11" s="73"/>
      <c r="DB11" s="73"/>
      <c r="DC11" s="73"/>
      <c r="DD11" s="73"/>
      <c r="DE11" s="73"/>
      <c r="DF11" s="73"/>
      <c r="DG11" s="73"/>
      <c r="DH11" s="73"/>
      <c r="DI11" s="73"/>
      <c r="DJ11" s="73"/>
      <c r="DK11" s="73"/>
      <c r="DL11" s="73"/>
      <c r="DM11" s="73"/>
      <c r="DN11" s="73"/>
      <c r="DO11" s="73"/>
      <c r="DP11" s="73"/>
      <c r="DQ11" s="73"/>
      <c r="DR11" s="73"/>
      <c r="DS11" s="73"/>
      <c r="DT11" s="73"/>
      <c r="DU11" s="73"/>
      <c r="DV11" s="73"/>
      <c r="DW11" s="73"/>
      <c r="DX11" s="73"/>
      <c r="DY11" s="73"/>
      <c r="DZ11" s="73"/>
      <c r="EA11" s="73"/>
      <c r="EB11" s="73"/>
      <c r="EC11" s="73"/>
      <c r="ED11" s="73"/>
      <c r="EE11" s="73"/>
      <c r="EF11" s="73"/>
      <c r="EG11" s="73"/>
      <c r="EH11" s="73"/>
      <c r="EI11" s="73"/>
      <c r="EJ11" s="73"/>
      <c r="EK11" s="73"/>
      <c r="EL11" s="73"/>
      <c r="EM11" s="73"/>
      <c r="EN11" s="73"/>
      <c r="EO11" s="73"/>
      <c r="EP11" s="73"/>
      <c r="EQ11" s="73"/>
      <c r="ER11" s="73"/>
      <c r="ES11" s="73"/>
      <c r="ET11" s="73"/>
      <c r="EU11" s="73"/>
      <c r="EV11" s="73"/>
      <c r="EW11" s="73"/>
      <c r="EX11" s="73"/>
      <c r="EY11" s="73"/>
      <c r="EZ11" s="73"/>
      <c r="FA11" s="73"/>
      <c r="FB11" s="73"/>
      <c r="FC11" s="73"/>
      <c r="FD11" s="73"/>
      <c r="FE11" s="73"/>
      <c r="FF11" s="73"/>
      <c r="FG11" s="73"/>
      <c r="FH11" s="73"/>
      <c r="FI11" s="73"/>
      <c r="FJ11" s="73"/>
      <c r="FK11" s="73"/>
      <c r="FL11" s="73"/>
      <c r="FM11" s="73"/>
      <c r="FN11" s="73"/>
      <c r="FO11" s="73"/>
      <c r="FP11" s="73"/>
      <c r="FQ11" s="73"/>
      <c r="FR11" s="73"/>
      <c r="FS11" s="73"/>
      <c r="FT11" s="73"/>
      <c r="FU11" s="73"/>
      <c r="FV11" s="73"/>
      <c r="FW11" s="73"/>
      <c r="FX11" s="73"/>
      <c r="FY11" s="73"/>
      <c r="FZ11" s="73"/>
      <c r="GA11" s="73"/>
      <c r="GB11" s="73"/>
      <c r="GC11" s="73"/>
      <c r="GD11" s="73"/>
      <c r="GE11" s="73"/>
      <c r="GF11" s="73"/>
      <c r="GG11" s="73"/>
      <c r="GH11" s="73"/>
      <c r="GI11" s="73"/>
      <c r="GJ11" s="73"/>
      <c r="GK11" s="73"/>
      <c r="GL11" s="73"/>
      <c r="GM11" s="73"/>
      <c r="GN11" s="73"/>
      <c r="GO11" s="73"/>
      <c r="GP11" s="73"/>
      <c r="GQ11" s="73"/>
      <c r="GR11" s="73"/>
      <c r="GS11" s="73"/>
      <c r="GT11" s="73"/>
      <c r="GU11" s="73"/>
      <c r="GV11" s="73"/>
      <c r="GW11" s="73"/>
      <c r="GX11" s="73"/>
      <c r="GY11" s="73"/>
      <c r="GZ11" s="73"/>
      <c r="HA11" s="73"/>
      <c r="HB11" s="73"/>
      <c r="HC11" s="73"/>
      <c r="HD11" s="73"/>
      <c r="HE11" s="73"/>
      <c r="HF11" s="73"/>
      <c r="HG11" s="73"/>
      <c r="HH11" s="73"/>
      <c r="HI11" s="73"/>
      <c r="HJ11" s="73"/>
      <c r="HK11" s="73"/>
      <c r="HL11" s="73"/>
      <c r="HM11" s="73"/>
      <c r="HN11" s="73"/>
      <c r="HO11" s="73"/>
      <c r="HP11" s="73"/>
      <c r="HQ11" s="73"/>
      <c r="HR11" s="73"/>
      <c r="HS11" s="73"/>
      <c r="HT11" s="73"/>
      <c r="HU11" s="73"/>
      <c r="HV11" s="73"/>
      <c r="HW11" s="73"/>
      <c r="HX11" s="73"/>
      <c r="HY11" s="73"/>
      <c r="HZ11" s="73"/>
      <c r="IA11" s="73"/>
      <c r="IB11" s="73"/>
      <c r="IC11" s="73"/>
      <c r="ID11" s="73"/>
      <c r="IE11" s="73"/>
      <c r="IF11" s="73"/>
      <c r="IG11" s="73"/>
      <c r="IH11" s="73"/>
      <c r="II11" s="73"/>
      <c r="IJ11" s="73"/>
      <c r="IK11" s="73"/>
      <c r="IL11" s="73"/>
      <c r="IM11" s="73"/>
      <c r="IN11" s="73"/>
      <c r="IO11" s="73"/>
      <c r="IP11" s="73"/>
      <c r="IQ11" s="73"/>
      <c r="IR11" s="73"/>
      <c r="IS11" s="73"/>
      <c r="IT11" s="73"/>
      <c r="IU11" s="73"/>
      <c r="IV11" s="73"/>
      <c r="IW11" s="73"/>
      <c r="IX11" s="73"/>
      <c r="IY11" s="73"/>
      <c r="IZ11" s="73"/>
      <c r="JA11" s="73"/>
      <c r="JB11" s="73"/>
      <c r="JC11" s="73"/>
      <c r="JD11" s="73"/>
      <c r="JE11" s="73"/>
      <c r="JF11" s="73"/>
      <c r="JG11" s="73"/>
      <c r="JH11" s="73"/>
      <c r="JI11" s="73"/>
      <c r="JJ11" s="73"/>
      <c r="JK11" s="73"/>
      <c r="JL11" s="73"/>
      <c r="JM11" s="73"/>
      <c r="JN11" s="73"/>
      <c r="JO11" s="73"/>
      <c r="JP11" s="73"/>
      <c r="JQ11" s="73"/>
      <c r="JR11" s="73"/>
      <c r="JS11" s="73"/>
      <c r="JT11" s="73"/>
      <c r="JU11" s="73"/>
      <c r="JV11" s="73"/>
      <c r="JW11" s="73"/>
      <c r="JX11" s="73"/>
      <c r="JY11" s="73"/>
      <c r="JZ11" s="73"/>
      <c r="KA11" s="73"/>
      <c r="KB11" s="73"/>
      <c r="KC11" s="73"/>
      <c r="KD11" s="73"/>
      <c r="KE11" s="73"/>
      <c r="KF11" s="73"/>
      <c r="KG11" s="73"/>
      <c r="KH11" s="73"/>
      <c r="KI11" s="73"/>
      <c r="KJ11" s="73"/>
      <c r="KK11" s="73"/>
      <c r="KL11" s="73"/>
      <c r="KM11" s="73"/>
      <c r="KN11" s="73"/>
      <c r="KO11" s="73"/>
      <c r="KP11" s="73"/>
      <c r="KQ11" s="73"/>
      <c r="KR11" s="73"/>
      <c r="KS11" s="73"/>
      <c r="KT11" s="73"/>
      <c r="KU11" s="73"/>
      <c r="KV11" s="73"/>
      <c r="KW11" s="73"/>
      <c r="KX11" s="73"/>
      <c r="KY11" s="73"/>
      <c r="KZ11" s="73"/>
      <c r="LA11" s="73"/>
      <c r="LB11" s="73"/>
      <c r="LC11" s="73"/>
      <c r="LD11" s="73"/>
      <c r="LE11" s="73"/>
      <c r="LF11" s="73"/>
      <c r="LG11" s="73"/>
      <c r="LH11" s="73"/>
      <c r="LI11" s="73"/>
      <c r="LJ11" s="73"/>
      <c r="LK11" s="73"/>
      <c r="LL11" s="73"/>
      <c r="LM11" s="73"/>
      <c r="LN11" s="73"/>
      <c r="LO11" s="73"/>
      <c r="LP11" s="73"/>
      <c r="LQ11" s="73"/>
      <c r="LR11" s="73"/>
      <c r="LS11" s="73"/>
      <c r="LT11" s="73"/>
      <c r="LU11" s="73"/>
      <c r="LV11" s="73"/>
      <c r="LW11" s="73"/>
      <c r="LX11" s="73"/>
      <c r="LY11" s="73"/>
      <c r="LZ11" s="73"/>
      <c r="MA11" s="73"/>
      <c r="MB11" s="73"/>
      <c r="MC11" s="73"/>
      <c r="MD11" s="73"/>
      <c r="ME11" s="73"/>
      <c r="MF11" s="73"/>
      <c r="MG11" s="73"/>
      <c r="MH11" s="73"/>
      <c r="MI11" s="73"/>
      <c r="MJ11" s="73"/>
      <c r="MK11" s="73"/>
      <c r="ML11" s="73"/>
      <c r="MM11" s="73"/>
      <c r="MN11" s="73"/>
      <c r="MO11" s="73"/>
      <c r="MP11" s="73"/>
      <c r="MQ11" s="73"/>
      <c r="MR11" s="73"/>
      <c r="MS11" s="73"/>
      <c r="MT11" s="73"/>
      <c r="MU11" s="73"/>
      <c r="MV11" s="73"/>
      <c r="MW11" s="73"/>
      <c r="MX11" s="73"/>
      <c r="MY11" s="73"/>
      <c r="MZ11" s="73"/>
      <c r="NA11" s="73"/>
      <c r="NB11" s="73"/>
      <c r="NC11" s="73"/>
      <c r="ND11" s="73"/>
      <c r="NE11" s="73"/>
      <c r="NF11" s="73"/>
      <c r="NG11" s="73"/>
      <c r="NH11" s="73"/>
      <c r="NI11" s="73"/>
      <c r="NJ11" s="73"/>
      <c r="NK11" s="73"/>
      <c r="NL11" s="73"/>
      <c r="NM11" s="73"/>
      <c r="NN11" s="73"/>
      <c r="NO11" s="73"/>
      <c r="NP11" s="73"/>
      <c r="NQ11" s="73"/>
      <c r="NR11" s="73"/>
      <c r="NS11" s="73"/>
      <c r="NT11" s="73"/>
      <c r="NU11" s="73"/>
      <c r="NV11" s="73"/>
      <c r="NW11" s="73"/>
      <c r="NX11" s="73"/>
      <c r="NY11" s="73"/>
      <c r="NZ11" s="73"/>
      <c r="OA11" s="73"/>
      <c r="OB11" s="73"/>
      <c r="OC11" s="73"/>
      <c r="OD11" s="73"/>
      <c r="OE11" s="73"/>
      <c r="OF11" s="73"/>
      <c r="OG11" s="73"/>
      <c r="OH11" s="73"/>
      <c r="OI11" s="73"/>
      <c r="OJ11" s="73"/>
      <c r="OK11" s="73"/>
      <c r="OL11" s="73"/>
      <c r="OM11" s="73"/>
      <c r="ON11" s="73"/>
      <c r="OO11" s="73"/>
      <c r="OP11" s="73"/>
      <c r="OQ11" s="73"/>
      <c r="OR11" s="73"/>
      <c r="OS11" s="73"/>
      <c r="OT11" s="73"/>
      <c r="OU11" s="73"/>
      <c r="OV11" s="73"/>
      <c r="OW11" s="73"/>
      <c r="OX11" s="73"/>
      <c r="OY11" s="73"/>
      <c r="OZ11" s="73"/>
      <c r="PA11" s="73"/>
      <c r="PB11" s="73"/>
      <c r="PC11" s="73"/>
      <c r="PD11" s="73"/>
      <c r="PE11" s="73"/>
      <c r="PF11" s="73"/>
      <c r="PG11" s="73"/>
      <c r="PH11" s="73"/>
      <c r="PI11" s="73"/>
      <c r="PJ11" s="73"/>
      <c r="PK11" s="73"/>
      <c r="PL11" s="73"/>
      <c r="PM11" s="73"/>
      <c r="PN11" s="73"/>
      <c r="PO11" s="73"/>
      <c r="PP11" s="73"/>
      <c r="PQ11" s="73"/>
      <c r="PR11" s="73"/>
      <c r="PS11" s="73"/>
      <c r="PT11" s="73"/>
      <c r="PU11" s="73"/>
      <c r="PV11" s="73"/>
      <c r="PW11" s="73"/>
      <c r="PX11" s="73"/>
      <c r="PY11" s="73"/>
      <c r="PZ11" s="73"/>
      <c r="QA11" s="73"/>
      <c r="QB11" s="73"/>
      <c r="QC11" s="73"/>
      <c r="QD11" s="73"/>
      <c r="QE11" s="73"/>
      <c r="QF11" s="73"/>
      <c r="QG11" s="73"/>
      <c r="QH11" s="73"/>
      <c r="QI11" s="73"/>
      <c r="QJ11" s="73"/>
      <c r="QK11" s="73"/>
      <c r="QL11" s="73"/>
      <c r="QM11" s="73"/>
      <c r="QN11" s="73"/>
      <c r="QO11" s="73"/>
      <c r="QP11" s="73"/>
      <c r="QQ11" s="73"/>
      <c r="QR11" s="73"/>
      <c r="QS11" s="73"/>
      <c r="QT11" s="73"/>
      <c r="QU11" s="73"/>
      <c r="QV11" s="73"/>
      <c r="QW11" s="73"/>
      <c r="QX11" s="73"/>
      <c r="QY11" s="73"/>
      <c r="QZ11" s="73"/>
      <c r="RA11" s="73"/>
      <c r="RB11" s="73"/>
      <c r="RC11" s="73"/>
      <c r="RD11" s="73"/>
      <c r="RE11" s="73"/>
      <c r="RF11" s="73"/>
      <c r="RG11" s="73"/>
      <c r="RH11" s="73"/>
      <c r="RI11" s="73"/>
      <c r="RJ11" s="73"/>
      <c r="RK11" s="73"/>
      <c r="RL11" s="73"/>
      <c r="RM11" s="73"/>
      <c r="RN11" s="73"/>
      <c r="RO11" s="73"/>
      <c r="RP11" s="73"/>
      <c r="RQ11" s="73"/>
      <c r="RR11" s="73"/>
      <c r="RS11" s="73"/>
      <c r="RT11" s="73"/>
      <c r="RU11" s="73"/>
      <c r="RV11" s="73"/>
      <c r="RW11" s="73"/>
      <c r="RX11" s="73"/>
      <c r="RY11" s="73"/>
      <c r="RZ11" s="73"/>
      <c r="SA11" s="73"/>
      <c r="SB11" s="73"/>
      <c r="SC11" s="73"/>
      <c r="SD11" s="73"/>
      <c r="SE11" s="73"/>
      <c r="SF11" s="73"/>
      <c r="SG11" s="73"/>
      <c r="SH11" s="73"/>
      <c r="SI11" s="73"/>
      <c r="SJ11" s="73"/>
      <c r="SK11" s="73"/>
      <c r="SL11" s="73"/>
      <c r="SM11" s="73"/>
      <c r="SN11" s="73"/>
      <c r="SO11" s="73"/>
      <c r="SP11" s="73"/>
      <c r="SQ11" s="73"/>
      <c r="SR11" s="73"/>
      <c r="SS11" s="73"/>
      <c r="ST11" s="73"/>
      <c r="SU11" s="73"/>
      <c r="SV11" s="73"/>
      <c r="SW11" s="73"/>
      <c r="SX11" s="73"/>
      <c r="SY11" s="73"/>
      <c r="SZ11" s="73"/>
      <c r="TA11" s="73"/>
      <c r="TB11" s="73"/>
      <c r="TC11" s="73"/>
      <c r="TD11" s="73"/>
      <c r="TE11" s="73"/>
      <c r="TF11" s="73"/>
      <c r="TG11" s="73"/>
      <c r="TH11" s="73"/>
      <c r="TI11" s="73"/>
      <c r="TJ11" s="73"/>
      <c r="TK11" s="73"/>
      <c r="TL11" s="73"/>
      <c r="TM11" s="73"/>
      <c r="TN11" s="73"/>
      <c r="TO11" s="73"/>
      <c r="TP11" s="73"/>
      <c r="TQ11" s="73"/>
      <c r="TR11" s="73"/>
      <c r="TS11" s="73"/>
      <c r="TT11" s="73"/>
      <c r="TU11" s="73"/>
      <c r="TV11" s="73"/>
      <c r="TW11" s="73"/>
      <c r="TX11" s="73"/>
    </row>
    <row r="12" spans="1:544" ht="20" customHeight="1">
      <c r="A12" s="74">
        <v>10</v>
      </c>
      <c r="B12" s="75">
        <v>0.23006687814568835</v>
      </c>
      <c r="C12" s="75">
        <v>0.57085810656518365</v>
      </c>
      <c r="D12" s="75">
        <v>10.848631552035073</v>
      </c>
      <c r="E12" s="75">
        <v>8.6724507320745821E-4</v>
      </c>
      <c r="F12" s="75">
        <v>3.2258702672233117E-3</v>
      </c>
      <c r="G12" s="75">
        <v>7.673488438214951E-2</v>
      </c>
      <c r="H12" s="75">
        <v>104358.33592688423</v>
      </c>
      <c r="I12" s="75">
        <v>369916.05305423902</v>
      </c>
      <c r="J12" s="75">
        <v>9138887.219434347</v>
      </c>
      <c r="K12" s="75">
        <v>189874186.82304668</v>
      </c>
      <c r="L12" s="75">
        <v>188235417.81523082</v>
      </c>
      <c r="M12" s="75">
        <v>165371458.96370548</v>
      </c>
      <c r="N12" s="348">
        <v>99.529444171498909</v>
      </c>
      <c r="O12" s="348">
        <v>98.670423937087591</v>
      </c>
      <c r="P12" s="348">
        <v>86.685450338895848</v>
      </c>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c r="BS12" s="73"/>
      <c r="BT12" s="73"/>
      <c r="BU12" s="73"/>
      <c r="BV12" s="73"/>
      <c r="BW12" s="73"/>
      <c r="BX12" s="73"/>
      <c r="BY12" s="73"/>
      <c r="BZ12" s="73"/>
      <c r="CA12" s="73"/>
      <c r="CB12" s="73"/>
      <c r="CC12" s="73"/>
      <c r="CD12" s="73"/>
      <c r="CE12" s="73"/>
      <c r="CF12" s="73"/>
      <c r="CG12" s="73"/>
      <c r="CH12" s="73"/>
      <c r="CI12" s="73"/>
      <c r="CJ12" s="73"/>
      <c r="CK12" s="73"/>
      <c r="CL12" s="73"/>
      <c r="CM12" s="73"/>
      <c r="CN12" s="73"/>
      <c r="CO12" s="73"/>
      <c r="CP12" s="73"/>
      <c r="CQ12" s="73"/>
      <c r="CR12" s="73"/>
      <c r="CS12" s="73"/>
      <c r="CT12" s="73"/>
      <c r="CU12" s="73"/>
      <c r="CV12" s="73"/>
      <c r="CW12" s="73"/>
      <c r="CX12" s="73"/>
      <c r="CY12" s="73"/>
      <c r="CZ12" s="73"/>
      <c r="DA12" s="73"/>
      <c r="DB12" s="73"/>
      <c r="DC12" s="73"/>
      <c r="DD12" s="73"/>
      <c r="DE12" s="73"/>
      <c r="DF12" s="73"/>
      <c r="DG12" s="73"/>
      <c r="DH12" s="73"/>
      <c r="DI12" s="73"/>
      <c r="DJ12" s="73"/>
      <c r="DK12" s="73"/>
      <c r="DL12" s="73"/>
      <c r="DM12" s="73"/>
      <c r="DN12" s="73"/>
      <c r="DO12" s="73"/>
      <c r="DP12" s="73"/>
      <c r="DQ12" s="73"/>
      <c r="DR12" s="73"/>
      <c r="DS12" s="73"/>
      <c r="DT12" s="73"/>
      <c r="DU12" s="73"/>
      <c r="DV12" s="73"/>
      <c r="DW12" s="73"/>
      <c r="DX12" s="73"/>
      <c r="DY12" s="73"/>
      <c r="DZ12" s="73"/>
      <c r="EA12" s="73"/>
      <c r="EB12" s="73"/>
      <c r="EC12" s="73"/>
      <c r="ED12" s="73"/>
      <c r="EE12" s="73"/>
      <c r="EF12" s="73"/>
      <c r="EG12" s="73"/>
      <c r="EH12" s="73"/>
      <c r="EI12" s="73"/>
      <c r="EJ12" s="73"/>
      <c r="EK12" s="73"/>
      <c r="EL12" s="73"/>
      <c r="EM12" s="73"/>
      <c r="EN12" s="73"/>
      <c r="EO12" s="73"/>
      <c r="EP12" s="73"/>
      <c r="EQ12" s="73"/>
      <c r="ER12" s="73"/>
      <c r="ES12" s="73"/>
      <c r="ET12" s="73"/>
      <c r="EU12" s="73"/>
      <c r="EV12" s="73"/>
      <c r="EW12" s="73"/>
      <c r="EX12" s="73"/>
      <c r="EY12" s="73"/>
      <c r="EZ12" s="73"/>
      <c r="FA12" s="73"/>
      <c r="FB12" s="73"/>
      <c r="FC12" s="73"/>
      <c r="FD12" s="73"/>
      <c r="FE12" s="73"/>
      <c r="FF12" s="73"/>
      <c r="FG12" s="73"/>
      <c r="FH12" s="73"/>
      <c r="FI12" s="73"/>
      <c r="FJ12" s="73"/>
      <c r="FK12" s="73"/>
      <c r="FL12" s="73"/>
      <c r="FM12" s="73"/>
      <c r="FN12" s="73"/>
      <c r="FO12" s="73"/>
      <c r="FP12" s="73"/>
      <c r="FQ12" s="73"/>
      <c r="FR12" s="73"/>
      <c r="FS12" s="73"/>
      <c r="FT12" s="73"/>
      <c r="FU12" s="73"/>
      <c r="FV12" s="73"/>
      <c r="FW12" s="73"/>
      <c r="FX12" s="73"/>
      <c r="FY12" s="73"/>
      <c r="FZ12" s="73"/>
      <c r="GA12" s="73"/>
      <c r="GB12" s="73"/>
      <c r="GC12" s="73"/>
      <c r="GD12" s="73"/>
      <c r="GE12" s="73"/>
      <c r="GF12" s="73"/>
      <c r="GG12" s="73"/>
      <c r="GH12" s="73"/>
      <c r="GI12" s="73"/>
      <c r="GJ12" s="73"/>
      <c r="GK12" s="73"/>
      <c r="GL12" s="73"/>
      <c r="GM12" s="73"/>
      <c r="GN12" s="73"/>
      <c r="GO12" s="73"/>
      <c r="GP12" s="73"/>
      <c r="GQ12" s="73"/>
      <c r="GR12" s="73"/>
      <c r="GS12" s="73"/>
      <c r="GT12" s="73"/>
      <c r="GU12" s="73"/>
      <c r="GV12" s="73"/>
      <c r="GW12" s="73"/>
      <c r="GX12" s="73"/>
      <c r="GY12" s="73"/>
      <c r="GZ12" s="73"/>
      <c r="HA12" s="73"/>
      <c r="HB12" s="73"/>
      <c r="HC12" s="73"/>
      <c r="HD12" s="73"/>
      <c r="HE12" s="73"/>
      <c r="HF12" s="73"/>
      <c r="HG12" s="73"/>
      <c r="HH12" s="73"/>
      <c r="HI12" s="73"/>
      <c r="HJ12" s="73"/>
      <c r="HK12" s="73"/>
      <c r="HL12" s="73"/>
      <c r="HM12" s="73"/>
      <c r="HN12" s="73"/>
      <c r="HO12" s="73"/>
      <c r="HP12" s="73"/>
      <c r="HQ12" s="73"/>
      <c r="HR12" s="73"/>
      <c r="HS12" s="73"/>
      <c r="HT12" s="73"/>
      <c r="HU12" s="73"/>
      <c r="HV12" s="73"/>
      <c r="HW12" s="73"/>
      <c r="HX12" s="73"/>
      <c r="HY12" s="73"/>
      <c r="HZ12" s="73"/>
      <c r="IA12" s="73"/>
      <c r="IB12" s="73"/>
      <c r="IC12" s="73"/>
      <c r="ID12" s="73"/>
      <c r="IE12" s="73"/>
      <c r="IF12" s="73"/>
      <c r="IG12" s="73"/>
      <c r="IH12" s="73"/>
      <c r="II12" s="73"/>
      <c r="IJ12" s="73"/>
      <c r="IK12" s="73"/>
      <c r="IL12" s="73"/>
      <c r="IM12" s="73"/>
      <c r="IN12" s="73"/>
      <c r="IO12" s="73"/>
      <c r="IP12" s="73"/>
      <c r="IQ12" s="73"/>
      <c r="IR12" s="73"/>
      <c r="IS12" s="73"/>
      <c r="IT12" s="73"/>
      <c r="IU12" s="73"/>
      <c r="IV12" s="73"/>
      <c r="IW12" s="73"/>
      <c r="IX12" s="73"/>
      <c r="IY12" s="73"/>
      <c r="IZ12" s="73"/>
      <c r="JA12" s="73"/>
      <c r="JB12" s="73"/>
      <c r="JC12" s="73"/>
      <c r="JD12" s="73"/>
      <c r="JE12" s="73"/>
      <c r="JF12" s="73"/>
      <c r="JG12" s="73"/>
      <c r="JH12" s="73"/>
      <c r="JI12" s="73"/>
      <c r="JJ12" s="73"/>
      <c r="JK12" s="73"/>
      <c r="JL12" s="73"/>
      <c r="JM12" s="73"/>
      <c r="JN12" s="73"/>
      <c r="JO12" s="73"/>
      <c r="JP12" s="73"/>
      <c r="JQ12" s="73"/>
      <c r="JR12" s="73"/>
      <c r="JS12" s="73"/>
      <c r="JT12" s="73"/>
      <c r="JU12" s="73"/>
      <c r="JV12" s="73"/>
      <c r="JW12" s="73"/>
      <c r="JX12" s="73"/>
      <c r="JY12" s="73"/>
      <c r="JZ12" s="73"/>
      <c r="KA12" s="73"/>
      <c r="KB12" s="73"/>
      <c r="KC12" s="73"/>
      <c r="KD12" s="73"/>
      <c r="KE12" s="73"/>
      <c r="KF12" s="73"/>
      <c r="KG12" s="73"/>
      <c r="KH12" s="73"/>
      <c r="KI12" s="73"/>
      <c r="KJ12" s="73"/>
      <c r="KK12" s="73"/>
      <c r="KL12" s="73"/>
      <c r="KM12" s="73"/>
      <c r="KN12" s="73"/>
      <c r="KO12" s="73"/>
      <c r="KP12" s="73"/>
      <c r="KQ12" s="73"/>
      <c r="KR12" s="73"/>
      <c r="KS12" s="73"/>
      <c r="KT12" s="73"/>
      <c r="KU12" s="73"/>
      <c r="KV12" s="73"/>
      <c r="KW12" s="73"/>
      <c r="KX12" s="73"/>
      <c r="KY12" s="73"/>
      <c r="KZ12" s="73"/>
      <c r="LA12" s="73"/>
      <c r="LB12" s="73"/>
      <c r="LC12" s="73"/>
      <c r="LD12" s="73"/>
      <c r="LE12" s="73"/>
      <c r="LF12" s="73"/>
      <c r="LG12" s="73"/>
      <c r="LH12" s="73"/>
      <c r="LI12" s="73"/>
      <c r="LJ12" s="73"/>
      <c r="LK12" s="73"/>
      <c r="LL12" s="73"/>
      <c r="LM12" s="73"/>
      <c r="LN12" s="73"/>
      <c r="LO12" s="73"/>
      <c r="LP12" s="73"/>
      <c r="LQ12" s="73"/>
      <c r="LR12" s="73"/>
      <c r="LS12" s="73"/>
      <c r="LT12" s="73"/>
      <c r="LU12" s="73"/>
      <c r="LV12" s="73"/>
      <c r="LW12" s="73"/>
      <c r="LX12" s="73"/>
      <c r="LY12" s="73"/>
      <c r="LZ12" s="73"/>
      <c r="MA12" s="73"/>
      <c r="MB12" s="73"/>
      <c r="MC12" s="73"/>
      <c r="MD12" s="73"/>
      <c r="ME12" s="73"/>
      <c r="MF12" s="73"/>
      <c r="MG12" s="73"/>
      <c r="MH12" s="73"/>
      <c r="MI12" s="73"/>
      <c r="MJ12" s="73"/>
      <c r="MK12" s="73"/>
      <c r="ML12" s="73"/>
      <c r="MM12" s="73"/>
      <c r="MN12" s="73"/>
      <c r="MO12" s="73"/>
      <c r="MP12" s="73"/>
      <c r="MQ12" s="73"/>
      <c r="MR12" s="73"/>
      <c r="MS12" s="73"/>
      <c r="MT12" s="73"/>
      <c r="MU12" s="73"/>
      <c r="MV12" s="73"/>
      <c r="MW12" s="73"/>
      <c r="MX12" s="73"/>
      <c r="MY12" s="73"/>
      <c r="MZ12" s="73"/>
      <c r="NA12" s="73"/>
      <c r="NB12" s="73"/>
      <c r="NC12" s="73"/>
      <c r="ND12" s="73"/>
      <c r="NE12" s="73"/>
      <c r="NF12" s="73"/>
      <c r="NG12" s="73"/>
      <c r="NH12" s="73"/>
      <c r="NI12" s="73"/>
      <c r="NJ12" s="73"/>
      <c r="NK12" s="73"/>
      <c r="NL12" s="73"/>
      <c r="NM12" s="73"/>
      <c r="NN12" s="73"/>
      <c r="NO12" s="73"/>
      <c r="NP12" s="73"/>
      <c r="NQ12" s="73"/>
      <c r="NR12" s="73"/>
      <c r="NS12" s="73"/>
      <c r="NT12" s="73"/>
      <c r="NU12" s="73"/>
      <c r="NV12" s="73"/>
      <c r="NW12" s="73"/>
      <c r="NX12" s="73"/>
      <c r="NY12" s="73"/>
      <c r="NZ12" s="73"/>
      <c r="OA12" s="73"/>
      <c r="OB12" s="73"/>
      <c r="OC12" s="73"/>
      <c r="OD12" s="73"/>
      <c r="OE12" s="73"/>
      <c r="OF12" s="73"/>
      <c r="OG12" s="73"/>
      <c r="OH12" s="73"/>
      <c r="OI12" s="73"/>
      <c r="OJ12" s="73"/>
      <c r="OK12" s="73"/>
      <c r="OL12" s="73"/>
      <c r="OM12" s="73"/>
      <c r="ON12" s="73"/>
      <c r="OO12" s="73"/>
      <c r="OP12" s="73"/>
      <c r="OQ12" s="73"/>
      <c r="OR12" s="73"/>
      <c r="OS12" s="73"/>
      <c r="OT12" s="73"/>
      <c r="OU12" s="73"/>
      <c r="OV12" s="73"/>
      <c r="OW12" s="73"/>
      <c r="OX12" s="73"/>
      <c r="OY12" s="73"/>
      <c r="OZ12" s="73"/>
      <c r="PA12" s="73"/>
      <c r="PB12" s="73"/>
      <c r="PC12" s="73"/>
      <c r="PD12" s="73"/>
      <c r="PE12" s="73"/>
      <c r="PF12" s="73"/>
      <c r="PG12" s="73"/>
      <c r="PH12" s="73"/>
      <c r="PI12" s="73"/>
      <c r="PJ12" s="73"/>
      <c r="PK12" s="73"/>
      <c r="PL12" s="73"/>
      <c r="PM12" s="73"/>
      <c r="PN12" s="73"/>
      <c r="PO12" s="73"/>
      <c r="PP12" s="73"/>
      <c r="PQ12" s="73"/>
      <c r="PR12" s="73"/>
      <c r="PS12" s="73"/>
      <c r="PT12" s="73"/>
      <c r="PU12" s="73"/>
      <c r="PV12" s="73"/>
      <c r="PW12" s="73"/>
      <c r="PX12" s="73"/>
      <c r="PY12" s="73"/>
      <c r="PZ12" s="73"/>
      <c r="QA12" s="73"/>
      <c r="QB12" s="73"/>
      <c r="QC12" s="73"/>
      <c r="QD12" s="73"/>
      <c r="QE12" s="73"/>
      <c r="QF12" s="73"/>
      <c r="QG12" s="73"/>
      <c r="QH12" s="73"/>
      <c r="QI12" s="73"/>
      <c r="QJ12" s="73"/>
      <c r="QK12" s="73"/>
      <c r="QL12" s="73"/>
      <c r="QM12" s="73"/>
      <c r="QN12" s="73"/>
      <c r="QO12" s="73"/>
      <c r="QP12" s="73"/>
      <c r="QQ12" s="73"/>
      <c r="QR12" s="73"/>
      <c r="QS12" s="73"/>
      <c r="QT12" s="73"/>
      <c r="QU12" s="73"/>
      <c r="QV12" s="73"/>
      <c r="QW12" s="73"/>
      <c r="QX12" s="73"/>
      <c r="QY12" s="73"/>
      <c r="QZ12" s="73"/>
      <c r="RA12" s="73"/>
      <c r="RB12" s="73"/>
      <c r="RC12" s="73"/>
      <c r="RD12" s="73"/>
      <c r="RE12" s="73"/>
      <c r="RF12" s="73"/>
      <c r="RG12" s="73"/>
      <c r="RH12" s="73"/>
      <c r="RI12" s="73"/>
      <c r="RJ12" s="73"/>
      <c r="RK12" s="73"/>
      <c r="RL12" s="73"/>
      <c r="RM12" s="73"/>
      <c r="RN12" s="73"/>
      <c r="RO12" s="73"/>
      <c r="RP12" s="73"/>
      <c r="RQ12" s="73"/>
      <c r="RR12" s="73"/>
      <c r="RS12" s="73"/>
      <c r="RT12" s="73"/>
      <c r="RU12" s="73"/>
      <c r="RV12" s="73"/>
      <c r="RW12" s="73"/>
      <c r="RX12" s="73"/>
      <c r="RY12" s="73"/>
      <c r="RZ12" s="73"/>
      <c r="SA12" s="73"/>
      <c r="SB12" s="73"/>
      <c r="SC12" s="73"/>
      <c r="SD12" s="73"/>
      <c r="SE12" s="73"/>
      <c r="SF12" s="73"/>
      <c r="SG12" s="73"/>
      <c r="SH12" s="73"/>
      <c r="SI12" s="73"/>
      <c r="SJ12" s="73"/>
      <c r="SK12" s="73"/>
      <c r="SL12" s="73"/>
      <c r="SM12" s="73"/>
      <c r="SN12" s="73"/>
      <c r="SO12" s="73"/>
      <c r="SP12" s="73"/>
      <c r="SQ12" s="73"/>
      <c r="SR12" s="73"/>
      <c r="SS12" s="73"/>
      <c r="ST12" s="73"/>
      <c r="SU12" s="73"/>
      <c r="SV12" s="73"/>
      <c r="SW12" s="73"/>
      <c r="SX12" s="73"/>
      <c r="SY12" s="73"/>
      <c r="SZ12" s="73"/>
      <c r="TA12" s="73"/>
      <c r="TB12" s="73"/>
      <c r="TC12" s="73"/>
      <c r="TD12" s="73"/>
      <c r="TE12" s="73"/>
      <c r="TF12" s="73"/>
      <c r="TG12" s="73"/>
      <c r="TH12" s="73"/>
      <c r="TI12" s="73"/>
      <c r="TJ12" s="73"/>
      <c r="TK12" s="73"/>
      <c r="TL12" s="73"/>
      <c r="TM12" s="73"/>
      <c r="TN12" s="73"/>
      <c r="TO12" s="73"/>
      <c r="TP12" s="73"/>
      <c r="TQ12" s="73"/>
      <c r="TR12" s="73"/>
      <c r="TS12" s="73"/>
      <c r="TT12" s="73"/>
      <c r="TU12" s="73"/>
      <c r="TV12" s="73"/>
      <c r="TW12" s="73"/>
      <c r="TX12" s="73"/>
    </row>
    <row r="13" spans="1:544" ht="20" customHeight="1">
      <c r="A13" s="74">
        <v>11</v>
      </c>
      <c r="B13" s="75">
        <v>0.23772241826231524</v>
      </c>
      <c r="C13" s="75">
        <v>0.64314946816995278</v>
      </c>
      <c r="D13" s="75">
        <v>13.403538183708029</v>
      </c>
      <c r="E13" s="75">
        <v>9.0727179532662148E-4</v>
      </c>
      <c r="F13" s="75">
        <v>3.5898364833370114E-3</v>
      </c>
      <c r="G13" s="75">
        <v>9.8183653685119721E-2</v>
      </c>
      <c r="H13" s="75">
        <v>107830.88892378617</v>
      </c>
      <c r="I13" s="75">
        <v>416760.85537412943</v>
      </c>
      <c r="J13" s="75">
        <v>11291140.565955644</v>
      </c>
      <c r="K13" s="75">
        <v>189768092.21062136</v>
      </c>
      <c r="L13" s="75">
        <v>187842079.36101663</v>
      </c>
      <c r="M13" s="75">
        <v>155156445.07101047</v>
      </c>
      <c r="N13" s="348">
        <v>99.473830830997159</v>
      </c>
      <c r="O13" s="348">
        <v>98.464241314930007</v>
      </c>
      <c r="P13" s="348">
        <v>81.330880178753006</v>
      </c>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c r="BS13" s="73"/>
      <c r="BT13" s="73"/>
      <c r="BU13" s="73"/>
      <c r="BV13" s="73"/>
      <c r="BW13" s="73"/>
      <c r="BX13" s="73"/>
      <c r="BY13" s="73"/>
      <c r="BZ13" s="73"/>
      <c r="CA13" s="73"/>
      <c r="CB13" s="73"/>
      <c r="CC13" s="73"/>
      <c r="CD13" s="73"/>
      <c r="CE13" s="73"/>
      <c r="CF13" s="73"/>
      <c r="CG13" s="73"/>
      <c r="CH13" s="73"/>
      <c r="CI13" s="73"/>
      <c r="CJ13" s="73"/>
      <c r="CK13" s="73"/>
      <c r="CL13" s="73"/>
      <c r="CM13" s="73"/>
      <c r="CN13" s="73"/>
      <c r="CO13" s="73"/>
      <c r="CP13" s="73"/>
      <c r="CQ13" s="73"/>
      <c r="CR13" s="73"/>
      <c r="CS13" s="73"/>
      <c r="CT13" s="73"/>
      <c r="CU13" s="73"/>
      <c r="CV13" s="73"/>
      <c r="CW13" s="73"/>
      <c r="CX13" s="73"/>
      <c r="CY13" s="73"/>
      <c r="CZ13" s="73"/>
      <c r="DA13" s="73"/>
      <c r="DB13" s="73"/>
      <c r="DC13" s="73"/>
      <c r="DD13" s="73"/>
      <c r="DE13" s="73"/>
      <c r="DF13" s="73"/>
      <c r="DG13" s="73"/>
      <c r="DH13" s="73"/>
      <c r="DI13" s="73"/>
      <c r="DJ13" s="73"/>
      <c r="DK13" s="73"/>
      <c r="DL13" s="73"/>
      <c r="DM13" s="73"/>
      <c r="DN13" s="73"/>
      <c r="DO13" s="73"/>
      <c r="DP13" s="73"/>
      <c r="DQ13" s="73"/>
      <c r="DR13" s="73"/>
      <c r="DS13" s="73"/>
      <c r="DT13" s="73"/>
      <c r="DU13" s="73"/>
      <c r="DV13" s="73"/>
      <c r="DW13" s="73"/>
      <c r="DX13" s="73"/>
      <c r="DY13" s="73"/>
      <c r="DZ13" s="73"/>
      <c r="EA13" s="73"/>
      <c r="EB13" s="73"/>
      <c r="EC13" s="73"/>
      <c r="ED13" s="73"/>
      <c r="EE13" s="73"/>
      <c r="EF13" s="73"/>
      <c r="EG13" s="73"/>
      <c r="EH13" s="73"/>
      <c r="EI13" s="73"/>
      <c r="EJ13" s="73"/>
      <c r="EK13" s="73"/>
      <c r="EL13" s="73"/>
      <c r="EM13" s="73"/>
      <c r="EN13" s="73"/>
      <c r="EO13" s="73"/>
      <c r="EP13" s="73"/>
      <c r="EQ13" s="73"/>
      <c r="ER13" s="73"/>
      <c r="ES13" s="73"/>
      <c r="ET13" s="73"/>
      <c r="EU13" s="73"/>
      <c r="EV13" s="73"/>
      <c r="EW13" s="73"/>
      <c r="EX13" s="73"/>
      <c r="EY13" s="73"/>
      <c r="EZ13" s="73"/>
      <c r="FA13" s="73"/>
      <c r="FB13" s="73"/>
      <c r="FC13" s="73"/>
      <c r="FD13" s="73"/>
      <c r="FE13" s="73"/>
      <c r="FF13" s="73"/>
      <c r="FG13" s="73"/>
      <c r="FH13" s="73"/>
      <c r="FI13" s="73"/>
      <c r="FJ13" s="73"/>
      <c r="FK13" s="73"/>
      <c r="FL13" s="73"/>
      <c r="FM13" s="73"/>
      <c r="FN13" s="73"/>
      <c r="FO13" s="73"/>
      <c r="FP13" s="73"/>
      <c r="FQ13" s="73"/>
      <c r="FR13" s="73"/>
      <c r="FS13" s="73"/>
      <c r="FT13" s="73"/>
      <c r="FU13" s="73"/>
      <c r="FV13" s="73"/>
      <c r="FW13" s="73"/>
      <c r="FX13" s="73"/>
      <c r="FY13" s="73"/>
      <c r="FZ13" s="73"/>
      <c r="GA13" s="73"/>
      <c r="GB13" s="73"/>
      <c r="GC13" s="73"/>
      <c r="GD13" s="73"/>
      <c r="GE13" s="73"/>
      <c r="GF13" s="73"/>
      <c r="GG13" s="73"/>
      <c r="GH13" s="73"/>
      <c r="GI13" s="73"/>
      <c r="GJ13" s="73"/>
      <c r="GK13" s="73"/>
      <c r="GL13" s="73"/>
      <c r="GM13" s="73"/>
      <c r="GN13" s="73"/>
      <c r="GO13" s="73"/>
      <c r="GP13" s="73"/>
      <c r="GQ13" s="73"/>
      <c r="GR13" s="73"/>
      <c r="GS13" s="73"/>
      <c r="GT13" s="73"/>
      <c r="GU13" s="73"/>
      <c r="GV13" s="73"/>
      <c r="GW13" s="73"/>
      <c r="GX13" s="73"/>
      <c r="GY13" s="73"/>
      <c r="GZ13" s="73"/>
      <c r="HA13" s="73"/>
      <c r="HB13" s="73"/>
      <c r="HC13" s="73"/>
      <c r="HD13" s="73"/>
      <c r="HE13" s="73"/>
      <c r="HF13" s="73"/>
      <c r="HG13" s="73"/>
      <c r="HH13" s="73"/>
      <c r="HI13" s="73"/>
      <c r="HJ13" s="73"/>
      <c r="HK13" s="73"/>
      <c r="HL13" s="73"/>
      <c r="HM13" s="73"/>
      <c r="HN13" s="73"/>
      <c r="HO13" s="73"/>
      <c r="HP13" s="73"/>
      <c r="HQ13" s="73"/>
      <c r="HR13" s="73"/>
      <c r="HS13" s="73"/>
      <c r="HT13" s="73"/>
      <c r="HU13" s="73"/>
      <c r="HV13" s="73"/>
      <c r="HW13" s="73"/>
      <c r="HX13" s="73"/>
      <c r="HY13" s="73"/>
      <c r="HZ13" s="73"/>
      <c r="IA13" s="73"/>
      <c r="IB13" s="73"/>
      <c r="IC13" s="73"/>
      <c r="ID13" s="73"/>
      <c r="IE13" s="73"/>
      <c r="IF13" s="73"/>
      <c r="IG13" s="73"/>
      <c r="IH13" s="73"/>
      <c r="II13" s="73"/>
      <c r="IJ13" s="73"/>
      <c r="IK13" s="73"/>
      <c r="IL13" s="73"/>
      <c r="IM13" s="73"/>
      <c r="IN13" s="73"/>
      <c r="IO13" s="73"/>
      <c r="IP13" s="73"/>
      <c r="IQ13" s="73"/>
      <c r="IR13" s="73"/>
      <c r="IS13" s="73"/>
      <c r="IT13" s="73"/>
      <c r="IU13" s="73"/>
      <c r="IV13" s="73"/>
      <c r="IW13" s="73"/>
      <c r="IX13" s="73"/>
      <c r="IY13" s="73"/>
      <c r="IZ13" s="73"/>
      <c r="JA13" s="73"/>
      <c r="JB13" s="73"/>
      <c r="JC13" s="73"/>
      <c r="JD13" s="73"/>
      <c r="JE13" s="73"/>
      <c r="JF13" s="73"/>
      <c r="JG13" s="73"/>
      <c r="JH13" s="73"/>
      <c r="JI13" s="73"/>
      <c r="JJ13" s="73"/>
      <c r="JK13" s="73"/>
      <c r="JL13" s="73"/>
      <c r="JM13" s="73"/>
      <c r="JN13" s="73"/>
      <c r="JO13" s="73"/>
      <c r="JP13" s="73"/>
      <c r="JQ13" s="73"/>
      <c r="JR13" s="73"/>
      <c r="JS13" s="73"/>
      <c r="JT13" s="73"/>
      <c r="JU13" s="73"/>
      <c r="JV13" s="73"/>
      <c r="JW13" s="73"/>
      <c r="JX13" s="73"/>
      <c r="JY13" s="73"/>
      <c r="JZ13" s="73"/>
      <c r="KA13" s="73"/>
      <c r="KB13" s="73"/>
      <c r="KC13" s="73"/>
      <c r="KD13" s="73"/>
      <c r="KE13" s="73"/>
      <c r="KF13" s="73"/>
      <c r="KG13" s="73"/>
      <c r="KH13" s="73"/>
      <c r="KI13" s="73"/>
      <c r="KJ13" s="73"/>
      <c r="KK13" s="73"/>
      <c r="KL13" s="73"/>
      <c r="KM13" s="73"/>
      <c r="KN13" s="73"/>
      <c r="KO13" s="73"/>
      <c r="KP13" s="73"/>
      <c r="KQ13" s="73"/>
      <c r="KR13" s="73"/>
      <c r="KS13" s="73"/>
      <c r="KT13" s="73"/>
      <c r="KU13" s="73"/>
      <c r="KV13" s="73"/>
      <c r="KW13" s="73"/>
      <c r="KX13" s="73"/>
      <c r="KY13" s="73"/>
      <c r="KZ13" s="73"/>
      <c r="LA13" s="73"/>
      <c r="LB13" s="73"/>
      <c r="LC13" s="73"/>
      <c r="LD13" s="73"/>
      <c r="LE13" s="73"/>
      <c r="LF13" s="73"/>
      <c r="LG13" s="73"/>
      <c r="LH13" s="73"/>
      <c r="LI13" s="73"/>
      <c r="LJ13" s="73"/>
      <c r="LK13" s="73"/>
      <c r="LL13" s="73"/>
      <c r="LM13" s="73"/>
      <c r="LN13" s="73"/>
      <c r="LO13" s="73"/>
      <c r="LP13" s="73"/>
      <c r="LQ13" s="73"/>
      <c r="LR13" s="73"/>
      <c r="LS13" s="73"/>
      <c r="LT13" s="73"/>
      <c r="LU13" s="73"/>
      <c r="LV13" s="73"/>
      <c r="LW13" s="73"/>
      <c r="LX13" s="73"/>
      <c r="LY13" s="73"/>
      <c r="LZ13" s="73"/>
      <c r="MA13" s="73"/>
      <c r="MB13" s="73"/>
      <c r="MC13" s="73"/>
      <c r="MD13" s="73"/>
      <c r="ME13" s="73"/>
      <c r="MF13" s="73"/>
      <c r="MG13" s="73"/>
      <c r="MH13" s="73"/>
      <c r="MI13" s="73"/>
      <c r="MJ13" s="73"/>
      <c r="MK13" s="73"/>
      <c r="ML13" s="73"/>
      <c r="MM13" s="73"/>
      <c r="MN13" s="73"/>
      <c r="MO13" s="73"/>
      <c r="MP13" s="73"/>
      <c r="MQ13" s="73"/>
      <c r="MR13" s="73"/>
      <c r="MS13" s="73"/>
      <c r="MT13" s="73"/>
      <c r="MU13" s="73"/>
      <c r="MV13" s="73"/>
      <c r="MW13" s="73"/>
      <c r="MX13" s="73"/>
      <c r="MY13" s="73"/>
      <c r="MZ13" s="73"/>
      <c r="NA13" s="73"/>
      <c r="NB13" s="73"/>
      <c r="NC13" s="73"/>
      <c r="ND13" s="73"/>
      <c r="NE13" s="73"/>
      <c r="NF13" s="73"/>
      <c r="NG13" s="73"/>
      <c r="NH13" s="73"/>
      <c r="NI13" s="73"/>
      <c r="NJ13" s="73"/>
      <c r="NK13" s="73"/>
      <c r="NL13" s="73"/>
      <c r="NM13" s="73"/>
      <c r="NN13" s="73"/>
      <c r="NO13" s="73"/>
      <c r="NP13" s="73"/>
      <c r="NQ13" s="73"/>
      <c r="NR13" s="73"/>
      <c r="NS13" s="73"/>
      <c r="NT13" s="73"/>
      <c r="NU13" s="73"/>
      <c r="NV13" s="73"/>
      <c r="NW13" s="73"/>
      <c r="NX13" s="73"/>
      <c r="NY13" s="73"/>
      <c r="NZ13" s="73"/>
      <c r="OA13" s="73"/>
      <c r="OB13" s="73"/>
      <c r="OC13" s="73"/>
      <c r="OD13" s="73"/>
      <c r="OE13" s="73"/>
      <c r="OF13" s="73"/>
      <c r="OG13" s="73"/>
      <c r="OH13" s="73"/>
      <c r="OI13" s="73"/>
      <c r="OJ13" s="73"/>
      <c r="OK13" s="73"/>
      <c r="OL13" s="73"/>
      <c r="OM13" s="73"/>
      <c r="ON13" s="73"/>
      <c r="OO13" s="73"/>
      <c r="OP13" s="73"/>
      <c r="OQ13" s="73"/>
      <c r="OR13" s="73"/>
      <c r="OS13" s="73"/>
      <c r="OT13" s="73"/>
      <c r="OU13" s="73"/>
      <c r="OV13" s="73"/>
      <c r="OW13" s="73"/>
      <c r="OX13" s="73"/>
      <c r="OY13" s="73"/>
      <c r="OZ13" s="73"/>
      <c r="PA13" s="73"/>
      <c r="PB13" s="73"/>
      <c r="PC13" s="73"/>
      <c r="PD13" s="73"/>
      <c r="PE13" s="73"/>
      <c r="PF13" s="73"/>
      <c r="PG13" s="73"/>
      <c r="PH13" s="73"/>
      <c r="PI13" s="73"/>
      <c r="PJ13" s="73"/>
      <c r="PK13" s="73"/>
      <c r="PL13" s="73"/>
      <c r="PM13" s="73"/>
      <c r="PN13" s="73"/>
      <c r="PO13" s="73"/>
      <c r="PP13" s="73"/>
      <c r="PQ13" s="73"/>
      <c r="PR13" s="73"/>
      <c r="PS13" s="73"/>
      <c r="PT13" s="73"/>
      <c r="PU13" s="73"/>
      <c r="PV13" s="73"/>
      <c r="PW13" s="73"/>
      <c r="PX13" s="73"/>
      <c r="PY13" s="73"/>
      <c r="PZ13" s="73"/>
      <c r="QA13" s="73"/>
      <c r="QB13" s="73"/>
      <c r="QC13" s="73"/>
      <c r="QD13" s="73"/>
      <c r="QE13" s="73"/>
      <c r="QF13" s="73"/>
      <c r="QG13" s="73"/>
      <c r="QH13" s="73"/>
      <c r="QI13" s="73"/>
      <c r="QJ13" s="73"/>
      <c r="QK13" s="73"/>
      <c r="QL13" s="73"/>
      <c r="QM13" s="73"/>
      <c r="QN13" s="73"/>
      <c r="QO13" s="73"/>
      <c r="QP13" s="73"/>
      <c r="QQ13" s="73"/>
      <c r="QR13" s="73"/>
      <c r="QS13" s="73"/>
      <c r="QT13" s="73"/>
      <c r="QU13" s="73"/>
      <c r="QV13" s="73"/>
      <c r="QW13" s="73"/>
      <c r="QX13" s="73"/>
      <c r="QY13" s="73"/>
      <c r="QZ13" s="73"/>
      <c r="RA13" s="73"/>
      <c r="RB13" s="73"/>
      <c r="RC13" s="73"/>
      <c r="RD13" s="73"/>
      <c r="RE13" s="73"/>
      <c r="RF13" s="73"/>
      <c r="RG13" s="73"/>
      <c r="RH13" s="73"/>
      <c r="RI13" s="73"/>
      <c r="RJ13" s="73"/>
      <c r="RK13" s="73"/>
      <c r="RL13" s="73"/>
      <c r="RM13" s="73"/>
      <c r="RN13" s="73"/>
      <c r="RO13" s="73"/>
      <c r="RP13" s="73"/>
      <c r="RQ13" s="73"/>
      <c r="RR13" s="73"/>
      <c r="RS13" s="73"/>
      <c r="RT13" s="73"/>
      <c r="RU13" s="73"/>
      <c r="RV13" s="73"/>
      <c r="RW13" s="73"/>
      <c r="RX13" s="73"/>
      <c r="RY13" s="73"/>
      <c r="RZ13" s="73"/>
      <c r="SA13" s="73"/>
      <c r="SB13" s="73"/>
      <c r="SC13" s="73"/>
      <c r="SD13" s="73"/>
      <c r="SE13" s="73"/>
      <c r="SF13" s="73"/>
      <c r="SG13" s="73"/>
      <c r="SH13" s="73"/>
      <c r="SI13" s="73"/>
      <c r="SJ13" s="73"/>
      <c r="SK13" s="73"/>
      <c r="SL13" s="73"/>
      <c r="SM13" s="73"/>
      <c r="SN13" s="73"/>
      <c r="SO13" s="73"/>
      <c r="SP13" s="73"/>
      <c r="SQ13" s="73"/>
      <c r="SR13" s="73"/>
      <c r="SS13" s="73"/>
      <c r="ST13" s="73"/>
      <c r="SU13" s="73"/>
      <c r="SV13" s="73"/>
      <c r="SW13" s="73"/>
      <c r="SX13" s="73"/>
      <c r="SY13" s="73"/>
      <c r="SZ13" s="73"/>
      <c r="TA13" s="73"/>
      <c r="TB13" s="73"/>
      <c r="TC13" s="73"/>
      <c r="TD13" s="73"/>
      <c r="TE13" s="73"/>
      <c r="TF13" s="73"/>
      <c r="TG13" s="73"/>
      <c r="TH13" s="73"/>
      <c r="TI13" s="73"/>
      <c r="TJ13" s="73"/>
      <c r="TK13" s="73"/>
      <c r="TL13" s="73"/>
      <c r="TM13" s="73"/>
      <c r="TN13" s="73"/>
      <c r="TO13" s="73"/>
      <c r="TP13" s="73"/>
      <c r="TQ13" s="73"/>
      <c r="TR13" s="73"/>
      <c r="TS13" s="73"/>
      <c r="TT13" s="73"/>
      <c r="TU13" s="73"/>
      <c r="TV13" s="73"/>
      <c r="TW13" s="73"/>
      <c r="TX13" s="73"/>
    </row>
    <row r="14" spans="1:544" ht="20" customHeight="1">
      <c r="A14" s="74">
        <v>12</v>
      </c>
      <c r="B14" s="75">
        <v>0.24543445762237423</v>
      </c>
      <c r="C14" s="75">
        <v>0.73861235251396928</v>
      </c>
      <c r="D14" s="75">
        <v>15.441456567076635</v>
      </c>
      <c r="E14" s="75">
        <v>9.4677393800178219E-4</v>
      </c>
      <c r="F14" s="75">
        <v>4.0575304604157317E-3</v>
      </c>
      <c r="G14" s="75">
        <v>0.11722620078609736</v>
      </c>
      <c r="H14" s="75">
        <v>111329.06997750893</v>
      </c>
      <c r="I14" s="75">
        <v>478620.80442905216</v>
      </c>
      <c r="J14" s="75">
        <v>13007883.012105359</v>
      </c>
      <c r="K14" s="75">
        <v>189658512.23117071</v>
      </c>
      <c r="L14" s="75">
        <v>187394388.53111503</v>
      </c>
      <c r="M14" s="75">
        <v>143006933.28197998</v>
      </c>
      <c r="N14" s="348">
        <v>99.416390508910553</v>
      </c>
      <c r="O14" s="348">
        <v>98.229567923004907</v>
      </c>
      <c r="P14" s="348">
        <v>74.962272757438683</v>
      </c>
      <c r="Q14" s="73"/>
      <c r="R14" s="73"/>
      <c r="S14" s="73"/>
      <c r="T14" s="73"/>
      <c r="U14" s="73"/>
      <c r="V14" s="73"/>
      <c r="W14" s="73"/>
      <c r="X14" s="73"/>
      <c r="Y14" s="73"/>
      <c r="Z14" s="73"/>
      <c r="AA14" s="73"/>
      <c r="AB14" s="73"/>
      <c r="AC14" s="73"/>
      <c r="AD14" s="73"/>
      <c r="AE14" s="73"/>
      <c r="AF14" s="73"/>
      <c r="AG14" s="73"/>
      <c r="AH14" s="73"/>
      <c r="AI14" s="73"/>
      <c r="AJ14" s="73"/>
      <c r="AK14" s="73"/>
      <c r="AL14" s="73"/>
      <c r="AM14" s="73"/>
      <c r="AN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W14" s="73"/>
      <c r="BX14" s="73"/>
      <c r="BY14" s="73"/>
      <c r="BZ14" s="73"/>
      <c r="CA14" s="73"/>
      <c r="CB14" s="73"/>
      <c r="CC14" s="73"/>
      <c r="CD14" s="73"/>
      <c r="CE14" s="73"/>
      <c r="CF14" s="73"/>
      <c r="CG14" s="73"/>
      <c r="CH14" s="73"/>
      <c r="CI14" s="73"/>
      <c r="CJ14" s="73"/>
      <c r="CK14" s="73"/>
      <c r="CL14" s="73"/>
      <c r="CM14" s="73"/>
      <c r="CN14" s="73"/>
      <c r="CO14" s="73"/>
      <c r="CP14" s="73"/>
      <c r="CQ14" s="73"/>
      <c r="CR14" s="73"/>
      <c r="CS14" s="73"/>
      <c r="CT14" s="73"/>
      <c r="CU14" s="73"/>
      <c r="CV14" s="73"/>
      <c r="CW14" s="73"/>
      <c r="CX14" s="73"/>
      <c r="CY14" s="73"/>
      <c r="CZ14" s="73"/>
      <c r="DA14" s="73"/>
      <c r="DB14" s="73"/>
      <c r="DC14" s="73"/>
      <c r="DD14" s="73"/>
      <c r="DE14" s="73"/>
      <c r="DF14" s="73"/>
      <c r="DG14" s="73"/>
      <c r="DH14" s="73"/>
      <c r="DI14" s="73"/>
      <c r="DJ14" s="73"/>
      <c r="DK14" s="73"/>
      <c r="DL14" s="73"/>
      <c r="DM14" s="73"/>
      <c r="DN14" s="73"/>
      <c r="DO14" s="73"/>
      <c r="DP14" s="73"/>
      <c r="DQ14" s="73"/>
      <c r="DR14" s="73"/>
      <c r="DS14" s="73"/>
      <c r="DT14" s="73"/>
      <c r="DU14" s="73"/>
      <c r="DV14" s="73"/>
      <c r="DW14" s="73"/>
      <c r="DX14" s="73"/>
      <c r="DY14" s="73"/>
      <c r="DZ14" s="73"/>
      <c r="EA14" s="73"/>
      <c r="EB14" s="73"/>
      <c r="EC14" s="73"/>
      <c r="ED14" s="73"/>
      <c r="EE14" s="73"/>
      <c r="EF14" s="73"/>
      <c r="EG14" s="73"/>
      <c r="EH14" s="73"/>
      <c r="EI14" s="73"/>
      <c r="EJ14" s="73"/>
      <c r="EK14" s="73"/>
      <c r="EL14" s="73"/>
      <c r="EM14" s="73"/>
      <c r="EN14" s="73"/>
      <c r="EO14" s="73"/>
      <c r="EP14" s="73"/>
      <c r="EQ14" s="73"/>
      <c r="ER14" s="73"/>
      <c r="ES14" s="73"/>
      <c r="ET14" s="73"/>
      <c r="EU14" s="73"/>
      <c r="EV14" s="73"/>
      <c r="EW14" s="73"/>
      <c r="EX14" s="73"/>
      <c r="EY14" s="73"/>
      <c r="EZ14" s="73"/>
      <c r="FA14" s="73"/>
      <c r="FB14" s="73"/>
      <c r="FC14" s="73"/>
      <c r="FD14" s="73"/>
      <c r="FE14" s="73"/>
      <c r="FF14" s="73"/>
      <c r="FG14" s="73"/>
      <c r="FH14" s="73"/>
      <c r="FI14" s="73"/>
      <c r="FJ14" s="73"/>
      <c r="FK14" s="73"/>
      <c r="FL14" s="73"/>
      <c r="FM14" s="73"/>
      <c r="FN14" s="73"/>
      <c r="FO14" s="73"/>
      <c r="FP14" s="73"/>
      <c r="FQ14" s="73"/>
      <c r="FR14" s="73"/>
      <c r="FS14" s="73"/>
      <c r="FT14" s="73"/>
      <c r="FU14" s="73"/>
      <c r="FV14" s="73"/>
      <c r="FW14" s="73"/>
      <c r="FX14" s="73"/>
      <c r="FY14" s="73"/>
      <c r="FZ14" s="73"/>
      <c r="GA14" s="73"/>
      <c r="GB14" s="73"/>
      <c r="GC14" s="73"/>
      <c r="GD14" s="73"/>
      <c r="GE14" s="73"/>
      <c r="GF14" s="73"/>
      <c r="GG14" s="73"/>
      <c r="GH14" s="73"/>
      <c r="GI14" s="73"/>
      <c r="GJ14" s="73"/>
      <c r="GK14" s="73"/>
      <c r="GL14" s="73"/>
      <c r="GM14" s="73"/>
      <c r="GN14" s="73"/>
      <c r="GO14" s="73"/>
      <c r="GP14" s="73"/>
      <c r="GQ14" s="73"/>
      <c r="GR14" s="73"/>
      <c r="GS14" s="73"/>
      <c r="GT14" s="73"/>
      <c r="GU14" s="73"/>
      <c r="GV14" s="73"/>
      <c r="GW14" s="73"/>
      <c r="GX14" s="73"/>
      <c r="GY14" s="73"/>
      <c r="GZ14" s="73"/>
      <c r="HA14" s="73"/>
      <c r="HB14" s="73"/>
      <c r="HC14" s="73"/>
      <c r="HD14" s="73"/>
      <c r="HE14" s="73"/>
      <c r="HF14" s="73"/>
      <c r="HG14" s="73"/>
      <c r="HH14" s="73"/>
      <c r="HI14" s="73"/>
      <c r="HJ14" s="73"/>
      <c r="HK14" s="73"/>
      <c r="HL14" s="73"/>
      <c r="HM14" s="73"/>
      <c r="HN14" s="73"/>
      <c r="HO14" s="73"/>
      <c r="HP14" s="73"/>
      <c r="HQ14" s="73"/>
      <c r="HR14" s="73"/>
      <c r="HS14" s="73"/>
      <c r="HT14" s="73"/>
      <c r="HU14" s="73"/>
      <c r="HV14" s="73"/>
      <c r="HW14" s="73"/>
      <c r="HX14" s="73"/>
      <c r="HY14" s="73"/>
      <c r="HZ14" s="73"/>
      <c r="IA14" s="73"/>
      <c r="IB14" s="73"/>
      <c r="IC14" s="73"/>
      <c r="ID14" s="73"/>
      <c r="IE14" s="73"/>
      <c r="IF14" s="73"/>
      <c r="IG14" s="73"/>
      <c r="IH14" s="73"/>
      <c r="II14" s="73"/>
      <c r="IJ14" s="73"/>
      <c r="IK14" s="73"/>
      <c r="IL14" s="73"/>
      <c r="IM14" s="73"/>
      <c r="IN14" s="73"/>
      <c r="IO14" s="73"/>
      <c r="IP14" s="73"/>
      <c r="IQ14" s="73"/>
      <c r="IR14" s="73"/>
      <c r="IS14" s="73"/>
      <c r="IT14" s="73"/>
      <c r="IU14" s="73"/>
      <c r="IV14" s="73"/>
      <c r="IW14" s="73"/>
      <c r="IX14" s="73"/>
      <c r="IY14" s="73"/>
      <c r="IZ14" s="73"/>
      <c r="JA14" s="73"/>
      <c r="JB14" s="73"/>
      <c r="JC14" s="73"/>
      <c r="JD14" s="73"/>
      <c r="JE14" s="73"/>
      <c r="JF14" s="73"/>
      <c r="JG14" s="73"/>
      <c r="JH14" s="73"/>
      <c r="JI14" s="73"/>
      <c r="JJ14" s="73"/>
      <c r="JK14" s="73"/>
      <c r="JL14" s="73"/>
      <c r="JM14" s="73"/>
      <c r="JN14" s="73"/>
      <c r="JO14" s="73"/>
      <c r="JP14" s="73"/>
      <c r="JQ14" s="73"/>
      <c r="JR14" s="73"/>
      <c r="JS14" s="73"/>
      <c r="JT14" s="73"/>
      <c r="JU14" s="73"/>
      <c r="JV14" s="73"/>
      <c r="JW14" s="73"/>
      <c r="JX14" s="73"/>
      <c r="JY14" s="73"/>
      <c r="JZ14" s="73"/>
      <c r="KA14" s="73"/>
      <c r="KB14" s="73"/>
      <c r="KC14" s="73"/>
      <c r="KD14" s="73"/>
      <c r="KE14" s="73"/>
      <c r="KF14" s="73"/>
      <c r="KG14" s="73"/>
      <c r="KH14" s="73"/>
      <c r="KI14" s="73"/>
      <c r="KJ14" s="73"/>
      <c r="KK14" s="73"/>
      <c r="KL14" s="73"/>
      <c r="KM14" s="73"/>
      <c r="KN14" s="73"/>
      <c r="KO14" s="73"/>
      <c r="KP14" s="73"/>
      <c r="KQ14" s="73"/>
      <c r="KR14" s="73"/>
      <c r="KS14" s="73"/>
      <c r="KT14" s="73"/>
      <c r="KU14" s="73"/>
      <c r="KV14" s="73"/>
      <c r="KW14" s="73"/>
      <c r="KX14" s="73"/>
      <c r="KY14" s="73"/>
      <c r="KZ14" s="73"/>
      <c r="LA14" s="73"/>
      <c r="LB14" s="73"/>
      <c r="LC14" s="73"/>
      <c r="LD14" s="73"/>
      <c r="LE14" s="73"/>
      <c r="LF14" s="73"/>
      <c r="LG14" s="73"/>
      <c r="LH14" s="73"/>
      <c r="LI14" s="73"/>
      <c r="LJ14" s="73"/>
      <c r="LK14" s="73"/>
      <c r="LL14" s="73"/>
      <c r="LM14" s="73"/>
      <c r="LN14" s="73"/>
      <c r="LO14" s="73"/>
      <c r="LP14" s="73"/>
      <c r="LQ14" s="73"/>
      <c r="LR14" s="73"/>
      <c r="LS14" s="73"/>
      <c r="LT14" s="73"/>
      <c r="LU14" s="73"/>
      <c r="LV14" s="73"/>
      <c r="LW14" s="73"/>
      <c r="LX14" s="73"/>
      <c r="LY14" s="73"/>
      <c r="LZ14" s="73"/>
      <c r="MA14" s="73"/>
      <c r="MB14" s="73"/>
      <c r="MC14" s="73"/>
      <c r="MD14" s="73"/>
      <c r="ME14" s="73"/>
      <c r="MF14" s="73"/>
      <c r="MG14" s="73"/>
      <c r="MH14" s="73"/>
      <c r="MI14" s="73"/>
      <c r="MJ14" s="73"/>
      <c r="MK14" s="73"/>
      <c r="ML14" s="73"/>
      <c r="MM14" s="73"/>
      <c r="MN14" s="73"/>
      <c r="MO14" s="73"/>
      <c r="MP14" s="73"/>
      <c r="MQ14" s="73"/>
      <c r="MR14" s="73"/>
      <c r="MS14" s="73"/>
      <c r="MT14" s="73"/>
      <c r="MU14" s="73"/>
      <c r="MV14" s="73"/>
      <c r="MW14" s="73"/>
      <c r="MX14" s="73"/>
      <c r="MY14" s="73"/>
      <c r="MZ14" s="73"/>
      <c r="NA14" s="73"/>
      <c r="NB14" s="73"/>
      <c r="NC14" s="73"/>
      <c r="ND14" s="73"/>
      <c r="NE14" s="73"/>
      <c r="NF14" s="73"/>
      <c r="NG14" s="73"/>
      <c r="NH14" s="73"/>
      <c r="NI14" s="73"/>
      <c r="NJ14" s="73"/>
      <c r="NK14" s="73"/>
      <c r="NL14" s="73"/>
      <c r="NM14" s="73"/>
      <c r="NN14" s="73"/>
      <c r="NO14" s="73"/>
      <c r="NP14" s="73"/>
      <c r="NQ14" s="73"/>
      <c r="NR14" s="73"/>
      <c r="NS14" s="73"/>
      <c r="NT14" s="73"/>
      <c r="NU14" s="73"/>
      <c r="NV14" s="73"/>
      <c r="NW14" s="73"/>
      <c r="NX14" s="73"/>
      <c r="NY14" s="73"/>
      <c r="NZ14" s="73"/>
      <c r="OA14" s="73"/>
      <c r="OB14" s="73"/>
      <c r="OC14" s="73"/>
      <c r="OD14" s="73"/>
      <c r="OE14" s="73"/>
      <c r="OF14" s="73"/>
      <c r="OG14" s="73"/>
      <c r="OH14" s="73"/>
      <c r="OI14" s="73"/>
      <c r="OJ14" s="73"/>
      <c r="OK14" s="73"/>
      <c r="OL14" s="73"/>
      <c r="OM14" s="73"/>
      <c r="ON14" s="73"/>
      <c r="OO14" s="73"/>
      <c r="OP14" s="73"/>
      <c r="OQ14" s="73"/>
      <c r="OR14" s="73"/>
      <c r="OS14" s="73"/>
      <c r="OT14" s="73"/>
      <c r="OU14" s="73"/>
      <c r="OV14" s="73"/>
      <c r="OW14" s="73"/>
      <c r="OX14" s="73"/>
      <c r="OY14" s="73"/>
      <c r="OZ14" s="73"/>
      <c r="PA14" s="73"/>
      <c r="PB14" s="73"/>
      <c r="PC14" s="73"/>
      <c r="PD14" s="73"/>
      <c r="PE14" s="73"/>
      <c r="PF14" s="73"/>
      <c r="PG14" s="73"/>
      <c r="PH14" s="73"/>
      <c r="PI14" s="73"/>
      <c r="PJ14" s="73"/>
      <c r="PK14" s="73"/>
      <c r="PL14" s="73"/>
      <c r="PM14" s="73"/>
      <c r="PN14" s="73"/>
      <c r="PO14" s="73"/>
      <c r="PP14" s="73"/>
      <c r="PQ14" s="73"/>
      <c r="PR14" s="73"/>
      <c r="PS14" s="73"/>
      <c r="PT14" s="73"/>
      <c r="PU14" s="73"/>
      <c r="PV14" s="73"/>
      <c r="PW14" s="73"/>
      <c r="PX14" s="73"/>
      <c r="PY14" s="73"/>
      <c r="PZ14" s="73"/>
      <c r="QA14" s="73"/>
      <c r="QB14" s="73"/>
      <c r="QC14" s="73"/>
      <c r="QD14" s="73"/>
      <c r="QE14" s="73"/>
      <c r="QF14" s="73"/>
      <c r="QG14" s="73"/>
      <c r="QH14" s="73"/>
      <c r="QI14" s="73"/>
      <c r="QJ14" s="73"/>
      <c r="QK14" s="73"/>
      <c r="QL14" s="73"/>
      <c r="QM14" s="73"/>
      <c r="QN14" s="73"/>
      <c r="QO14" s="73"/>
      <c r="QP14" s="73"/>
      <c r="QQ14" s="73"/>
      <c r="QR14" s="73"/>
      <c r="QS14" s="73"/>
      <c r="QT14" s="73"/>
      <c r="QU14" s="73"/>
      <c r="QV14" s="73"/>
      <c r="QW14" s="73"/>
      <c r="QX14" s="73"/>
      <c r="QY14" s="73"/>
      <c r="QZ14" s="73"/>
      <c r="RA14" s="73"/>
      <c r="RB14" s="73"/>
      <c r="RC14" s="73"/>
      <c r="RD14" s="73"/>
      <c r="RE14" s="73"/>
      <c r="RF14" s="73"/>
      <c r="RG14" s="73"/>
      <c r="RH14" s="73"/>
      <c r="RI14" s="73"/>
      <c r="RJ14" s="73"/>
      <c r="RK14" s="73"/>
      <c r="RL14" s="73"/>
      <c r="RM14" s="73"/>
      <c r="RN14" s="73"/>
      <c r="RO14" s="73"/>
      <c r="RP14" s="73"/>
      <c r="RQ14" s="73"/>
      <c r="RR14" s="73"/>
      <c r="RS14" s="73"/>
      <c r="RT14" s="73"/>
      <c r="RU14" s="73"/>
      <c r="RV14" s="73"/>
      <c r="RW14" s="73"/>
      <c r="RX14" s="73"/>
      <c r="RY14" s="73"/>
      <c r="RZ14" s="73"/>
      <c r="SA14" s="73"/>
      <c r="SB14" s="73"/>
      <c r="SC14" s="73"/>
      <c r="SD14" s="73"/>
      <c r="SE14" s="73"/>
      <c r="SF14" s="73"/>
      <c r="SG14" s="73"/>
      <c r="SH14" s="73"/>
      <c r="SI14" s="73"/>
      <c r="SJ14" s="73"/>
      <c r="SK14" s="73"/>
      <c r="SL14" s="73"/>
      <c r="SM14" s="73"/>
      <c r="SN14" s="73"/>
      <c r="SO14" s="73"/>
      <c r="SP14" s="73"/>
      <c r="SQ14" s="73"/>
      <c r="SR14" s="73"/>
      <c r="SS14" s="73"/>
      <c r="ST14" s="73"/>
      <c r="SU14" s="73"/>
      <c r="SV14" s="73"/>
      <c r="SW14" s="73"/>
      <c r="SX14" s="73"/>
      <c r="SY14" s="73"/>
      <c r="SZ14" s="73"/>
      <c r="TA14" s="73"/>
      <c r="TB14" s="73"/>
      <c r="TC14" s="73"/>
      <c r="TD14" s="73"/>
      <c r="TE14" s="73"/>
      <c r="TF14" s="73"/>
      <c r="TG14" s="73"/>
      <c r="TH14" s="73"/>
      <c r="TI14" s="73"/>
      <c r="TJ14" s="73"/>
      <c r="TK14" s="73"/>
      <c r="TL14" s="73"/>
      <c r="TM14" s="73"/>
      <c r="TN14" s="73"/>
      <c r="TO14" s="73"/>
      <c r="TP14" s="73"/>
      <c r="TQ14" s="73"/>
      <c r="TR14" s="73"/>
      <c r="TS14" s="73"/>
      <c r="TT14" s="73"/>
      <c r="TU14" s="73"/>
      <c r="TV14" s="73"/>
      <c r="TW14" s="73"/>
      <c r="TX14" s="73"/>
    </row>
    <row r="15" spans="1:544" ht="20" customHeight="1">
      <c r="A15" s="74">
        <v>13</v>
      </c>
      <c r="B15" s="75">
        <v>0.25324053524715923</v>
      </c>
      <c r="C15" s="75">
        <v>0.863356035379232</v>
      </c>
      <c r="D15" s="75">
        <v>16.747610139632613</v>
      </c>
      <c r="E15" s="75">
        <v>9.8593599966554811E-4</v>
      </c>
      <c r="F15" s="75">
        <v>4.6620062316432591E-3</v>
      </c>
      <c r="G15" s="75">
        <v>0.13165729975975496</v>
      </c>
      <c r="H15" s="75">
        <v>114869.90678811142</v>
      </c>
      <c r="I15" s="75">
        <v>559454.7109257424</v>
      </c>
      <c r="J15" s="75">
        <v>14108186.781626515</v>
      </c>
      <c r="K15" s="75">
        <v>189545412.7427879</v>
      </c>
      <c r="L15" s="75">
        <v>186875350.77343762</v>
      </c>
      <c r="M15" s="75">
        <v>129448898.38511404</v>
      </c>
      <c r="N15" s="348">
        <v>99.357105308519877</v>
      </c>
      <c r="O15" s="348">
        <v>97.957495450226943</v>
      </c>
      <c r="P15" s="348">
        <v>67.855336844130747</v>
      </c>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c r="BC15" s="73"/>
      <c r="BD15" s="73"/>
      <c r="BE15" s="73"/>
      <c r="BF15" s="73"/>
      <c r="BG15" s="73"/>
      <c r="BH15" s="73"/>
      <c r="BI15" s="73"/>
      <c r="BJ15" s="73"/>
      <c r="BK15" s="73"/>
      <c r="BL15" s="73"/>
      <c r="BM15" s="73"/>
      <c r="BN15" s="73"/>
      <c r="BO15" s="73"/>
      <c r="BP15" s="73"/>
      <c r="BQ15" s="73"/>
      <c r="BR15" s="73"/>
      <c r="BS15" s="73"/>
      <c r="BT15" s="73"/>
      <c r="BU15" s="73"/>
      <c r="BV15" s="73"/>
      <c r="BW15" s="73"/>
      <c r="BX15" s="73"/>
      <c r="BY15" s="73"/>
      <c r="BZ15" s="73"/>
      <c r="CA15" s="73"/>
      <c r="CB15" s="73"/>
      <c r="CC15" s="73"/>
      <c r="CD15" s="73"/>
      <c r="CE15" s="73"/>
      <c r="CF15" s="73"/>
      <c r="CG15" s="73"/>
      <c r="CH15" s="73"/>
      <c r="CI15" s="73"/>
      <c r="CJ15" s="73"/>
      <c r="CK15" s="73"/>
      <c r="CL15" s="73"/>
      <c r="CM15" s="73"/>
      <c r="CN15" s="73"/>
      <c r="CO15" s="73"/>
      <c r="CP15" s="73"/>
      <c r="CQ15" s="73"/>
      <c r="CR15" s="73"/>
      <c r="CS15" s="73"/>
      <c r="CT15" s="73"/>
      <c r="CU15" s="73"/>
      <c r="CV15" s="73"/>
      <c r="CW15" s="73"/>
      <c r="CX15" s="73"/>
      <c r="CY15" s="73"/>
      <c r="CZ15" s="73"/>
      <c r="DA15" s="73"/>
      <c r="DB15" s="73"/>
      <c r="DC15" s="73"/>
      <c r="DD15" s="73"/>
      <c r="DE15" s="73"/>
      <c r="DF15" s="73"/>
      <c r="DG15" s="73"/>
      <c r="DH15" s="73"/>
      <c r="DI15" s="73"/>
      <c r="DJ15" s="73"/>
      <c r="DK15" s="73"/>
      <c r="DL15" s="73"/>
      <c r="DM15" s="73"/>
      <c r="DN15" s="73"/>
      <c r="DO15" s="73"/>
      <c r="DP15" s="73"/>
      <c r="DQ15" s="73"/>
      <c r="DR15" s="73"/>
      <c r="DS15" s="73"/>
      <c r="DT15" s="73"/>
      <c r="DU15" s="73"/>
      <c r="DV15" s="73"/>
      <c r="DW15" s="73"/>
      <c r="DX15" s="73"/>
      <c r="DY15" s="73"/>
      <c r="DZ15" s="73"/>
      <c r="EA15" s="73"/>
      <c r="EB15" s="73"/>
      <c r="EC15" s="73"/>
      <c r="ED15" s="73"/>
      <c r="EE15" s="73"/>
      <c r="EF15" s="73"/>
      <c r="EG15" s="73"/>
      <c r="EH15" s="73"/>
      <c r="EI15" s="73"/>
      <c r="EJ15" s="73"/>
      <c r="EK15" s="73"/>
      <c r="EL15" s="73"/>
      <c r="EM15" s="73"/>
      <c r="EN15" s="73"/>
      <c r="EO15" s="73"/>
      <c r="EP15" s="73"/>
      <c r="EQ15" s="73"/>
      <c r="ER15" s="73"/>
      <c r="ES15" s="73"/>
      <c r="ET15" s="73"/>
      <c r="EU15" s="73"/>
      <c r="EV15" s="73"/>
      <c r="EW15" s="73"/>
      <c r="EX15" s="73"/>
      <c r="EY15" s="73"/>
      <c r="EZ15" s="73"/>
      <c r="FA15" s="73"/>
      <c r="FB15" s="73"/>
      <c r="FC15" s="73"/>
      <c r="FD15" s="73"/>
      <c r="FE15" s="73"/>
      <c r="FF15" s="73"/>
      <c r="FG15" s="73"/>
      <c r="FH15" s="73"/>
      <c r="FI15" s="73"/>
      <c r="FJ15" s="73"/>
      <c r="FK15" s="73"/>
      <c r="FL15" s="73"/>
      <c r="FM15" s="73"/>
      <c r="FN15" s="73"/>
      <c r="FO15" s="73"/>
      <c r="FP15" s="73"/>
      <c r="FQ15" s="73"/>
      <c r="FR15" s="73"/>
      <c r="FS15" s="73"/>
      <c r="FT15" s="73"/>
      <c r="FU15" s="73"/>
      <c r="FV15" s="73"/>
      <c r="FW15" s="73"/>
      <c r="FX15" s="73"/>
      <c r="FY15" s="73"/>
      <c r="FZ15" s="73"/>
      <c r="GA15" s="73"/>
      <c r="GB15" s="73"/>
      <c r="GC15" s="73"/>
      <c r="GD15" s="73"/>
      <c r="GE15" s="73"/>
      <c r="GF15" s="73"/>
      <c r="GG15" s="73"/>
      <c r="GH15" s="73"/>
      <c r="GI15" s="73"/>
      <c r="GJ15" s="73"/>
      <c r="GK15" s="73"/>
      <c r="GL15" s="73"/>
      <c r="GM15" s="73"/>
      <c r="GN15" s="73"/>
      <c r="GO15" s="73"/>
      <c r="GP15" s="73"/>
      <c r="GQ15" s="73"/>
      <c r="GR15" s="73"/>
      <c r="GS15" s="73"/>
      <c r="GT15" s="73"/>
      <c r="GU15" s="73"/>
      <c r="GV15" s="73"/>
      <c r="GW15" s="73"/>
      <c r="GX15" s="73"/>
      <c r="GY15" s="73"/>
      <c r="GZ15" s="73"/>
      <c r="HA15" s="73"/>
      <c r="HB15" s="73"/>
      <c r="HC15" s="73"/>
      <c r="HD15" s="73"/>
      <c r="HE15" s="73"/>
      <c r="HF15" s="73"/>
      <c r="HG15" s="73"/>
      <c r="HH15" s="73"/>
      <c r="HI15" s="73"/>
      <c r="HJ15" s="73"/>
      <c r="HK15" s="73"/>
      <c r="HL15" s="73"/>
      <c r="HM15" s="73"/>
      <c r="HN15" s="73"/>
      <c r="HO15" s="73"/>
      <c r="HP15" s="73"/>
      <c r="HQ15" s="73"/>
      <c r="HR15" s="73"/>
      <c r="HS15" s="73"/>
      <c r="HT15" s="73"/>
      <c r="HU15" s="73"/>
      <c r="HV15" s="73"/>
      <c r="HW15" s="73"/>
      <c r="HX15" s="73"/>
      <c r="HY15" s="73"/>
      <c r="HZ15" s="73"/>
      <c r="IA15" s="73"/>
      <c r="IB15" s="73"/>
      <c r="IC15" s="73"/>
      <c r="ID15" s="73"/>
      <c r="IE15" s="73"/>
      <c r="IF15" s="73"/>
      <c r="IG15" s="73"/>
      <c r="IH15" s="73"/>
      <c r="II15" s="73"/>
      <c r="IJ15" s="73"/>
      <c r="IK15" s="73"/>
      <c r="IL15" s="73"/>
      <c r="IM15" s="73"/>
      <c r="IN15" s="73"/>
      <c r="IO15" s="73"/>
      <c r="IP15" s="73"/>
      <c r="IQ15" s="73"/>
      <c r="IR15" s="73"/>
      <c r="IS15" s="73"/>
      <c r="IT15" s="73"/>
      <c r="IU15" s="73"/>
      <c r="IV15" s="73"/>
      <c r="IW15" s="73"/>
      <c r="IX15" s="73"/>
      <c r="IY15" s="73"/>
      <c r="IZ15" s="73"/>
      <c r="JA15" s="73"/>
      <c r="JB15" s="73"/>
      <c r="JC15" s="73"/>
      <c r="JD15" s="73"/>
      <c r="JE15" s="73"/>
      <c r="JF15" s="73"/>
      <c r="JG15" s="73"/>
      <c r="JH15" s="73"/>
      <c r="JI15" s="73"/>
      <c r="JJ15" s="73"/>
      <c r="JK15" s="73"/>
      <c r="JL15" s="73"/>
      <c r="JM15" s="73"/>
      <c r="JN15" s="73"/>
      <c r="JO15" s="73"/>
      <c r="JP15" s="73"/>
      <c r="JQ15" s="73"/>
      <c r="JR15" s="73"/>
      <c r="JS15" s="73"/>
      <c r="JT15" s="73"/>
      <c r="JU15" s="73"/>
      <c r="JV15" s="73"/>
      <c r="JW15" s="73"/>
      <c r="JX15" s="73"/>
      <c r="JY15" s="73"/>
      <c r="JZ15" s="73"/>
      <c r="KA15" s="73"/>
      <c r="KB15" s="73"/>
      <c r="KC15" s="73"/>
      <c r="KD15" s="73"/>
      <c r="KE15" s="73"/>
      <c r="KF15" s="73"/>
      <c r="KG15" s="73"/>
      <c r="KH15" s="73"/>
      <c r="KI15" s="73"/>
      <c r="KJ15" s="73"/>
      <c r="KK15" s="73"/>
      <c r="KL15" s="73"/>
      <c r="KM15" s="73"/>
      <c r="KN15" s="73"/>
      <c r="KO15" s="73"/>
      <c r="KP15" s="73"/>
      <c r="KQ15" s="73"/>
      <c r="KR15" s="73"/>
      <c r="KS15" s="73"/>
      <c r="KT15" s="73"/>
      <c r="KU15" s="73"/>
      <c r="KV15" s="73"/>
      <c r="KW15" s="73"/>
      <c r="KX15" s="73"/>
      <c r="KY15" s="73"/>
      <c r="KZ15" s="73"/>
      <c r="LA15" s="73"/>
      <c r="LB15" s="73"/>
      <c r="LC15" s="73"/>
      <c r="LD15" s="73"/>
      <c r="LE15" s="73"/>
      <c r="LF15" s="73"/>
      <c r="LG15" s="73"/>
      <c r="LH15" s="73"/>
      <c r="LI15" s="73"/>
      <c r="LJ15" s="73"/>
      <c r="LK15" s="73"/>
      <c r="LL15" s="73"/>
      <c r="LM15" s="73"/>
      <c r="LN15" s="73"/>
      <c r="LO15" s="73"/>
      <c r="LP15" s="73"/>
      <c r="LQ15" s="73"/>
      <c r="LR15" s="73"/>
      <c r="LS15" s="73"/>
      <c r="LT15" s="73"/>
      <c r="LU15" s="73"/>
      <c r="LV15" s="73"/>
      <c r="LW15" s="73"/>
      <c r="LX15" s="73"/>
      <c r="LY15" s="73"/>
      <c r="LZ15" s="73"/>
      <c r="MA15" s="73"/>
      <c r="MB15" s="73"/>
      <c r="MC15" s="73"/>
      <c r="MD15" s="73"/>
      <c r="ME15" s="73"/>
      <c r="MF15" s="73"/>
      <c r="MG15" s="73"/>
      <c r="MH15" s="73"/>
      <c r="MI15" s="73"/>
      <c r="MJ15" s="73"/>
      <c r="MK15" s="73"/>
      <c r="ML15" s="73"/>
      <c r="MM15" s="73"/>
      <c r="MN15" s="73"/>
      <c r="MO15" s="73"/>
      <c r="MP15" s="73"/>
      <c r="MQ15" s="73"/>
      <c r="MR15" s="73"/>
      <c r="MS15" s="73"/>
      <c r="MT15" s="73"/>
      <c r="MU15" s="73"/>
      <c r="MV15" s="73"/>
      <c r="MW15" s="73"/>
      <c r="MX15" s="73"/>
      <c r="MY15" s="73"/>
      <c r="MZ15" s="73"/>
      <c r="NA15" s="73"/>
      <c r="NB15" s="73"/>
      <c r="NC15" s="73"/>
      <c r="ND15" s="73"/>
      <c r="NE15" s="73"/>
      <c r="NF15" s="73"/>
      <c r="NG15" s="73"/>
      <c r="NH15" s="73"/>
      <c r="NI15" s="73"/>
      <c r="NJ15" s="73"/>
      <c r="NK15" s="73"/>
      <c r="NL15" s="73"/>
      <c r="NM15" s="73"/>
      <c r="NN15" s="73"/>
      <c r="NO15" s="73"/>
      <c r="NP15" s="73"/>
      <c r="NQ15" s="73"/>
      <c r="NR15" s="73"/>
      <c r="NS15" s="73"/>
      <c r="NT15" s="73"/>
      <c r="NU15" s="73"/>
      <c r="NV15" s="73"/>
      <c r="NW15" s="73"/>
      <c r="NX15" s="73"/>
      <c r="NY15" s="73"/>
      <c r="NZ15" s="73"/>
      <c r="OA15" s="73"/>
      <c r="OB15" s="73"/>
      <c r="OC15" s="73"/>
      <c r="OD15" s="73"/>
      <c r="OE15" s="73"/>
      <c r="OF15" s="73"/>
      <c r="OG15" s="73"/>
      <c r="OH15" s="73"/>
      <c r="OI15" s="73"/>
      <c r="OJ15" s="73"/>
      <c r="OK15" s="73"/>
      <c r="OL15" s="73"/>
      <c r="OM15" s="73"/>
      <c r="ON15" s="73"/>
      <c r="OO15" s="73"/>
      <c r="OP15" s="73"/>
      <c r="OQ15" s="73"/>
      <c r="OR15" s="73"/>
      <c r="OS15" s="73"/>
      <c r="OT15" s="73"/>
      <c r="OU15" s="73"/>
      <c r="OV15" s="73"/>
      <c r="OW15" s="73"/>
      <c r="OX15" s="73"/>
      <c r="OY15" s="73"/>
      <c r="OZ15" s="73"/>
      <c r="PA15" s="73"/>
      <c r="PB15" s="73"/>
      <c r="PC15" s="73"/>
      <c r="PD15" s="73"/>
      <c r="PE15" s="73"/>
      <c r="PF15" s="73"/>
      <c r="PG15" s="73"/>
      <c r="PH15" s="73"/>
      <c r="PI15" s="73"/>
      <c r="PJ15" s="73"/>
      <c r="PK15" s="73"/>
      <c r="PL15" s="73"/>
      <c r="PM15" s="73"/>
      <c r="PN15" s="73"/>
      <c r="PO15" s="73"/>
      <c r="PP15" s="73"/>
      <c r="PQ15" s="73"/>
      <c r="PR15" s="73"/>
      <c r="PS15" s="73"/>
      <c r="PT15" s="73"/>
      <c r="PU15" s="73"/>
      <c r="PV15" s="73"/>
      <c r="PW15" s="73"/>
      <c r="PX15" s="73"/>
      <c r="PY15" s="73"/>
      <c r="PZ15" s="73"/>
      <c r="QA15" s="73"/>
      <c r="QB15" s="73"/>
      <c r="QC15" s="73"/>
      <c r="QD15" s="73"/>
      <c r="QE15" s="73"/>
      <c r="QF15" s="73"/>
      <c r="QG15" s="73"/>
      <c r="QH15" s="73"/>
      <c r="QI15" s="73"/>
      <c r="QJ15" s="73"/>
      <c r="QK15" s="73"/>
      <c r="QL15" s="73"/>
      <c r="QM15" s="73"/>
      <c r="QN15" s="73"/>
      <c r="QO15" s="73"/>
      <c r="QP15" s="73"/>
      <c r="QQ15" s="73"/>
      <c r="QR15" s="73"/>
      <c r="QS15" s="73"/>
      <c r="QT15" s="73"/>
      <c r="QU15" s="73"/>
      <c r="QV15" s="73"/>
      <c r="QW15" s="73"/>
      <c r="QX15" s="73"/>
      <c r="QY15" s="73"/>
      <c r="QZ15" s="73"/>
      <c r="RA15" s="73"/>
      <c r="RB15" s="73"/>
      <c r="RC15" s="73"/>
      <c r="RD15" s="73"/>
      <c r="RE15" s="73"/>
      <c r="RF15" s="73"/>
      <c r="RG15" s="73"/>
      <c r="RH15" s="73"/>
      <c r="RI15" s="73"/>
      <c r="RJ15" s="73"/>
      <c r="RK15" s="73"/>
      <c r="RL15" s="73"/>
      <c r="RM15" s="73"/>
      <c r="RN15" s="73"/>
      <c r="RO15" s="73"/>
      <c r="RP15" s="73"/>
      <c r="RQ15" s="73"/>
      <c r="RR15" s="73"/>
      <c r="RS15" s="73"/>
      <c r="RT15" s="73"/>
      <c r="RU15" s="73"/>
      <c r="RV15" s="73"/>
      <c r="RW15" s="73"/>
      <c r="RX15" s="73"/>
      <c r="RY15" s="73"/>
      <c r="RZ15" s="73"/>
      <c r="SA15" s="73"/>
      <c r="SB15" s="73"/>
      <c r="SC15" s="73"/>
      <c r="SD15" s="73"/>
      <c r="SE15" s="73"/>
      <c r="SF15" s="73"/>
      <c r="SG15" s="73"/>
      <c r="SH15" s="73"/>
      <c r="SI15" s="73"/>
      <c r="SJ15" s="73"/>
      <c r="SK15" s="73"/>
      <c r="SL15" s="73"/>
      <c r="SM15" s="73"/>
      <c r="SN15" s="73"/>
      <c r="SO15" s="73"/>
      <c r="SP15" s="73"/>
      <c r="SQ15" s="73"/>
      <c r="SR15" s="73"/>
      <c r="SS15" s="73"/>
      <c r="ST15" s="73"/>
      <c r="SU15" s="73"/>
      <c r="SV15" s="73"/>
      <c r="SW15" s="73"/>
      <c r="SX15" s="73"/>
      <c r="SY15" s="73"/>
      <c r="SZ15" s="73"/>
      <c r="TA15" s="73"/>
      <c r="TB15" s="73"/>
      <c r="TC15" s="73"/>
      <c r="TD15" s="73"/>
      <c r="TE15" s="73"/>
      <c r="TF15" s="73"/>
      <c r="TG15" s="73"/>
      <c r="TH15" s="73"/>
      <c r="TI15" s="73"/>
      <c r="TJ15" s="73"/>
      <c r="TK15" s="73"/>
      <c r="TL15" s="73"/>
      <c r="TM15" s="73"/>
      <c r="TN15" s="73"/>
      <c r="TO15" s="73"/>
      <c r="TP15" s="73"/>
      <c r="TQ15" s="73"/>
      <c r="TR15" s="73"/>
      <c r="TS15" s="73"/>
      <c r="TT15" s="73"/>
      <c r="TU15" s="73"/>
      <c r="TV15" s="73"/>
      <c r="TW15" s="73"/>
      <c r="TX15" s="73"/>
    </row>
    <row r="16" spans="1:544" ht="20" customHeight="1">
      <c r="A16" s="78">
        <v>14</v>
      </c>
      <c r="B16" s="79">
        <v>0.26120701833176435</v>
      </c>
      <c r="C16" s="79">
        <v>1.0238579214069441</v>
      </c>
      <c r="D16" s="79">
        <v>17.257861760130986</v>
      </c>
      <c r="E16" s="79">
        <v>1.0249881962687663E-3</v>
      </c>
      <c r="F16" s="79">
        <v>5.439476765269298E-3</v>
      </c>
      <c r="G16" s="79">
        <v>0.14026711982831602</v>
      </c>
      <c r="H16" s="75">
        <v>118483.50351528829</v>
      </c>
      <c r="I16" s="75">
        <v>663459.93307169981</v>
      </c>
      <c r="J16" s="75">
        <v>14538022.746734345</v>
      </c>
      <c r="K16" s="75">
        <v>189428736.03763619</v>
      </c>
      <c r="L16" s="75">
        <v>186263893.4514389</v>
      </c>
      <c r="M16" s="75">
        <v>115125793.62093362</v>
      </c>
      <c r="N16" s="348">
        <v>99.295944980168699</v>
      </c>
      <c r="O16" s="348">
        <v>97.636977909578604</v>
      </c>
      <c r="P16" s="348">
        <v>60.347361801069276</v>
      </c>
      <c r="Q16" s="73"/>
      <c r="R16" s="73"/>
      <c r="S16" s="73"/>
      <c r="T16" s="73"/>
      <c r="U16" s="73"/>
      <c r="V16" s="73"/>
      <c r="W16" s="73"/>
      <c r="X16" s="73"/>
      <c r="Y16" s="73"/>
      <c r="Z16" s="73"/>
      <c r="AA16" s="73"/>
      <c r="AB16" s="73"/>
      <c r="AC16" s="73"/>
      <c r="AD16" s="73"/>
      <c r="AE16" s="73"/>
      <c r="AF16" s="73"/>
      <c r="AG16" s="73"/>
      <c r="AH16" s="73"/>
      <c r="AI16" s="73"/>
      <c r="AJ16" s="73"/>
      <c r="AK16" s="73"/>
      <c r="AL16" s="73"/>
      <c r="AM16" s="73"/>
      <c r="AN16" s="73"/>
      <c r="AO16" s="73"/>
      <c r="AP16" s="73"/>
      <c r="AQ16" s="73"/>
      <c r="AR16" s="73"/>
      <c r="AS16" s="73"/>
      <c r="AT16" s="73"/>
      <c r="AU16" s="73"/>
      <c r="AV16" s="73"/>
      <c r="AW16" s="73"/>
      <c r="AX16" s="73"/>
      <c r="AY16" s="73"/>
      <c r="AZ16" s="73"/>
      <c r="BA16" s="73"/>
      <c r="BB16" s="73"/>
      <c r="BC16" s="73"/>
      <c r="BD16" s="73"/>
      <c r="BE16" s="73"/>
      <c r="BF16" s="73"/>
      <c r="BG16" s="73"/>
      <c r="BH16" s="73"/>
      <c r="BI16" s="73"/>
      <c r="BJ16" s="73"/>
      <c r="BK16" s="73"/>
      <c r="BL16" s="73"/>
      <c r="BM16" s="73"/>
      <c r="BN16" s="73"/>
      <c r="BO16" s="73"/>
      <c r="BP16" s="73"/>
      <c r="BQ16" s="73"/>
      <c r="BR16" s="73"/>
      <c r="BS16" s="73"/>
      <c r="BT16" s="73"/>
      <c r="BU16" s="73"/>
      <c r="BV16" s="73"/>
      <c r="BW16" s="73"/>
      <c r="BX16" s="73"/>
      <c r="BY16" s="73"/>
      <c r="BZ16" s="73"/>
      <c r="CA16" s="73"/>
      <c r="CB16" s="73"/>
      <c r="CC16" s="73"/>
      <c r="CD16" s="73"/>
      <c r="CE16" s="73"/>
      <c r="CF16" s="73"/>
      <c r="CG16" s="73"/>
      <c r="CH16" s="73"/>
      <c r="CI16" s="73"/>
      <c r="CJ16" s="73"/>
      <c r="CK16" s="73"/>
      <c r="CL16" s="73"/>
      <c r="CM16" s="73"/>
      <c r="CN16" s="73"/>
      <c r="CO16" s="73"/>
      <c r="CP16" s="73"/>
      <c r="CQ16" s="73"/>
      <c r="CR16" s="73"/>
      <c r="CS16" s="73"/>
      <c r="CT16" s="73"/>
      <c r="CU16" s="73"/>
      <c r="CV16" s="73"/>
      <c r="CW16" s="73"/>
      <c r="CX16" s="73"/>
      <c r="CY16" s="73"/>
      <c r="CZ16" s="73"/>
      <c r="DA16" s="73"/>
      <c r="DB16" s="73"/>
      <c r="DC16" s="73"/>
      <c r="DD16" s="73"/>
      <c r="DE16" s="73"/>
      <c r="DF16" s="73"/>
      <c r="DG16" s="73"/>
      <c r="DH16" s="73"/>
      <c r="DI16" s="73"/>
      <c r="DJ16" s="73"/>
      <c r="DK16" s="73"/>
      <c r="DL16" s="73"/>
      <c r="DM16" s="73"/>
      <c r="DN16" s="73"/>
      <c r="DO16" s="73"/>
      <c r="DP16" s="73"/>
      <c r="DQ16" s="73"/>
      <c r="DR16" s="73"/>
      <c r="DS16" s="73"/>
      <c r="DT16" s="73"/>
      <c r="DU16" s="73"/>
      <c r="DV16" s="73"/>
      <c r="DW16" s="73"/>
      <c r="DX16" s="73"/>
      <c r="DY16" s="73"/>
      <c r="DZ16" s="73"/>
      <c r="EA16" s="73"/>
      <c r="EB16" s="73"/>
      <c r="EC16" s="73"/>
      <c r="ED16" s="73"/>
      <c r="EE16" s="73"/>
      <c r="EF16" s="73"/>
      <c r="EG16" s="73"/>
      <c r="EH16" s="73"/>
      <c r="EI16" s="73"/>
      <c r="EJ16" s="73"/>
      <c r="EK16" s="73"/>
      <c r="EL16" s="73"/>
      <c r="EM16" s="73"/>
      <c r="EN16" s="73"/>
      <c r="EO16" s="73"/>
      <c r="EP16" s="73"/>
      <c r="EQ16" s="73"/>
      <c r="ER16" s="73"/>
      <c r="ES16" s="73"/>
      <c r="ET16" s="73"/>
      <c r="EU16" s="73"/>
      <c r="EV16" s="73"/>
      <c r="EW16" s="73"/>
      <c r="EX16" s="73"/>
      <c r="EY16" s="73"/>
      <c r="EZ16" s="73"/>
      <c r="FA16" s="73"/>
      <c r="FB16" s="73"/>
      <c r="FC16" s="73"/>
      <c r="FD16" s="73"/>
      <c r="FE16" s="73"/>
      <c r="FF16" s="73"/>
      <c r="FG16" s="73"/>
      <c r="FH16" s="73"/>
      <c r="FI16" s="73"/>
      <c r="FJ16" s="73"/>
      <c r="FK16" s="73"/>
      <c r="FL16" s="73"/>
      <c r="FM16" s="73"/>
      <c r="FN16" s="73"/>
      <c r="FO16" s="73"/>
      <c r="FP16" s="73"/>
      <c r="FQ16" s="73"/>
      <c r="FR16" s="73"/>
      <c r="FS16" s="73"/>
      <c r="FT16" s="73"/>
      <c r="FU16" s="73"/>
      <c r="FV16" s="73"/>
      <c r="FW16" s="73"/>
      <c r="FX16" s="73"/>
      <c r="FY16" s="73"/>
      <c r="FZ16" s="73"/>
      <c r="GA16" s="73"/>
      <c r="GB16" s="73"/>
      <c r="GC16" s="73"/>
      <c r="GD16" s="73"/>
      <c r="GE16" s="73"/>
      <c r="GF16" s="73"/>
      <c r="GG16" s="73"/>
      <c r="GH16" s="73"/>
      <c r="GI16" s="73"/>
      <c r="GJ16" s="73"/>
      <c r="GK16" s="73"/>
      <c r="GL16" s="73"/>
      <c r="GM16" s="73"/>
      <c r="GN16" s="73"/>
      <c r="GO16" s="73"/>
      <c r="GP16" s="73"/>
      <c r="GQ16" s="73"/>
      <c r="GR16" s="73"/>
      <c r="GS16" s="73"/>
      <c r="GT16" s="73"/>
      <c r="GU16" s="73"/>
      <c r="GV16" s="73"/>
      <c r="GW16" s="73"/>
      <c r="GX16" s="73"/>
      <c r="GY16" s="73"/>
      <c r="GZ16" s="73"/>
      <c r="HA16" s="73"/>
      <c r="HB16" s="73"/>
      <c r="HC16" s="73"/>
      <c r="HD16" s="73"/>
      <c r="HE16" s="73"/>
      <c r="HF16" s="73"/>
      <c r="HG16" s="73"/>
      <c r="HH16" s="73"/>
      <c r="HI16" s="73"/>
      <c r="HJ16" s="73"/>
      <c r="HK16" s="73"/>
      <c r="HL16" s="73"/>
      <c r="HM16" s="73"/>
      <c r="HN16" s="73"/>
      <c r="HO16" s="73"/>
      <c r="HP16" s="73"/>
      <c r="HQ16" s="73"/>
      <c r="HR16" s="73"/>
      <c r="HS16" s="73"/>
      <c r="HT16" s="73"/>
      <c r="HU16" s="73"/>
      <c r="HV16" s="73"/>
      <c r="HW16" s="73"/>
      <c r="HX16" s="73"/>
      <c r="HY16" s="73"/>
      <c r="HZ16" s="73"/>
      <c r="IA16" s="73"/>
      <c r="IB16" s="73"/>
      <c r="IC16" s="73"/>
      <c r="ID16" s="73"/>
      <c r="IE16" s="73"/>
      <c r="IF16" s="73"/>
      <c r="IG16" s="73"/>
      <c r="IH16" s="73"/>
      <c r="II16" s="73"/>
      <c r="IJ16" s="73"/>
      <c r="IK16" s="73"/>
      <c r="IL16" s="73"/>
      <c r="IM16" s="73"/>
      <c r="IN16" s="73"/>
      <c r="IO16" s="73"/>
      <c r="IP16" s="73"/>
      <c r="IQ16" s="73"/>
      <c r="IR16" s="73"/>
      <c r="IS16" s="73"/>
      <c r="IT16" s="73"/>
      <c r="IU16" s="73"/>
      <c r="IV16" s="73"/>
      <c r="IW16" s="73"/>
      <c r="IX16" s="73"/>
      <c r="IY16" s="73"/>
      <c r="IZ16" s="73"/>
      <c r="JA16" s="73"/>
      <c r="JB16" s="73"/>
      <c r="JC16" s="73"/>
      <c r="JD16" s="73"/>
      <c r="JE16" s="73"/>
      <c r="JF16" s="73"/>
      <c r="JG16" s="73"/>
      <c r="JH16" s="73"/>
      <c r="JI16" s="73"/>
      <c r="JJ16" s="73"/>
      <c r="JK16" s="73"/>
      <c r="JL16" s="73"/>
      <c r="JM16" s="73"/>
      <c r="JN16" s="73"/>
      <c r="JO16" s="73"/>
      <c r="JP16" s="73"/>
      <c r="JQ16" s="73"/>
      <c r="JR16" s="73"/>
      <c r="JS16" s="73"/>
      <c r="JT16" s="73"/>
      <c r="JU16" s="73"/>
      <c r="JV16" s="73"/>
      <c r="JW16" s="73"/>
      <c r="JX16" s="73"/>
      <c r="JY16" s="73"/>
      <c r="JZ16" s="73"/>
      <c r="KA16" s="73"/>
      <c r="KB16" s="73"/>
      <c r="KC16" s="73"/>
      <c r="KD16" s="73"/>
      <c r="KE16" s="73"/>
      <c r="KF16" s="73"/>
      <c r="KG16" s="73"/>
      <c r="KH16" s="73"/>
      <c r="KI16" s="73"/>
      <c r="KJ16" s="73"/>
      <c r="KK16" s="73"/>
      <c r="KL16" s="73"/>
      <c r="KM16" s="73"/>
      <c r="KN16" s="73"/>
      <c r="KO16" s="73"/>
      <c r="KP16" s="73"/>
      <c r="KQ16" s="73"/>
      <c r="KR16" s="73"/>
      <c r="KS16" s="73"/>
      <c r="KT16" s="73"/>
      <c r="KU16" s="73"/>
      <c r="KV16" s="73"/>
      <c r="KW16" s="73"/>
      <c r="KX16" s="73"/>
      <c r="KY16" s="73"/>
      <c r="KZ16" s="73"/>
      <c r="LA16" s="73"/>
      <c r="LB16" s="73"/>
      <c r="LC16" s="73"/>
      <c r="LD16" s="73"/>
      <c r="LE16" s="73"/>
      <c r="LF16" s="73"/>
      <c r="LG16" s="73"/>
      <c r="LH16" s="73"/>
      <c r="LI16" s="73"/>
      <c r="LJ16" s="73"/>
      <c r="LK16" s="73"/>
      <c r="LL16" s="73"/>
      <c r="LM16" s="73"/>
      <c r="LN16" s="73"/>
      <c r="LO16" s="73"/>
      <c r="LP16" s="73"/>
      <c r="LQ16" s="73"/>
      <c r="LR16" s="73"/>
      <c r="LS16" s="73"/>
      <c r="LT16" s="73"/>
      <c r="LU16" s="73"/>
      <c r="LV16" s="73"/>
      <c r="LW16" s="73"/>
      <c r="LX16" s="73"/>
      <c r="LY16" s="73"/>
      <c r="LZ16" s="73"/>
      <c r="MA16" s="73"/>
      <c r="MB16" s="73"/>
      <c r="MC16" s="73"/>
      <c r="MD16" s="73"/>
      <c r="ME16" s="73"/>
      <c r="MF16" s="73"/>
      <c r="MG16" s="73"/>
      <c r="MH16" s="73"/>
      <c r="MI16" s="73"/>
      <c r="MJ16" s="73"/>
      <c r="MK16" s="73"/>
      <c r="ML16" s="73"/>
      <c r="MM16" s="73"/>
      <c r="MN16" s="73"/>
      <c r="MO16" s="73"/>
      <c r="MP16" s="73"/>
      <c r="MQ16" s="73"/>
      <c r="MR16" s="73"/>
      <c r="MS16" s="73"/>
      <c r="MT16" s="73"/>
      <c r="MU16" s="73"/>
      <c r="MV16" s="73"/>
      <c r="MW16" s="73"/>
      <c r="MX16" s="73"/>
      <c r="MY16" s="73"/>
      <c r="MZ16" s="73"/>
      <c r="NA16" s="73"/>
      <c r="NB16" s="73"/>
      <c r="NC16" s="73"/>
      <c r="ND16" s="73"/>
      <c r="NE16" s="73"/>
      <c r="NF16" s="73"/>
      <c r="NG16" s="73"/>
      <c r="NH16" s="73"/>
      <c r="NI16" s="73"/>
      <c r="NJ16" s="73"/>
      <c r="NK16" s="73"/>
      <c r="NL16" s="73"/>
      <c r="NM16" s="73"/>
      <c r="NN16" s="73"/>
      <c r="NO16" s="73"/>
      <c r="NP16" s="73"/>
      <c r="NQ16" s="73"/>
      <c r="NR16" s="73"/>
      <c r="NS16" s="73"/>
      <c r="NT16" s="73"/>
      <c r="NU16" s="73"/>
      <c r="NV16" s="73"/>
      <c r="NW16" s="73"/>
      <c r="NX16" s="73"/>
      <c r="NY16" s="73"/>
      <c r="NZ16" s="73"/>
      <c r="OA16" s="73"/>
      <c r="OB16" s="73"/>
      <c r="OC16" s="73"/>
      <c r="OD16" s="73"/>
      <c r="OE16" s="73"/>
      <c r="OF16" s="73"/>
      <c r="OG16" s="73"/>
      <c r="OH16" s="73"/>
      <c r="OI16" s="73"/>
      <c r="OJ16" s="73"/>
      <c r="OK16" s="73"/>
      <c r="OL16" s="73"/>
      <c r="OM16" s="73"/>
      <c r="ON16" s="73"/>
      <c r="OO16" s="73"/>
      <c r="OP16" s="73"/>
      <c r="OQ16" s="73"/>
      <c r="OR16" s="73"/>
      <c r="OS16" s="73"/>
      <c r="OT16" s="73"/>
      <c r="OU16" s="73"/>
      <c r="OV16" s="73"/>
      <c r="OW16" s="73"/>
      <c r="OX16" s="73"/>
      <c r="OY16" s="73"/>
      <c r="OZ16" s="73"/>
      <c r="PA16" s="73"/>
      <c r="PB16" s="73"/>
      <c r="PC16" s="73"/>
      <c r="PD16" s="73"/>
      <c r="PE16" s="73"/>
      <c r="PF16" s="73"/>
      <c r="PG16" s="73"/>
      <c r="PH16" s="73"/>
      <c r="PI16" s="73"/>
      <c r="PJ16" s="73"/>
      <c r="PK16" s="73"/>
      <c r="PL16" s="73"/>
      <c r="PM16" s="73"/>
      <c r="PN16" s="73"/>
      <c r="PO16" s="73"/>
      <c r="PP16" s="73"/>
      <c r="PQ16" s="73"/>
      <c r="PR16" s="73"/>
      <c r="PS16" s="73"/>
      <c r="PT16" s="73"/>
      <c r="PU16" s="73"/>
      <c r="PV16" s="73"/>
      <c r="PW16" s="73"/>
      <c r="PX16" s="73"/>
      <c r="PY16" s="73"/>
      <c r="PZ16" s="73"/>
      <c r="QA16" s="73"/>
      <c r="QB16" s="73"/>
      <c r="QC16" s="73"/>
      <c r="QD16" s="73"/>
      <c r="QE16" s="73"/>
      <c r="QF16" s="73"/>
      <c r="QG16" s="73"/>
      <c r="QH16" s="73"/>
      <c r="QI16" s="73"/>
      <c r="QJ16" s="73"/>
      <c r="QK16" s="73"/>
      <c r="QL16" s="73"/>
      <c r="QM16" s="73"/>
      <c r="QN16" s="73"/>
      <c r="QO16" s="73"/>
      <c r="QP16" s="73"/>
      <c r="QQ16" s="73"/>
      <c r="QR16" s="73"/>
      <c r="QS16" s="73"/>
      <c r="QT16" s="73"/>
      <c r="QU16" s="73"/>
      <c r="QV16" s="73"/>
      <c r="QW16" s="73"/>
      <c r="QX16" s="73"/>
      <c r="QY16" s="73"/>
      <c r="QZ16" s="73"/>
      <c r="RA16" s="73"/>
      <c r="RB16" s="73"/>
      <c r="RC16" s="73"/>
      <c r="RD16" s="73"/>
      <c r="RE16" s="73"/>
      <c r="RF16" s="73"/>
      <c r="RG16" s="73"/>
      <c r="RH16" s="73"/>
      <c r="RI16" s="73"/>
      <c r="RJ16" s="73"/>
      <c r="RK16" s="73"/>
      <c r="RL16" s="73"/>
      <c r="RM16" s="73"/>
      <c r="RN16" s="73"/>
      <c r="RO16" s="73"/>
      <c r="RP16" s="73"/>
      <c r="RQ16" s="73"/>
      <c r="RR16" s="73"/>
      <c r="RS16" s="73"/>
      <c r="RT16" s="73"/>
      <c r="RU16" s="73"/>
      <c r="RV16" s="73"/>
      <c r="RW16" s="73"/>
      <c r="RX16" s="73"/>
      <c r="RY16" s="73"/>
      <c r="RZ16" s="73"/>
      <c r="SA16" s="73"/>
      <c r="SB16" s="73"/>
      <c r="SC16" s="73"/>
      <c r="SD16" s="73"/>
      <c r="SE16" s="73"/>
      <c r="SF16" s="73"/>
      <c r="SG16" s="73"/>
      <c r="SH16" s="73"/>
      <c r="SI16" s="73"/>
      <c r="SJ16" s="73"/>
      <c r="SK16" s="73"/>
      <c r="SL16" s="73"/>
      <c r="SM16" s="73"/>
      <c r="SN16" s="73"/>
      <c r="SO16" s="73"/>
      <c r="SP16" s="73"/>
      <c r="SQ16" s="73"/>
      <c r="SR16" s="73"/>
      <c r="SS16" s="73"/>
      <c r="ST16" s="73"/>
      <c r="SU16" s="73"/>
      <c r="SV16" s="73"/>
      <c r="SW16" s="73"/>
      <c r="SX16" s="73"/>
      <c r="SY16" s="73"/>
      <c r="SZ16" s="73"/>
      <c r="TA16" s="73"/>
      <c r="TB16" s="73"/>
      <c r="TC16" s="73"/>
      <c r="TD16" s="73"/>
      <c r="TE16" s="73"/>
      <c r="TF16" s="73"/>
      <c r="TG16" s="73"/>
      <c r="TH16" s="73"/>
      <c r="TI16" s="73"/>
      <c r="TJ16" s="73"/>
      <c r="TK16" s="73"/>
      <c r="TL16" s="73"/>
      <c r="TM16" s="73"/>
      <c r="TN16" s="73"/>
      <c r="TO16" s="73"/>
      <c r="TP16" s="73"/>
      <c r="TQ16" s="73"/>
      <c r="TR16" s="73"/>
      <c r="TS16" s="73"/>
      <c r="TT16" s="73"/>
      <c r="TU16" s="73"/>
      <c r="TV16" s="73"/>
      <c r="TW16" s="73"/>
      <c r="TX16" s="73"/>
    </row>
    <row r="17" spans="1:16" ht="20" customHeight="1">
      <c r="A17" s="78">
        <v>15</v>
      </c>
      <c r="B17" s="79">
        <v>0.26943123389443191</v>
      </c>
      <c r="C17" s="79">
        <v>1.2266255987800951</v>
      </c>
      <c r="D17" s="79">
        <v>17.032076195356964</v>
      </c>
      <c r="E17" s="79">
        <v>1.0642271284520245E-3</v>
      </c>
      <c r="F17" s="79">
        <v>6.4281566252714882E-3</v>
      </c>
      <c r="G17" s="79">
        <v>0.14285865666608941</v>
      </c>
      <c r="H17" s="79">
        <v>122214.00769451429</v>
      </c>
      <c r="I17" s="79">
        <v>794853.38800950174</v>
      </c>
      <c r="J17" s="79">
        <v>14347820.986968707</v>
      </c>
      <c r="K17" s="79">
        <v>189308387.2820313</v>
      </c>
      <c r="L17" s="79">
        <v>185534736.79089832</v>
      </c>
      <c r="M17" s="79">
        <v>100682871.7540821</v>
      </c>
      <c r="N17" s="349">
        <v>99.232859813340568</v>
      </c>
      <c r="O17" s="350">
        <v>97.254763990183733</v>
      </c>
      <c r="P17" s="350">
        <v>52.776580276354736</v>
      </c>
    </row>
    <row r="18" spans="1:16" ht="20" customHeight="1">
      <c r="A18" s="78">
        <v>16</v>
      </c>
      <c r="B18" s="79">
        <v>0.27804177215464226</v>
      </c>
      <c r="C18" s="79">
        <v>1.4776020549809585</v>
      </c>
      <c r="D18" s="79">
        <v>16.207915513078174</v>
      </c>
      <c r="E18" s="79">
        <v>1.104030745629954E-3</v>
      </c>
      <c r="F18" s="79">
        <v>7.6659784818383933E-3</v>
      </c>
      <c r="G18" s="79">
        <v>0.14002314394614487</v>
      </c>
      <c r="H18" s="79">
        <v>126119.74784934572</v>
      </c>
      <c r="I18" s="79">
        <v>957486.13162766118</v>
      </c>
      <c r="J18" s="79">
        <v>13653548.028217057</v>
      </c>
      <c r="K18" s="79">
        <v>189184220.40425935</v>
      </c>
      <c r="L18" s="79">
        <v>184658567.03107974</v>
      </c>
      <c r="M18" s="79">
        <v>86682187.246489212</v>
      </c>
      <c r="N18" s="349">
        <v>99.167773239246799</v>
      </c>
      <c r="O18" s="350">
        <v>96.795487820770092</v>
      </c>
      <c r="P18" s="350">
        <v>45.43761350906113</v>
      </c>
    </row>
    <row r="19" spans="1:16" ht="20" customHeight="1">
      <c r="A19" s="78">
        <v>17</v>
      </c>
      <c r="B19" s="79">
        <v>0.28719703990760626</v>
      </c>
      <c r="C19" s="79">
        <v>1.7813894094184075</v>
      </c>
      <c r="D19" s="79">
        <v>14.955483383585126</v>
      </c>
      <c r="E19" s="79">
        <v>1.1448671508726405E-3</v>
      </c>
      <c r="F19" s="79">
        <v>9.1871909309619738E-3</v>
      </c>
      <c r="G19" s="79">
        <v>0.13282809584072156</v>
      </c>
      <c r="H19" s="79">
        <v>130272.57730209018</v>
      </c>
      <c r="I19" s="79">
        <v>1154340.3373031283</v>
      </c>
      <c r="J19" s="79">
        <v>12598499.202332111</v>
      </c>
      <c r="K19" s="79">
        <v>189056024.24168366</v>
      </c>
      <c r="L19" s="79">
        <v>183602653.79661435</v>
      </c>
      <c r="M19" s="79">
        <v>73556163.631214634</v>
      </c>
      <c r="N19" s="349">
        <v>99.100574569329808</v>
      </c>
      <c r="O19" s="350">
        <v>96.241992587541716</v>
      </c>
      <c r="P19" s="350">
        <v>38.557131983535115</v>
      </c>
    </row>
    <row r="20" spans="1:16" ht="20" customHeight="1">
      <c r="A20" s="78">
        <v>18</v>
      </c>
      <c r="B20" s="79">
        <v>0.29708255594581134</v>
      </c>
      <c r="C20" s="79">
        <v>2.1404473645180166</v>
      </c>
      <c r="D20" s="79">
        <v>13.443052479852401</v>
      </c>
      <c r="E20" s="79">
        <v>1.1872977721587876E-3</v>
      </c>
      <c r="F20" s="79">
        <v>1.1018284811907496E-2</v>
      </c>
      <c r="G20" s="79">
        <v>0.12252653679744671</v>
      </c>
      <c r="H20" s="79">
        <v>134756.64737702004</v>
      </c>
      <c r="I20" s="79">
        <v>1387009.8922076749</v>
      </c>
      <c r="J20" s="79">
        <v>11324427.409027664</v>
      </c>
      <c r="K20" s="79">
        <v>188923509.62934411</v>
      </c>
      <c r="L20" s="79">
        <v>182331978.68185893</v>
      </c>
      <c r="M20" s="79">
        <v>61594700.325534746</v>
      </c>
      <c r="N20" s="349">
        <v>99.031112227284083</v>
      </c>
      <c r="O20" s="350">
        <v>95.575922122618408</v>
      </c>
      <c r="P20" s="350">
        <v>32.287096997675761</v>
      </c>
    </row>
    <row r="21" spans="1:16" ht="20" customHeight="1">
      <c r="A21" s="78">
        <v>19</v>
      </c>
      <c r="B21" s="79">
        <v>0.30790761271953615</v>
      </c>
      <c r="C21" s="79">
        <v>2.5544408808736243</v>
      </c>
      <c r="D21" s="79">
        <v>11.816239287916503</v>
      </c>
      <c r="E21" s="79">
        <v>1.2319760911425025E-3</v>
      </c>
      <c r="F21" s="79">
        <v>1.3173969040688557E-2</v>
      </c>
      <c r="G21" s="79">
        <v>0.11033990858053339</v>
      </c>
      <c r="H21" s="79">
        <v>139666.89312958156</v>
      </c>
      <c r="I21" s="79">
        <v>1655277.6908061088</v>
      </c>
      <c r="J21" s="79">
        <v>9953999.9761408642</v>
      </c>
      <c r="K21" s="79">
        <v>188786297.85909081</v>
      </c>
      <c r="L21" s="79">
        <v>180810834.89035204</v>
      </c>
      <c r="M21" s="79">
        <v>50955486.632950485</v>
      </c>
      <c r="N21" s="349">
        <v>98.95918769949229</v>
      </c>
      <c r="O21" s="350">
        <v>94.778559413095891</v>
      </c>
      <c r="P21" s="350">
        <v>26.710167121306789</v>
      </c>
    </row>
    <row r="22" spans="1:16" ht="20" customHeight="1">
      <c r="A22" s="78">
        <v>20</v>
      </c>
      <c r="B22" s="79">
        <v>0.31990188031941386</v>
      </c>
      <c r="C22" s="79">
        <v>3.0198725785716358</v>
      </c>
      <c r="D22" s="79">
        <v>10.188695578998761</v>
      </c>
      <c r="E22" s="79">
        <v>1.2796434089690863E-3</v>
      </c>
      <c r="F22" s="79">
        <v>1.565394687139399E-2</v>
      </c>
      <c r="G22" s="79">
        <v>9.7325370970412176E-2</v>
      </c>
      <c r="H22" s="79">
        <v>145107.49291288611</v>
      </c>
      <c r="I22" s="79">
        <v>1956877.4309144204</v>
      </c>
      <c r="J22" s="79">
        <v>8582957.1557485573</v>
      </c>
      <c r="K22" s="79">
        <v>188643910.66606957</v>
      </c>
      <c r="L22" s="79">
        <v>179004757.32949176</v>
      </c>
      <c r="M22" s="79">
        <v>41687008.067005783</v>
      </c>
      <c r="N22" s="349">
        <v>98.884550286078365</v>
      </c>
      <c r="O22" s="350">
        <v>93.831838330200284</v>
      </c>
      <c r="P22" s="350">
        <v>21.851757795537619</v>
      </c>
    </row>
    <row r="23" spans="1:16" ht="20" customHeight="1">
      <c r="A23" s="78">
        <v>21</v>
      </c>
      <c r="B23" s="79">
        <v>0.33331239168986837</v>
      </c>
      <c r="C23" s="79">
        <v>3.5300646001630676</v>
      </c>
      <c r="D23" s="79">
        <v>8.6408798889664311</v>
      </c>
      <c r="E23" s="79">
        <v>1.3311231115788306E-3</v>
      </c>
      <c r="F23" s="79">
        <v>1.844106367391601E-2</v>
      </c>
      <c r="G23" s="79">
        <v>8.4315247636892507E-2</v>
      </c>
      <c r="H23" s="79">
        <v>151190.50087052429</v>
      </c>
      <c r="I23" s="79">
        <v>2287481.8609056678</v>
      </c>
      <c r="J23" s="79">
        <v>7279077.2184653226</v>
      </c>
      <c r="K23" s="79">
        <v>188495761.66917786</v>
      </c>
      <c r="L23" s="79">
        <v>176882577.68358174</v>
      </c>
      <c r="M23" s="79">
        <v>33755990.879898846</v>
      </c>
      <c r="N23" s="349">
        <v>98.806892614111945</v>
      </c>
      <c r="O23" s="350">
        <v>92.719420870388646</v>
      </c>
      <c r="P23" s="350">
        <v>17.694427378196522</v>
      </c>
    </row>
    <row r="24" spans="1:16" ht="20" customHeight="1">
      <c r="A24" s="78">
        <v>22</v>
      </c>
      <c r="B24" s="79">
        <v>0.34840118111871882</v>
      </c>
      <c r="C24" s="79">
        <v>4.0754805760895287</v>
      </c>
      <c r="D24" s="79">
        <v>7.2235643644466956</v>
      </c>
      <c r="E24" s="79">
        <v>1.3873146777052831E-3</v>
      </c>
      <c r="F24" s="79">
        <v>2.1501103606965472E-2</v>
      </c>
      <c r="G24" s="79">
        <v>7.190801732474407E-2</v>
      </c>
      <c r="H24" s="79">
        <v>158034.77575545086</v>
      </c>
      <c r="I24" s="79">
        <v>2640911.4133060146</v>
      </c>
      <c r="J24" s="79">
        <v>6085130.6206098972</v>
      </c>
      <c r="K24" s="79">
        <v>188341149.03086486</v>
      </c>
      <c r="L24" s="79">
        <v>174418381.04647589</v>
      </c>
      <c r="M24" s="79">
        <v>27073886.960361242</v>
      </c>
      <c r="N24" s="349">
        <v>98.725846789976174</v>
      </c>
      <c r="O24" s="350">
        <v>91.427722795341765</v>
      </c>
      <c r="P24" s="350">
        <v>14.191760163997571</v>
      </c>
    </row>
    <row r="25" spans="1:16" ht="20" customHeight="1">
      <c r="A25" s="78">
        <v>23</v>
      </c>
      <c r="B25" s="79">
        <v>0.36544368201163696</v>
      </c>
      <c r="C25" s="79">
        <v>4.6443210361902159</v>
      </c>
      <c r="D25" s="79">
        <v>5.963491177844344</v>
      </c>
      <c r="E25" s="79">
        <v>1.4491883380414008E-3</v>
      </c>
      <c r="F25" s="79">
        <v>2.4784207026083693E-2</v>
      </c>
      <c r="G25" s="79">
        <v>6.0490548440043146E-2</v>
      </c>
      <c r="H25" s="79">
        <v>165765.25416047851</v>
      </c>
      <c r="I25" s="79">
        <v>3009520.0314512602</v>
      </c>
      <c r="J25" s="79">
        <v>5023644.9682160756</v>
      </c>
      <c r="K25" s="79">
        <v>188179249.0159069</v>
      </c>
      <c r="L25" s="79">
        <v>171593165.32409725</v>
      </c>
      <c r="M25" s="79">
        <v>21519499.165948242</v>
      </c>
      <c r="N25" s="349">
        <v>98.640981022966258</v>
      </c>
      <c r="O25" s="350">
        <v>89.946783468001897</v>
      </c>
      <c r="P25" s="350">
        <v>11.280226273368777</v>
      </c>
    </row>
    <row r="26" spans="1:16" ht="20" customHeight="1">
      <c r="A26" s="78">
        <v>24</v>
      </c>
      <c r="B26" s="79">
        <v>0.3847278384508912</v>
      </c>
      <c r="C26" s="79">
        <v>5.2232937412829221</v>
      </c>
      <c r="D26" s="79">
        <v>4.8694684994594262</v>
      </c>
      <c r="E26" s="79">
        <v>1.5177809043978303E-3</v>
      </c>
      <c r="F26" s="79">
        <v>2.8227636683850851E-2</v>
      </c>
      <c r="G26" s="79">
        <v>5.0275436211317179E-2</v>
      </c>
      <c r="H26" s="79">
        <v>174512.54752132425</v>
      </c>
      <c r="I26" s="79">
        <v>3384694.344351334</v>
      </c>
      <c r="J26" s="79">
        <v>4102040.2639446212</v>
      </c>
      <c r="K26" s="79">
        <v>188009110.11506599</v>
      </c>
      <c r="L26" s="79">
        <v>168396058.13619596</v>
      </c>
      <c r="M26" s="79">
        <v>16956656.549867898</v>
      </c>
      <c r="N26" s="349">
        <v>98.55179654499176</v>
      </c>
      <c r="O26" s="350">
        <v>88.270903735781786</v>
      </c>
      <c r="P26" s="350">
        <v>8.8884467638994984</v>
      </c>
    </row>
    <row r="27" spans="1:16" ht="20" customHeight="1">
      <c r="A27" s="78">
        <v>25</v>
      </c>
      <c r="B27" s="79">
        <v>0.40655375563920743</v>
      </c>
      <c r="C27" s="79">
        <v>5.7984532171263146</v>
      </c>
      <c r="D27" s="79">
        <v>3.9379360267507342</v>
      </c>
      <c r="E27" s="79">
        <v>1.5941928859626851E-3</v>
      </c>
      <c r="F27" s="79">
        <v>3.1759473378744817E-2</v>
      </c>
      <c r="G27" s="79">
        <v>4.1342351310510596E-2</v>
      </c>
      <c r="H27" s="79">
        <v>184412.78355794447</v>
      </c>
      <c r="I27" s="79">
        <v>3757397.6846978515</v>
      </c>
      <c r="J27" s="79">
        <v>3317317.308934819</v>
      </c>
      <c r="K27" s="79">
        <v>187829647.44952637</v>
      </c>
      <c r="L27" s="79">
        <v>164825012.12167138</v>
      </c>
      <c r="M27" s="79">
        <v>13246977.763428181</v>
      </c>
      <c r="N27" s="349">
        <v>98.457724677459069</v>
      </c>
      <c r="O27" s="350">
        <v>86.399010400076719</v>
      </c>
      <c r="P27" s="350">
        <v>6.9438840308238214</v>
      </c>
    </row>
    <row r="28" spans="1:16" ht="20" customHeight="1">
      <c r="A28" s="78">
        <v>26</v>
      </c>
      <c r="B28" s="79">
        <v>0.43123361400804594</v>
      </c>
      <c r="C28" s="79">
        <v>6.3560151603264821</v>
      </c>
      <c r="D28" s="79">
        <v>3.1575606611679818</v>
      </c>
      <c r="E28" s="79">
        <v>1.6795866313535489E-3</v>
      </c>
      <c r="F28" s="79">
        <v>3.5302772190512047E-2</v>
      </c>
      <c r="G28" s="79">
        <v>3.3676765883454869E-2</v>
      </c>
      <c r="H28" s="79">
        <v>195607.56731404964</v>
      </c>
      <c r="I28" s="79">
        <v>4118697.8238915605</v>
      </c>
      <c r="J28" s="79">
        <v>2659929.1009679083</v>
      </c>
      <c r="K28" s="79">
        <v>187639637.27409038</v>
      </c>
      <c r="L28" s="79">
        <v>160886964.36737666</v>
      </c>
      <c r="M28" s="79">
        <v>10258354.558476806</v>
      </c>
      <c r="N28" s="349">
        <v>98.35812394992206</v>
      </c>
      <c r="O28" s="350">
        <v>84.334739786657053</v>
      </c>
      <c r="P28" s="350">
        <v>5.3772887426287577</v>
      </c>
    </row>
    <row r="29" spans="1:16" ht="20" customHeight="1">
      <c r="A29" s="78">
        <v>27</v>
      </c>
      <c r="B29" s="79">
        <v>0.45909150764765977</v>
      </c>
      <c r="C29" s="79">
        <v>6.8830735903616773</v>
      </c>
      <c r="D29" s="79">
        <v>2.5127579299368916</v>
      </c>
      <c r="E29" s="79">
        <v>1.7751849129616125E-3</v>
      </c>
      <c r="F29" s="79">
        <v>3.877973965861032E-2</v>
      </c>
      <c r="G29" s="79">
        <v>2.7202767397923436E-2</v>
      </c>
      <c r="H29" s="79">
        <v>208243.90786897845</v>
      </c>
      <c r="I29" s="79">
        <v>4460231.6865543667</v>
      </c>
      <c r="J29" s="79">
        <v>2116747.2801788379</v>
      </c>
      <c r="K29" s="79">
        <v>187437711.53649884</v>
      </c>
      <c r="L29" s="79">
        <v>156597499.61215371</v>
      </c>
      <c r="M29" s="79">
        <v>7870016.3679034412</v>
      </c>
      <c r="N29" s="349">
        <v>98.252277248152453</v>
      </c>
      <c r="O29" s="350">
        <v>82.086261201843143</v>
      </c>
      <c r="P29" s="350">
        <v>4.1253546246811492</v>
      </c>
    </row>
    <row r="30" spans="1:16" ht="20" customHeight="1">
      <c r="A30" s="78">
        <v>28</v>
      </c>
      <c r="B30" s="79">
        <v>0.49046284530127254</v>
      </c>
      <c r="C30" s="79">
        <v>7.3681746438718401</v>
      </c>
      <c r="D30" s="79">
        <v>1.9862195426581188</v>
      </c>
      <c r="E30" s="79">
        <v>1.8822691338686965E-3</v>
      </c>
      <c r="F30" s="79">
        <v>4.2115572712418663E-2</v>
      </c>
      <c r="G30" s="79">
        <v>2.1808895151207215E-2</v>
      </c>
      <c r="H30" s="79">
        <v>222473.9466286572</v>
      </c>
      <c r="I30" s="79">
        <v>4774577.1692289533</v>
      </c>
      <c r="J30" s="79">
        <v>1673191.3427351995</v>
      </c>
      <c r="K30" s="79">
        <v>187222352.60925004</v>
      </c>
      <c r="L30" s="79">
        <v>151980095.18426204</v>
      </c>
      <c r="M30" s="79">
        <v>5975047.0564464331</v>
      </c>
      <c r="N30" s="349">
        <v>98.1393890526316</v>
      </c>
      <c r="O30" s="350">
        <v>79.665881139063103</v>
      </c>
      <c r="P30" s="350">
        <v>3.1320377054775155</v>
      </c>
    </row>
    <row r="31" spans="1:16" ht="20" customHeight="1">
      <c r="A31" s="78">
        <v>29</v>
      </c>
      <c r="B31" s="79">
        <v>0.52569297318183184</v>
      </c>
      <c r="C31" s="79">
        <v>7.8017256395607966</v>
      </c>
      <c r="D31" s="79">
        <v>1.5606104417595845</v>
      </c>
      <c r="E31" s="79">
        <v>2.0021762098874122E-3</v>
      </c>
      <c r="F31" s="79">
        <v>4.5241704863351884E-2</v>
      </c>
      <c r="G31" s="79">
        <v>1.7367246961995594E-2</v>
      </c>
      <c r="H31" s="79">
        <v>238454.3326352789</v>
      </c>
      <c r="I31" s="79">
        <v>5055518.2144353958</v>
      </c>
      <c r="J31" s="79">
        <v>1314658.2361382742</v>
      </c>
      <c r="K31" s="79">
        <v>186991888.46961808</v>
      </c>
      <c r="L31" s="79">
        <v>147065047.49242985</v>
      </c>
      <c r="M31" s="79">
        <v>4481122.2670097053</v>
      </c>
      <c r="N31" s="349">
        <v>98.018582911982222</v>
      </c>
      <c r="O31" s="350">
        <v>77.089480560187312</v>
      </c>
      <c r="P31" s="350">
        <v>2.3489428234689762</v>
      </c>
    </row>
    <row r="32" spans="1:16" ht="20" customHeight="1">
      <c r="A32" s="78">
        <v>30</v>
      </c>
      <c r="B32" s="79">
        <v>0.56513474003224973</v>
      </c>
      <c r="C32" s="79">
        <v>8.1762384664136238</v>
      </c>
      <c r="D32" s="79">
        <v>1.2196196883516408</v>
      </c>
      <c r="E32" s="79">
        <v>2.136293171067821E-3</v>
      </c>
      <c r="F32" s="79">
        <v>4.80983125453667E-2</v>
      </c>
      <c r="G32" s="79">
        <v>1.3746762538110149E-2</v>
      </c>
      <c r="H32" s="79">
        <v>256345.11807862841</v>
      </c>
      <c r="I32" s="79">
        <v>5298202.5262360284</v>
      </c>
      <c r="J32" s="79">
        <v>1027407.6254674224</v>
      </c>
      <c r="K32" s="79">
        <v>186744488.74426112</v>
      </c>
      <c r="L32" s="79">
        <v>141888187.12209415</v>
      </c>
      <c r="M32" s="79">
        <v>3310089.3362068534</v>
      </c>
      <c r="N32" s="349">
        <v>97.888899369606293</v>
      </c>
      <c r="O32" s="350">
        <v>74.375841366602984</v>
      </c>
      <c r="P32" s="350">
        <v>1.7351034245518913</v>
      </c>
    </row>
    <row r="33" spans="1:16" ht="20" customHeight="1">
      <c r="A33" s="78">
        <v>31</v>
      </c>
      <c r="B33" s="79">
        <v>0.60914481801493925</v>
      </c>
      <c r="C33" s="79">
        <v>8.4864212131825401</v>
      </c>
      <c r="D33" s="79">
        <v>0.94853711900044302</v>
      </c>
      <c r="E33" s="79">
        <v>2.2860486355537907E-3</v>
      </c>
      <c r="F33" s="79">
        <v>5.0636030045820124E-2</v>
      </c>
      <c r="G33" s="79">
        <v>1.0821825646101409E-2</v>
      </c>
      <c r="H33" s="79">
        <v>276308.08945157641</v>
      </c>
      <c r="I33" s="79">
        <v>5499200.9461422861</v>
      </c>
      <c r="J33" s="79">
        <v>799047.66904597334</v>
      </c>
      <c r="K33" s="79">
        <v>186478162.14049602</v>
      </c>
      <c r="L33" s="79">
        <v>136489485.385905</v>
      </c>
      <c r="M33" s="79">
        <v>2396861.6889501512</v>
      </c>
      <c r="N33" s="349">
        <v>97.749294617194494</v>
      </c>
      <c r="O33" s="350">
        <v>71.545915972102804</v>
      </c>
      <c r="P33" s="350">
        <v>1.2564020188773377</v>
      </c>
    </row>
    <row r="34" spans="1:16" ht="20" customHeight="1">
      <c r="A34" s="78">
        <v>32</v>
      </c>
      <c r="B34" s="79">
        <v>0.65807870648950106</v>
      </c>
      <c r="C34" s="79">
        <v>8.7291412632855661</v>
      </c>
      <c r="D34" s="79">
        <v>0.73450048923090516</v>
      </c>
      <c r="E34" s="79">
        <v>2.4529005177777422E-3</v>
      </c>
      <c r="F34" s="79">
        <v>5.2816897397303678E-2</v>
      </c>
      <c r="G34" s="79">
        <v>8.4773160702200281E-3</v>
      </c>
      <c r="H34" s="79">
        <v>298504.50126363768</v>
      </c>
      <c r="I34" s="79">
        <v>5656483.5386090465</v>
      </c>
      <c r="J34" s="79">
        <v>618743.21212811454</v>
      </c>
      <c r="K34" s="79">
        <v>186190755.8451384</v>
      </c>
      <c r="L34" s="79">
        <v>130911643.14352933</v>
      </c>
      <c r="M34" s="79">
        <v>1687966.2483631074</v>
      </c>
      <c r="N34" s="349">
        <v>97.598640179606349</v>
      </c>
      <c r="O34" s="350">
        <v>68.622087581583671</v>
      </c>
      <c r="P34" s="350">
        <v>0.88480875305288442</v>
      </c>
    </row>
    <row r="35" spans="1:16" ht="20" customHeight="1">
      <c r="A35" s="78">
        <v>33</v>
      </c>
      <c r="B35" s="79">
        <v>0.71228446621149588</v>
      </c>
      <c r="C35" s="79">
        <v>8.9032875685834139</v>
      </c>
      <c r="D35" s="79">
        <v>0.5665267688622696</v>
      </c>
      <c r="E35" s="79">
        <v>2.6383196159183997E-3</v>
      </c>
      <c r="F35" s="79">
        <v>5.4614619384185353E-2</v>
      </c>
      <c r="G35" s="79">
        <v>6.6111065638279481E-3</v>
      </c>
      <c r="H35" s="79">
        <v>323092.23387353448</v>
      </c>
      <c r="I35" s="79">
        <v>5769330.3444420528</v>
      </c>
      <c r="J35" s="79">
        <v>477242.15008957603</v>
      </c>
      <c r="K35" s="79">
        <v>185879957.47756982</v>
      </c>
      <c r="L35" s="79">
        <v>125198736.20200378</v>
      </c>
      <c r="M35" s="79">
        <v>1139973.5672542751</v>
      </c>
      <c r="N35" s="349">
        <v>97.435723938641289</v>
      </c>
      <c r="O35" s="350">
        <v>65.627460128493141</v>
      </c>
      <c r="P35" s="350">
        <v>0.59755850659552157</v>
      </c>
    </row>
    <row r="36" spans="1:16" ht="20" customHeight="1">
      <c r="A36" s="78">
        <v>34</v>
      </c>
      <c r="B36" s="79">
        <v>0.77209534604430785</v>
      </c>
      <c r="C36" s="79">
        <v>9.0095605642194361</v>
      </c>
      <c r="D36" s="79">
        <v>0.43541216865204968</v>
      </c>
      <c r="E36" s="79">
        <v>2.8437690473831663E-3</v>
      </c>
      <c r="F36" s="79">
        <v>5.6014246543774251E-2</v>
      </c>
      <c r="G36" s="79">
        <v>5.1348169480299553E-3</v>
      </c>
      <c r="H36" s="79">
        <v>350222.44896569801</v>
      </c>
      <c r="I36" s="79">
        <v>5838195.2456141952</v>
      </c>
      <c r="J36" s="79">
        <v>366791.2108724867</v>
      </c>
      <c r="K36" s="79">
        <v>185543300.13615021</v>
      </c>
      <c r="L36" s="79">
        <v>119394973.40697566</v>
      </c>
      <c r="M36" s="79">
        <v>717956.88677325845</v>
      </c>
      <c r="N36" s="349">
        <v>97.259252778298801</v>
      </c>
      <c r="O36" s="350">
        <v>62.585207283293542</v>
      </c>
      <c r="P36" s="350">
        <v>0.37634315161669318</v>
      </c>
    </row>
    <row r="37" spans="1:16" ht="20" customHeight="1">
      <c r="A37" s="78">
        <v>35</v>
      </c>
      <c r="B37" s="79">
        <v>0.83782156204023539</v>
      </c>
      <c r="C37" s="79">
        <v>9.0502163235779385</v>
      </c>
      <c r="D37" s="79">
        <v>0.3335608945357888</v>
      </c>
      <c r="E37" s="79">
        <v>3.0706798314740443E-3</v>
      </c>
      <c r="F37" s="79">
        <v>5.7011403876008129E-2</v>
      </c>
      <c r="G37" s="79">
        <v>3.9734518304144848E-3</v>
      </c>
      <c r="H37" s="79">
        <v>380035.86054145073</v>
      </c>
      <c r="I37" s="79">
        <v>5864540.177678504</v>
      </c>
      <c r="J37" s="79">
        <v>280991.69755694846</v>
      </c>
      <c r="K37" s="79">
        <v>185178170.98139665</v>
      </c>
      <c r="L37" s="79">
        <v>113543605.69532931</v>
      </c>
      <c r="M37" s="79">
        <v>394065.43255853653</v>
      </c>
      <c r="N37" s="349">
        <v>97.067857083963062</v>
      </c>
      <c r="O37" s="350">
        <v>59.518000593813582</v>
      </c>
      <c r="P37" s="350">
        <v>0.20656369423351137</v>
      </c>
    </row>
    <row r="38" spans="1:16" ht="20" customHeight="1">
      <c r="A38" s="78">
        <v>36</v>
      </c>
      <c r="B38" s="79">
        <v>0.90974156192900035</v>
      </c>
      <c r="C38" s="79">
        <v>9.0287880917698828</v>
      </c>
      <c r="D38" s="79">
        <v>0.25478320082315675</v>
      </c>
      <c r="E38" s="79">
        <v>3.3204232238783051E-3</v>
      </c>
      <c r="F38" s="79">
        <v>5.7611193963981483E-2</v>
      </c>
      <c r="G38" s="79">
        <v>3.0643827146238614E-3</v>
      </c>
      <c r="H38" s="79">
        <v>412658.77249099454</v>
      </c>
      <c r="I38" s="79">
        <v>5850654.6834668843</v>
      </c>
      <c r="J38" s="79">
        <v>214629.36837342728</v>
      </c>
      <c r="K38" s="79">
        <v>184781823.66488039</v>
      </c>
      <c r="L38" s="79">
        <v>107686008.26475662</v>
      </c>
      <c r="M38" s="79">
        <v>146254.89959335327</v>
      </c>
      <c r="N38" s="349">
        <v>96.860097257460197</v>
      </c>
      <c r="O38" s="350">
        <v>56.447528371127355</v>
      </c>
      <c r="P38" s="350">
        <v>7.6664812144532982E-2</v>
      </c>
    </row>
    <row r="39" spans="1:16" ht="20" customHeight="1">
      <c r="A39" s="78">
        <v>37</v>
      </c>
      <c r="B39" s="79">
        <v>0.98809315238084505</v>
      </c>
      <c r="C39" s="79">
        <v>8.9498040988360597</v>
      </c>
      <c r="D39" s="79">
        <v>0.19408872743177613</v>
      </c>
      <c r="E39" s="79">
        <v>3.5942806627609477E-3</v>
      </c>
      <c r="F39" s="79">
        <v>5.7826892458109604E-2</v>
      </c>
      <c r="G39" s="79">
        <v>2.3559984582058454E-3</v>
      </c>
      <c r="H39" s="79">
        <v>448199.05391995132</v>
      </c>
      <c r="I39" s="79">
        <v>5799473.0560457669</v>
      </c>
      <c r="J39" s="79">
        <v>163500.34398852824</v>
      </c>
      <c r="K39" s="79">
        <v>184351394.75167495</v>
      </c>
      <c r="L39" s="79">
        <v>101860944.39500029</v>
      </c>
      <c r="N39" s="349">
        <v>96.634472325480331</v>
      </c>
      <c r="O39" s="350">
        <v>53.394109794748466</v>
      </c>
    </row>
    <row r="40" spans="1:16" ht="20" customHeight="1">
      <c r="A40" s="78">
        <v>38</v>
      </c>
      <c r="B40" s="79">
        <v>1.0730648810062424</v>
      </c>
      <c r="C40" s="79">
        <v>8.8185161480207448</v>
      </c>
      <c r="D40" s="79">
        <v>0.14749061804230651</v>
      </c>
      <c r="E40" s="79">
        <v>3.8934123734693442E-3</v>
      </c>
      <c r="F40" s="79">
        <v>5.7678539066286713E-2</v>
      </c>
      <c r="G40" s="79">
        <v>1.8062411885998114E-3</v>
      </c>
      <c r="H40" s="79">
        <v>486742.23002443154</v>
      </c>
      <c r="I40" s="79">
        <v>5714398.4639174426</v>
      </c>
      <c r="J40" s="79">
        <v>124246.09663883904</v>
      </c>
      <c r="K40" s="79">
        <v>183883924.10970274</v>
      </c>
      <c r="L40" s="79">
        <v>96104008.635018691</v>
      </c>
      <c r="N40" s="349">
        <v>96.389430627393452</v>
      </c>
      <c r="O40" s="350">
        <v>50.376403038979767</v>
      </c>
    </row>
    <row r="41" spans="1:16" ht="20" customHeight="1">
      <c r="A41" s="78">
        <v>39</v>
      </c>
      <c r="B41" s="79">
        <v>1.1647880519039719</v>
      </c>
      <c r="C41" s="79">
        <v>8.6406493104992173</v>
      </c>
      <c r="D41" s="79">
        <v>0.11182867831877678</v>
      </c>
      <c r="E41" s="79">
        <v>4.2188257890441944E-3</v>
      </c>
      <c r="F41" s="79">
        <v>5.7191509329286551E-2</v>
      </c>
      <c r="G41" s="79">
        <v>1.3811650072011608E-3</v>
      </c>
      <c r="H41" s="79">
        <v>528347.8603436416</v>
      </c>
      <c r="I41" s="79">
        <v>5599140.7532034935</v>
      </c>
      <c r="J41" s="79">
        <v>94204.478615737578</v>
      </c>
      <c r="K41" s="79">
        <v>183376379.06451872</v>
      </c>
      <c r="L41" s="79">
        <v>90447239.026458219</v>
      </c>
      <c r="N41" s="349">
        <v>96.123382476855525</v>
      </c>
      <c r="O41" s="350">
        <v>47.411202005776907</v>
      </c>
    </row>
    <row r="42" spans="1:16" ht="20" customHeight="1">
      <c r="A42" s="78">
        <v>40</v>
      </c>
      <c r="B42" s="79">
        <v>1.2633297167904038</v>
      </c>
      <c r="C42" s="79">
        <v>8.422179381566453</v>
      </c>
      <c r="D42" s="79">
        <v>8.4615051553173254E-2</v>
      </c>
      <c r="E42" s="79">
        <v>4.5713449755931867E-3</v>
      </c>
      <c r="F42" s="79">
        <v>5.6395133820989846E-2</v>
      </c>
      <c r="G42" s="79">
        <v>1.0535975928172314E-3</v>
      </c>
      <c r="H42" s="79">
        <v>573046.35953612719</v>
      </c>
      <c r="I42" s="79">
        <v>5457572.2392550623</v>
      </c>
      <c r="J42" s="79">
        <v>71279.71942839316</v>
      </c>
      <c r="K42" s="79">
        <v>182825681.95457882</v>
      </c>
      <c r="L42" s="79">
        <v>84918882.530228943</v>
      </c>
      <c r="N42" s="349">
        <v>95.834714605902377</v>
      </c>
      <c r="O42" s="350">
        <v>44.513313364576902</v>
      </c>
    </row>
    <row r="43" spans="1:16" ht="20" customHeight="1">
      <c r="A43" s="78">
        <v>41</v>
      </c>
      <c r="B43" s="79">
        <v>1.3686869287693413</v>
      </c>
      <c r="C43" s="79">
        <v>8.1691416834630566</v>
      </c>
      <c r="D43" s="79">
        <v>6.3902889971778926E-2</v>
      </c>
      <c r="E43" s="79">
        <v>4.9515822104553939E-3</v>
      </c>
      <c r="F43" s="79">
        <v>5.5321413584803608E-2</v>
      </c>
      <c r="G43" s="79">
        <v>8.019453857156018E-4</v>
      </c>
      <c r="H43" s="79">
        <v>620836.39088977315</v>
      </c>
      <c r="I43" s="79">
        <v>5293603.8108840613</v>
      </c>
      <c r="J43" s="79">
        <v>53831.794512226574</v>
      </c>
      <c r="K43" s="79">
        <v>182228740.57936588</v>
      </c>
      <c r="L43" s="79">
        <v>79543294.505159378</v>
      </c>
      <c r="N43" s="349">
        <v>95.521806125439539</v>
      </c>
      <c r="O43" s="350">
        <v>41.695503860387902</v>
      </c>
    </row>
    <row r="44" spans="1:16" ht="20" customHeight="1">
      <c r="A44" s="78">
        <v>42</v>
      </c>
      <c r="B44" s="79">
        <v>1.4807824786238639</v>
      </c>
      <c r="C44" s="79">
        <v>7.8874723651901837</v>
      </c>
      <c r="D44" s="79">
        <v>4.8176748236002556E-2</v>
      </c>
      <c r="E44" s="79">
        <v>5.3599127572187787E-3</v>
      </c>
      <c r="F44" s="79">
        <v>5.4003864601141406E-2</v>
      </c>
      <c r="G44" s="79">
        <v>6.0915703437245772E-4</v>
      </c>
      <c r="H44" s="79">
        <v>671682.93230378465</v>
      </c>
      <c r="I44" s="79">
        <v>5111082.0926432395</v>
      </c>
      <c r="J44" s="79">
        <v>40584.092714008555</v>
      </c>
      <c r="K44" s="79">
        <v>181582480.9177691</v>
      </c>
      <c r="L44" s="79">
        <v>74340951.553395733</v>
      </c>
      <c r="N44" s="349">
        <v>95.183045675768042</v>
      </c>
      <c r="O44" s="350">
        <v>38.968507047171251</v>
      </c>
    </row>
    <row r="45" spans="1:16" ht="20" customHeight="1">
      <c r="A45" s="78">
        <v>43</v>
      </c>
      <c r="B45" s="79">
        <v>1.5994622600397175</v>
      </c>
      <c r="C45" s="79">
        <v>7.5828815188253724</v>
      </c>
      <c r="D45" s="79">
        <v>3.6262515223740591E-2</v>
      </c>
      <c r="E45" s="79">
        <v>5.7964537284352705E-3</v>
      </c>
      <c r="F45" s="79">
        <v>5.2476510409711304E-2</v>
      </c>
      <c r="G45" s="79">
        <v>4.6184355802801228E-4</v>
      </c>
      <c r="H45" s="79">
        <v>725516.08115401573</v>
      </c>
      <c r="I45" s="79">
        <v>4913707.2241988415</v>
      </c>
      <c r="J45" s="79">
        <v>30547.542824479082</v>
      </c>
      <c r="K45" s="79">
        <v>180883881.41104019</v>
      </c>
      <c r="L45" s="79">
        <v>69328556.894974694</v>
      </c>
      <c r="N45" s="349">
        <v>94.816849397239594</v>
      </c>
      <c r="O45" s="350">
        <v>36.341078523747115</v>
      </c>
    </row>
    <row r="46" spans="1:16" ht="20" customHeight="1">
      <c r="A46" s="78">
        <v>44</v>
      </c>
      <c r="B46" s="79">
        <v>1.7244943357574816</v>
      </c>
      <c r="C46" s="79">
        <v>7.2607561390484854</v>
      </c>
      <c r="D46" s="79">
        <v>2.7254334169148693E-2</v>
      </c>
      <c r="E46" s="79">
        <v>6.2610477391354964E-3</v>
      </c>
      <c r="F46" s="79">
        <v>5.0773030871678726E-2</v>
      </c>
      <c r="G46" s="79">
        <v>3.4954431063283562E-4</v>
      </c>
      <c r="H46" s="79">
        <v>782230.63069959357</v>
      </c>
      <c r="I46" s="79">
        <v>4704969.9781034179</v>
      </c>
      <c r="J46" s="79">
        <v>22959.05110409086</v>
      </c>
      <c r="K46" s="79">
        <v>180130008.05511338</v>
      </c>
      <c r="L46" s="79">
        <v>64519218.29382357</v>
      </c>
      <c r="N46" s="349">
        <v>94.421679325169592</v>
      </c>
      <c r="O46" s="350">
        <v>33.820089200163054</v>
      </c>
    </row>
    <row r="47" spans="1:16" ht="20" customHeight="1">
      <c r="A47" s="78">
        <v>45</v>
      </c>
      <c r="B47" s="79">
        <v>1.8555697057861598</v>
      </c>
      <c r="C47" s="79">
        <v>6.9260901151109202</v>
      </c>
      <c r="D47" s="79">
        <v>2.0455929877697378E-2</v>
      </c>
      <c r="E47" s="79">
        <v>6.7532518468206527E-3</v>
      </c>
      <c r="F47" s="79">
        <v>4.8926066397451666E-2</v>
      </c>
      <c r="G47" s="79">
        <v>2.6412311057004623E-4</v>
      </c>
      <c r="H47" s="79">
        <v>841686.418544602</v>
      </c>
      <c r="I47" s="79">
        <v>4488106.3945918772</v>
      </c>
      <c r="J47" s="79">
        <v>17232.075328972274</v>
      </c>
      <c r="K47" s="79">
        <v>179318049.53049129</v>
      </c>
      <c r="L47" s="79">
        <v>59922680.107475922</v>
      </c>
      <c r="N47" s="349">
        <v>93.996061804441183</v>
      </c>
      <c r="O47" s="350">
        <v>31.410646934971897</v>
      </c>
    </row>
    <row r="48" spans="1:16" ht="20" customHeight="1">
      <c r="A48" s="78">
        <v>46</v>
      </c>
      <c r="B48" s="79">
        <v>1.9923047149577269</v>
      </c>
      <c r="C48" s="79">
        <v>6.5834379754743244</v>
      </c>
      <c r="D48" s="79">
        <v>1.5333921464713757E-2</v>
      </c>
      <c r="E48" s="79">
        <v>7.2723320602469449E-3</v>
      </c>
      <c r="F48" s="79">
        <v>4.6966670580436458E-2</v>
      </c>
      <c r="G48" s="79">
        <v>1.9927719708294741E-4</v>
      </c>
      <c r="H48" s="79">
        <v>903709.41870482475</v>
      </c>
      <c r="I48" s="79">
        <v>4266067.8081073631</v>
      </c>
      <c r="J48" s="79">
        <v>12917.29544187487</v>
      </c>
      <c r="K48" s="79">
        <v>178445351.61186659</v>
      </c>
      <c r="L48" s="79">
        <v>55545593.006126314</v>
      </c>
      <c r="N48" s="349">
        <v>93.538605526557092</v>
      </c>
      <c r="O48" s="350">
        <v>29.116237918260389</v>
      </c>
    </row>
    <row r="49" spans="1:15" ht="20" customHeight="1">
      <c r="A49" s="78">
        <v>47</v>
      </c>
      <c r="B49" s="79">
        <v>2.1342449826666634</v>
      </c>
      <c r="C49" s="79">
        <v>6.2368889219058685</v>
      </c>
      <c r="D49" s="79">
        <v>1.1480954983396959E-2</v>
      </c>
      <c r="E49" s="79">
        <v>7.8172634919081215E-3</v>
      </c>
      <c r="F49" s="79">
        <v>4.492389977582395E-2</v>
      </c>
      <c r="G49" s="79">
        <v>1.5014182903343246E-4</v>
      </c>
      <c r="H49" s="79">
        <v>968093.52413759835</v>
      </c>
      <c r="I49" s="79">
        <v>4041504.021395003</v>
      </c>
      <c r="J49" s="79">
        <v>9671.5564780135992</v>
      </c>
      <c r="K49" s="79">
        <v>177509450.14044535</v>
      </c>
      <c r="L49" s="79">
        <v>51391807.091375142</v>
      </c>
      <c r="N49" s="349">
        <v>93.048018813279128</v>
      </c>
      <c r="O49" s="350">
        <v>26.93888032047446</v>
      </c>
    </row>
    <row r="50" spans="1:15" ht="20" customHeight="1">
      <c r="A50" s="78">
        <v>48</v>
      </c>
      <c r="B50" s="79">
        <v>2.2808706940281427</v>
      </c>
      <c r="C50" s="79">
        <v>5.8900577176867897</v>
      </c>
      <c r="D50" s="79">
        <v>8.586782150061343E-3</v>
      </c>
      <c r="E50" s="79">
        <v>8.386736037253156E-3</v>
      </c>
      <c r="F50" s="79">
        <v>4.2824525421934628E-2</v>
      </c>
      <c r="G50" s="79">
        <v>1.129745545265972E-4</v>
      </c>
      <c r="H50" s="79">
        <v>1034602.9468111654</v>
      </c>
      <c r="I50" s="79">
        <v>3816757.4010610399</v>
      </c>
      <c r="J50" s="79">
        <v>7233.5052832116762</v>
      </c>
      <c r="K50" s="79">
        <v>176508101.90497097</v>
      </c>
      <c r="L50" s="79">
        <v>47462676.380147129</v>
      </c>
      <c r="N50" s="349">
        <v>92.523125804037392</v>
      </c>
      <c r="O50" s="350">
        <v>24.8792838987126</v>
      </c>
    </row>
    <row r="51" spans="1:15" ht="20" customHeight="1">
      <c r="A51" s="78">
        <v>49</v>
      </c>
      <c r="B51" s="79">
        <v>2.431603059433936</v>
      </c>
      <c r="C51" s="79">
        <v>5.5460891703700268</v>
      </c>
      <c r="D51" s="79">
        <v>6.4157028394354193E-3</v>
      </c>
      <c r="E51" s="79">
        <v>8.9791652944758663E-3</v>
      </c>
      <c r="F51" s="79">
        <v>4.0692853495244576E-2</v>
      </c>
      <c r="G51" s="79">
        <v>8.4904917749583047E-5</v>
      </c>
      <c r="H51" s="79">
        <v>1102975.1477592331</v>
      </c>
      <c r="I51" s="79">
        <v>3593865.7823997778</v>
      </c>
      <c r="J51" s="79">
        <v>5404.5880719403976</v>
      </c>
      <c r="K51" s="79">
        <v>175439312.85768577</v>
      </c>
      <c r="L51" s="79">
        <v>43757364.788416713</v>
      </c>
      <c r="N51" s="349">
        <v>91.962881246350264</v>
      </c>
      <c r="O51" s="350">
        <v>22.937010389197418</v>
      </c>
    </row>
    <row r="52" spans="1:15" ht="20" customHeight="1">
      <c r="A52" s="78">
        <v>50</v>
      </c>
      <c r="B52" s="79">
        <v>2.5858117283949755</v>
      </c>
      <c r="C52" s="79">
        <v>5.2076732212286263</v>
      </c>
      <c r="D52" s="79">
        <v>4.7890598974028465E-3</v>
      </c>
      <c r="E52" s="79">
        <v>9.5927082968919313E-3</v>
      </c>
      <c r="F52" s="79">
        <v>3.8550635115945656E-2</v>
      </c>
      <c r="G52" s="79">
        <v>6.373729062015422E-5</v>
      </c>
      <c r="H52" s="79">
        <v>1172924.1999999608</v>
      </c>
      <c r="I52" s="79">
        <v>3374572.2473561503</v>
      </c>
      <c r="J52" s="79">
        <v>4034.3040575721584</v>
      </c>
      <c r="K52" s="79">
        <v>174301363.18380618</v>
      </c>
      <c r="L52" s="79">
        <v>40273145.773538738</v>
      </c>
      <c r="N52" s="349">
        <v>91.3663836368994</v>
      </c>
      <c r="O52" s="350">
        <v>21.110630575675131</v>
      </c>
    </row>
    <row r="53" spans="1:15" ht="20" customHeight="1">
      <c r="A53" s="78">
        <v>51</v>
      </c>
      <c r="B53" s="79">
        <v>2.7428229328895326</v>
      </c>
      <c r="C53" s="79">
        <v>4.8770679800961387</v>
      </c>
      <c r="D53" s="79">
        <v>3.5717153355051055E-3</v>
      </c>
      <c r="E53" s="79">
        <v>1.0225283517977791E-2</v>
      </c>
      <c r="F53" s="79">
        <v>3.6417052709829027E-2</v>
      </c>
      <c r="G53" s="79">
        <v>4.7796414223650532E-5</v>
      </c>
      <c r="H53" s="79">
        <v>1244144.482358692</v>
      </c>
      <c r="I53" s="79">
        <v>3160340.0511022983</v>
      </c>
      <c r="J53" s="79">
        <v>3008.8129986295012</v>
      </c>
      <c r="K53" s="79">
        <v>173092828.84262687</v>
      </c>
      <c r="L53" s="79">
        <v>37005689.62430951</v>
      </c>
      <c r="N53" s="349">
        <v>90.73288651308107</v>
      </c>
      <c r="O53" s="350">
        <v>19.397874882924704</v>
      </c>
    </row>
    <row r="54" spans="1:15" ht="20" customHeight="1">
      <c r="A54" s="78">
        <v>52</v>
      </c>
      <c r="B54" s="79">
        <v>2.9019281340518646</v>
      </c>
      <c r="C54" s="79">
        <v>4.5561283944491748</v>
      </c>
      <c r="D54" s="79">
        <v>2.6616438771156882E-3</v>
      </c>
      <c r="E54" s="79">
        <v>1.0874594527679424E-2</v>
      </c>
      <c r="F54" s="79">
        <v>3.430876705516088E-2</v>
      </c>
      <c r="G54" s="79">
        <v>3.5806992360505363E-5</v>
      </c>
      <c r="H54" s="79">
        <v>1316314.6016059255</v>
      </c>
      <c r="I54" s="79">
        <v>2952371.1996030654</v>
      </c>
      <c r="J54" s="79">
        <v>2242.1688020822558</v>
      </c>
      <c r="K54" s="79">
        <v>171812599.30064455</v>
      </c>
      <c r="L54" s="79">
        <v>33949333.998956829</v>
      </c>
      <c r="N54" s="349">
        <v>90.06180774846635</v>
      </c>
      <c r="O54" s="350">
        <v>17.795775189061192</v>
      </c>
    </row>
    <row r="55" spans="1:15" ht="20" customHeight="1">
      <c r="A55" s="78">
        <v>53</v>
      </c>
      <c r="B55" s="79">
        <v>3.062392952563342</v>
      </c>
      <c r="C55" s="79">
        <v>4.2463385924798454</v>
      </c>
      <c r="D55" s="79">
        <v>1.98195370766218E-3</v>
      </c>
      <c r="E55" s="79">
        <v>1.1538156626649148E-2</v>
      </c>
      <c r="F55" s="79">
        <v>3.2240011811361539E-2</v>
      </c>
      <c r="G55" s="79">
        <v>2.6800240549136766E-5</v>
      </c>
      <c r="H55" s="79">
        <v>1389101.4432827318</v>
      </c>
      <c r="I55" s="79">
        <v>2751627.4079269399</v>
      </c>
      <c r="J55" s="79">
        <v>1669.5978033346207</v>
      </c>
      <c r="K55" s="79">
        <v>170459891.27820021</v>
      </c>
      <c r="L55" s="79">
        <v>31097334.69519183</v>
      </c>
      <c r="N55" s="349">
        <v>89.352736758602504</v>
      </c>
      <c r="O55" s="350">
        <v>16.300796275757016</v>
      </c>
    </row>
    <row r="56" spans="1:15" ht="20" customHeight="1">
      <c r="A56" s="78">
        <v>54</v>
      </c>
      <c r="B56" s="79">
        <v>3.2234661760580283</v>
      </c>
      <c r="C56" s="79">
        <v>3.9488462756853489</v>
      </c>
      <c r="D56" s="79">
        <v>1.4747878073622831E-3</v>
      </c>
      <c r="E56" s="79">
        <v>1.2213325760490612E-2</v>
      </c>
      <c r="F56" s="79">
        <v>3.0222723589537068E-2</v>
      </c>
      <c r="G56" s="79">
        <v>2.0041640072082013E-5</v>
      </c>
      <c r="H56" s="79">
        <v>1462164.2574599215</v>
      </c>
      <c r="I56" s="79">
        <v>2558852.3866441059</v>
      </c>
      <c r="J56" s="79">
        <v>1242.3612489219877</v>
      </c>
      <c r="K56" s="79">
        <v>169034258.42782891</v>
      </c>
      <c r="L56" s="79">
        <v>28442094.797906309</v>
      </c>
      <c r="N56" s="349">
        <v>88.605439574271045</v>
      </c>
      <c r="O56" s="350">
        <v>14.908955944321619</v>
      </c>
    </row>
    <row r="57" spans="1:15" ht="20" customHeight="1">
      <c r="A57" s="78">
        <v>55</v>
      </c>
      <c r="B57" s="79">
        <v>3.3843886547281672</v>
      </c>
      <c r="C57" s="79">
        <v>3.6644978468731226</v>
      </c>
      <c r="D57" s="79">
        <v>1.0966760336068616E-3</v>
      </c>
      <c r="E57" s="79">
        <v>1.2897329015906539E-2</v>
      </c>
      <c r="F57" s="79">
        <v>2.8266697167707688E-2</v>
      </c>
      <c r="G57" s="79">
        <v>1.4975282279591101E-5</v>
      </c>
      <c r="H57" s="79">
        <v>1535158.6937846965</v>
      </c>
      <c r="I57" s="79">
        <v>2374594.6047737836</v>
      </c>
      <c r="J57" s="79">
        <v>923.83989071042049</v>
      </c>
      <c r="K57" s="79">
        <v>167535596.95220658</v>
      </c>
      <c r="L57" s="79">
        <v>25975371.302197367</v>
      </c>
      <c r="N57" s="349">
        <v>87.819861786338578</v>
      </c>
      <c r="O57" s="350">
        <v>13.61593332465667</v>
      </c>
    </row>
    <row r="58" spans="1:15" ht="20" customHeight="1">
      <c r="A58" s="78">
        <v>56</v>
      </c>
      <c r="B58" s="79">
        <v>3.5444019176798478</v>
      </c>
      <c r="C58" s="79">
        <v>3.3938732384868624</v>
      </c>
      <c r="D58" s="79">
        <v>8.1500205306011219E-4</v>
      </c>
      <c r="E58" s="79">
        <v>1.3587296021352641E-2</v>
      </c>
      <c r="F58" s="79">
        <v>2.6379756990412517E-2</v>
      </c>
      <c r="G58" s="79">
        <v>1.1181129978535913E-5</v>
      </c>
      <c r="H58" s="79">
        <v>1607740.7098595789</v>
      </c>
      <c r="I58" s="79">
        <v>2199229.8585394868</v>
      </c>
      <c r="J58" s="79">
        <v>686.55772949783852</v>
      </c>
      <c r="K58" s="79">
        <v>165964147.25038445</v>
      </c>
      <c r="L58" s="79">
        <v>23688459.070540726</v>
      </c>
      <c r="N58" s="349">
        <v>86.996129408690066</v>
      </c>
      <c r="O58" s="350">
        <v>12.417165303082923</v>
      </c>
    </row>
    <row r="59" spans="1:15" ht="20" customHeight="1">
      <c r="A59" s="78">
        <v>57</v>
      </c>
      <c r="B59" s="79">
        <v>3.7027563661359233</v>
      </c>
      <c r="C59" s="79">
        <v>3.1373196510924797</v>
      </c>
      <c r="D59" s="79">
        <v>6.0532404755109129E-4</v>
      </c>
      <c r="E59" s="79">
        <v>1.4280290612662056E-2</v>
      </c>
      <c r="F59" s="79">
        <v>2.4567937562812347E-2</v>
      </c>
      <c r="G59" s="79">
        <v>8.3422927769669269E-6</v>
      </c>
      <c r="H59" s="79">
        <v>1679570.2876792545</v>
      </c>
      <c r="I59" s="79">
        <v>2032983.133907927</v>
      </c>
      <c r="J59" s="79">
        <v>509.92497765703939</v>
      </c>
      <c r="K59" s="79">
        <v>164320491.75161505</v>
      </c>
      <c r="L59" s="79">
        <v>21572352.574317008</v>
      </c>
      <c r="N59" s="349">
        <v>86.134547742750371</v>
      </c>
      <c r="O59" s="350">
        <v>11.307931305029637</v>
      </c>
    </row>
    <row r="60" spans="1:15" ht="20" customHeight="1">
      <c r="A60" s="78">
        <v>58</v>
      </c>
      <c r="B60" s="79">
        <v>3.8587189241597155</v>
      </c>
      <c r="C60" s="79">
        <v>2.8949836223669889</v>
      </c>
      <c r="D60" s="79">
        <v>4.4934723694067482E-4</v>
      </c>
      <c r="E60" s="79">
        <v>1.4973342175349362E-2</v>
      </c>
      <c r="F60" s="79">
        <v>2.2835666713429549E-2</v>
      </c>
      <c r="G60" s="79">
        <v>6.220035891850513E-6</v>
      </c>
      <c r="H60" s="79">
        <v>1750314.9039988467</v>
      </c>
      <c r="I60" s="79">
        <v>1875949.3872938091</v>
      </c>
      <c r="J60" s="79">
        <v>378.53011239882454</v>
      </c>
      <c r="K60" s="79">
        <v>162605549.15577599</v>
      </c>
      <c r="L60" s="79">
        <v>19617886.313716143</v>
      </c>
      <c r="N60" s="349">
        <v>85.235598358393233</v>
      </c>
      <c r="O60" s="350">
        <v>10.283426901222281</v>
      </c>
    </row>
    <row r="61" spans="1:15" ht="20" customHeight="1">
      <c r="A61" s="78">
        <v>59</v>
      </c>
      <c r="B61" s="79">
        <v>4.0115800522027119</v>
      </c>
      <c r="C61" s="79">
        <v>2.6668410242697895</v>
      </c>
      <c r="D61" s="79">
        <v>3.3339264903721087E-4</v>
      </c>
      <c r="E61" s="79">
        <v>1.566347613631083E-2</v>
      </c>
      <c r="F61" s="79">
        <v>2.1185946933290803E-2</v>
      </c>
      <c r="G61" s="79">
        <v>4.6347406287163183E-6</v>
      </c>
      <c r="H61" s="79">
        <v>1819652.7116791501</v>
      </c>
      <c r="I61" s="79">
        <v>1728112.9837268237</v>
      </c>
      <c r="J61" s="79">
        <v>280.84996754894644</v>
      </c>
      <c r="K61" s="79">
        <v>160820565.34793699</v>
      </c>
      <c r="L61" s="79">
        <v>17815855.128205836</v>
      </c>
      <c r="N61" s="349">
        <v>84.299934331482035</v>
      </c>
      <c r="O61" s="350">
        <v>9.338826872779773</v>
      </c>
    </row>
    <row r="62" spans="1:15" ht="20" customHeight="1">
      <c r="A62" s="78">
        <v>60</v>
      </c>
      <c r="B62" s="79">
        <v>4.1606600526680877</v>
      </c>
      <c r="C62" s="79">
        <v>2.4527247325659567</v>
      </c>
      <c r="D62" s="79">
        <v>2.4724274561514965E-4</v>
      </c>
      <c r="E62" s="79">
        <v>1.6347743145066752E-2</v>
      </c>
      <c r="F62" s="79">
        <v>1.962053109088626E-2</v>
      </c>
      <c r="G62" s="79">
        <v>3.4514309772780226E-6</v>
      </c>
      <c r="H62" s="79">
        <v>1887275.3998902442</v>
      </c>
      <c r="I62" s="79">
        <v>1589365.6267027401</v>
      </c>
      <c r="J62" s="79">
        <v>208.27728890620213</v>
      </c>
      <c r="K62" s="79">
        <v>158967101.29215229</v>
      </c>
      <c r="L62" s="79">
        <v>16157115.822991043</v>
      </c>
      <c r="N62" s="349">
        <v>83.328373897961782</v>
      </c>
      <c r="O62" s="350">
        <v>8.4693384824104925</v>
      </c>
    </row>
    <row r="63" spans="1:15" ht="20" customHeight="1">
      <c r="A63" s="78">
        <v>61</v>
      </c>
      <c r="B63" s="79">
        <v>4.3053146192087191</v>
      </c>
      <c r="C63" s="79">
        <v>2.2523498314401</v>
      </c>
      <c r="D63" s="79">
        <v>1.8327258391842512E-4</v>
      </c>
      <c r="E63" s="79">
        <v>1.7023246555546469E-2</v>
      </c>
      <c r="F63" s="79">
        <v>1.8140089769504979E-2</v>
      </c>
      <c r="G63" s="79">
        <v>2.5687934218502449E-6</v>
      </c>
      <c r="H63" s="79">
        <v>1952890.7112730748</v>
      </c>
      <c r="I63" s="79">
        <v>1459522.6907731851</v>
      </c>
      <c r="J63" s="79">
        <v>154.38882469288134</v>
      </c>
      <c r="K63" s="79">
        <v>157047018.23657063</v>
      </c>
      <c r="L63" s="79">
        <v>14632671.664253086</v>
      </c>
      <c r="N63" s="349">
        <v>82.321892698580768</v>
      </c>
      <c r="O63" s="350">
        <v>7.6702457656575875</v>
      </c>
    </row>
    <row r="64" spans="1:15" ht="20" customHeight="1">
      <c r="A64" s="78">
        <v>62</v>
      </c>
      <c r="B64" s="79">
        <v>4.4449396021893985</v>
      </c>
      <c r="C64" s="79">
        <v>2.0653363098124458</v>
      </c>
      <c r="D64" s="79">
        <v>1.3579687237692898E-4</v>
      </c>
      <c r="E64" s="79">
        <v>1.768716789112033E-2</v>
      </c>
      <c r="F64" s="79">
        <v>1.6744368280201576E-2</v>
      </c>
      <c r="G64" s="79">
        <v>1.9108622941944525E-6</v>
      </c>
      <c r="H64" s="79">
        <v>2016224.6035531107</v>
      </c>
      <c r="I64" s="79">
        <v>1338337.9287584648</v>
      </c>
      <c r="J64" s="79">
        <v>114.39528529032499</v>
      </c>
      <c r="K64" s="79">
        <v>155062460.57915753</v>
      </c>
      <c r="L64" s="79">
        <v>13233741.35448727</v>
      </c>
      <c r="N64" s="349">
        <v>81.281614797337156</v>
      </c>
      <c r="O64" s="350">
        <v>6.9369456868247843</v>
      </c>
    </row>
    <row r="65" spans="1:15" ht="20" customHeight="1">
      <c r="A65" s="78">
        <v>63</v>
      </c>
      <c r="B65" s="79">
        <v>4.5789749813284155</v>
      </c>
      <c r="C65" s="79">
        <v>1.891229278418979</v>
      </c>
      <c r="D65" s="79">
        <v>1.0057995497332722E-4</v>
      </c>
      <c r="E65" s="79">
        <v>1.8336790045968492E-2</v>
      </c>
      <c r="F65" s="79">
        <v>1.5432332078263908E-2</v>
      </c>
      <c r="G65" s="79">
        <v>1.4207343321517824E-6</v>
      </c>
      <c r="H65" s="79">
        <v>2077023.0515305691</v>
      </c>
      <c r="I65" s="79">
        <v>1225516.5724154986</v>
      </c>
      <c r="J65" s="79">
        <v>84.728554069530858</v>
      </c>
      <c r="K65" s="79">
        <v>153015836.7516157</v>
      </c>
      <c r="L65" s="79">
        <v>11951814.103900284</v>
      </c>
      <c r="N65" s="349">
        <v>80.208802661092321</v>
      </c>
      <c r="O65" s="350">
        <v>6.2649770066474861</v>
      </c>
    </row>
    <row r="66" spans="1:15" ht="20" customHeight="1">
      <c r="A66" s="78">
        <v>64</v>
      </c>
      <c r="B66" s="79">
        <v>4.7069080528143452</v>
      </c>
      <c r="C66" s="79">
        <v>1.7295167909201834</v>
      </c>
      <c r="D66" s="79">
        <v>7.4468539481604252E-5</v>
      </c>
      <c r="E66" s="79">
        <v>1.8969518043211019E-2</v>
      </c>
      <c r="F66" s="79">
        <v>1.420229986472021E-2</v>
      </c>
      <c r="G66" s="79">
        <v>1.0558247033602012E-6</v>
      </c>
      <c r="H66" s="79">
        <v>2135053.492756587</v>
      </c>
      <c r="I66" s="79">
        <v>1120726.880516279</v>
      </c>
      <c r="J66" s="79">
        <v>62.732297659303434</v>
      </c>
      <c r="K66" s="79">
        <v>150909798.4794721</v>
      </c>
      <c r="L66" s="79">
        <v>10778692.377434403</v>
      </c>
      <c r="N66" s="349">
        <v>79.104846287992984</v>
      </c>
      <c r="O66" s="350">
        <v>5.6500426896964777</v>
      </c>
    </row>
    <row r="67" spans="1:15" ht="20" customHeight="1">
      <c r="A67" s="78">
        <v>65</v>
      </c>
      <c r="B67" s="79">
        <v>4.8282758520947224</v>
      </c>
      <c r="C67" s="79">
        <v>1.5796453912244259</v>
      </c>
      <c r="D67" s="79">
        <v>5.5116748905160846E-5</v>
      </c>
      <c r="E67" s="79">
        <v>1.9582897233158741E-2</v>
      </c>
      <c r="F67" s="79">
        <v>1.3052064099721714E-2</v>
      </c>
      <c r="G67" s="79">
        <v>7.8429168221875044E-7</v>
      </c>
      <c r="H67" s="79">
        <v>2190105.9265101659</v>
      </c>
      <c r="I67" s="79">
        <v>1023610.2135134281</v>
      </c>
      <c r="J67" s="79">
        <v>46.430349277707506</v>
      </c>
      <c r="K67" s="79">
        <v>148747218.76983875</v>
      </c>
      <c r="L67" s="79">
        <v>9706523.8304195404</v>
      </c>
      <c r="N67" s="349">
        <v>77.971251668957365</v>
      </c>
      <c r="O67" s="350">
        <v>5.088026644608667</v>
      </c>
    </row>
    <row r="68" spans="1:15" ht="20" customHeight="1">
      <c r="A68" s="78">
        <v>66</v>
      </c>
      <c r="B68" s="79">
        <v>4.9426668450715097</v>
      </c>
      <c r="C68" s="79">
        <v>1.4410335355496691</v>
      </c>
      <c r="D68" s="79">
        <v>4.078051338074035E-5</v>
      </c>
      <c r="E68" s="79">
        <v>2.0174628872619092E-2</v>
      </c>
      <c r="F68" s="79">
        <v>1.1978999004644676E-2</v>
      </c>
      <c r="G68" s="79">
        <v>5.8234573147580858E-7</v>
      </c>
      <c r="H68" s="79">
        <v>2241993.6809244365</v>
      </c>
      <c r="I68" s="79">
        <v>933789.73103618575</v>
      </c>
      <c r="J68" s="79">
        <v>34.353504471935672</v>
      </c>
      <c r="K68" s="79">
        <v>146531168.96612144</v>
      </c>
      <c r="L68" s="79">
        <v>8727823.8581447303</v>
      </c>
      <c r="N68" s="349">
        <v>76.809628760068236</v>
      </c>
      <c r="O68" s="350">
        <v>4.5750055442631314</v>
      </c>
    </row>
    <row r="69" spans="1:15" ht="20" customHeight="1">
      <c r="A69" s="78">
        <v>67</v>
      </c>
      <c r="B69" s="79">
        <v>5.0497219296941891</v>
      </c>
      <c r="C69" s="79">
        <v>1.3130830539040006</v>
      </c>
      <c r="D69" s="79">
        <v>3.0163971026683119E-5</v>
      </c>
      <c r="E69" s="79">
        <v>2.0742583077747938E-2</v>
      </c>
      <c r="F69" s="79">
        <v>1.0980156397421987E-2</v>
      </c>
      <c r="G69" s="79">
        <v>4.3222676078620222E-7</v>
      </c>
      <c r="H69" s="79">
        <v>2290553.8673092839</v>
      </c>
      <c r="I69" s="79">
        <v>850877.81892979238</v>
      </c>
      <c r="J69" s="79">
        <v>25.410129192877864</v>
      </c>
      <c r="K69" s="79">
        <v>144264895.19200456</v>
      </c>
      <c r="L69" s="79">
        <v>7835490.0831617415</v>
      </c>
      <c r="N69" s="349">
        <v>75.621679134832931</v>
      </c>
      <c r="O69" s="350">
        <v>4.1072564198269479</v>
      </c>
    </row>
    <row r="70" spans="1:15" ht="20" customHeight="1">
      <c r="A70" s="78">
        <v>68</v>
      </c>
      <c r="B70" s="79">
        <v>5.1491347970523371</v>
      </c>
      <c r="C70" s="79">
        <v>1.1951888237366131</v>
      </c>
      <c r="D70" s="79">
        <v>2.2304829801157673E-5</v>
      </c>
      <c r="E70" s="79">
        <v>2.1284809188129701E-2</v>
      </c>
      <c r="F70" s="79">
        <v>1.0052349903243283E-2</v>
      </c>
      <c r="G70" s="79">
        <v>3.2068542264299612E-7</v>
      </c>
      <c r="H70" s="79">
        <v>2335647.54394294</v>
      </c>
      <c r="I70" s="79">
        <v>774482.35778132535</v>
      </c>
      <c r="J70" s="79">
        <v>18.789588624495227</v>
      </c>
      <c r="K70" s="79">
        <v>141951794.48637846</v>
      </c>
      <c r="L70" s="79">
        <v>7022809.9948061705</v>
      </c>
      <c r="N70" s="349">
        <v>74.409183474439544</v>
      </c>
      <c r="O70" s="350">
        <v>3.6812606652873598</v>
      </c>
    </row>
    <row r="71" spans="1:15" ht="20" customHeight="1">
      <c r="A71" s="78">
        <v>69</v>
      </c>
      <c r="B71" s="79">
        <v>5.2406517062055711</v>
      </c>
      <c r="C71" s="79">
        <v>1.0867468302980421</v>
      </c>
      <c r="D71" s="79">
        <v>1.648888243642401E-5</v>
      </c>
      <c r="E71" s="79">
        <v>2.1799543618467386E-2</v>
      </c>
      <c r="F71" s="79">
        <v>9.1922282217701736E-3</v>
      </c>
      <c r="G71" s="79">
        <v>2.3784408580559722E-7</v>
      </c>
      <c r="H71" s="79">
        <v>2377159.6139348471</v>
      </c>
      <c r="I71" s="79">
        <v>704211.94603313133</v>
      </c>
      <c r="J71" s="79">
        <v>13.890234564443588</v>
      </c>
      <c r="K71" s="79">
        <v>139595390.90743956</v>
      </c>
      <c r="L71" s="79">
        <v>6283462.8428989351</v>
      </c>
      <c r="N71" s="349">
        <v>73.173989041854085</v>
      </c>
      <c r="O71" s="350">
        <v>3.2937050301041153</v>
      </c>
    </row>
    <row r="72" spans="1:15" ht="20" customHeight="1">
      <c r="A72" s="78">
        <v>70</v>
      </c>
      <c r="B72" s="79">
        <v>5.3240707303451043</v>
      </c>
      <c r="C72" s="79">
        <v>0.98716078527321649</v>
      </c>
      <c r="D72" s="79">
        <v>1.2186312407376014E-5</v>
      </c>
      <c r="E72" s="79">
        <v>2.2285215306552274E-2</v>
      </c>
      <c r="F72" s="79">
        <v>8.3963382227191831E-3</v>
      </c>
      <c r="G72" s="79">
        <v>1.7634343175375239E-7</v>
      </c>
      <c r="H72" s="79">
        <v>2414998.4832845391</v>
      </c>
      <c r="I72" s="79">
        <v>639680.18885704433</v>
      </c>
      <c r="J72" s="79">
        <v>10.265749571973556</v>
      </c>
      <c r="K72" s="79">
        <v>137199311.85882986</v>
      </c>
      <c r="L72" s="79">
        <v>5611516.7754538357</v>
      </c>
      <c r="N72" s="349">
        <v>71.917997272307488</v>
      </c>
      <c r="O72" s="350">
        <v>2.9414801188350408</v>
      </c>
    </row>
    <row r="73" spans="1:15" ht="20" customHeight="1">
      <c r="A73" s="78">
        <v>71</v>
      </c>
      <c r="B73" s="79">
        <v>5.3992405336647877</v>
      </c>
      <c r="C73" s="79">
        <v>0.89584746878315591</v>
      </c>
      <c r="D73" s="79">
        <v>9.0042720312663641E-6</v>
      </c>
      <c r="E73" s="79">
        <v>2.2740448892292424E-2</v>
      </c>
      <c r="F73" s="79">
        <v>7.6611786932595741E-3</v>
      </c>
      <c r="G73" s="79">
        <v>1.307036557170443E-7</v>
      </c>
      <c r="H73" s="79">
        <v>2449095.5060703475</v>
      </c>
      <c r="I73" s="79">
        <v>580509.15977148514</v>
      </c>
      <c r="J73" s="79">
        <v>7.5851987591387857</v>
      </c>
      <c r="K73" s="79">
        <v>134767264.86415243</v>
      </c>
      <c r="L73" s="79">
        <v>5001422.1011395752</v>
      </c>
      <c r="N73" s="349">
        <v>70.643151598815308</v>
      </c>
      <c r="O73" s="350">
        <v>2.6216768594110507</v>
      </c>
    </row>
    <row r="74" spans="1:15" ht="20" customHeight="1">
      <c r="A74" s="78">
        <v>72</v>
      </c>
      <c r="B74" s="79">
        <v>5.4660587387416602</v>
      </c>
      <c r="C74" s="79">
        <v>0.81224095093113013</v>
      </c>
      <c r="D74" s="79">
        <v>6.6516004640770147E-6</v>
      </c>
      <c r="E74" s="79">
        <v>2.3164065782864538E-2</v>
      </c>
      <c r="F74" s="79">
        <v>6.983245581166567E-3</v>
      </c>
      <c r="G74" s="79">
        <v>9.6846728404991638E-8</v>
      </c>
      <c r="H74" s="79">
        <v>2479404.2438932173</v>
      </c>
      <c r="I74" s="79">
        <v>526332.13620337239</v>
      </c>
      <c r="J74" s="79">
        <v>5.6033082309384783</v>
      </c>
      <c r="K74" s="79">
        <v>132303014.98917064</v>
      </c>
      <c r="L74" s="79">
        <v>4448001.4531521499</v>
      </c>
      <c r="N74" s="349">
        <v>69.351425617204129</v>
      </c>
      <c r="O74" s="350">
        <v>2.3315813471729783</v>
      </c>
    </row>
    <row r="75" spans="1:15" ht="20" customHeight="1">
      <c r="A75" s="78">
        <v>73</v>
      </c>
      <c r="B75" s="79">
        <v>5.5244699434937008</v>
      </c>
      <c r="C75" s="79">
        <v>0.73579583854020214</v>
      </c>
      <c r="D75" s="79">
        <v>4.9125910519825269E-6</v>
      </c>
      <c r="E75" s="79">
        <v>2.3555083273949923E-2</v>
      </c>
      <c r="F75" s="79">
        <v>6.3590695739783581E-3</v>
      </c>
      <c r="G75" s="79">
        <v>7.1739405524041753E-8</v>
      </c>
      <c r="H75" s="79">
        <v>2505899.5663687424</v>
      </c>
      <c r="I75" s="79">
        <v>476795.70337405097</v>
      </c>
      <c r="J75" s="79">
        <v>4.1383667021900807</v>
      </c>
      <c r="K75" s="79">
        <v>129810363.08403966</v>
      </c>
      <c r="L75" s="79">
        <v>3946437.5333634317</v>
      </c>
      <c r="N75" s="349">
        <v>68.04481168098792</v>
      </c>
      <c r="O75" s="350">
        <v>2.0686684205223815</v>
      </c>
    </row>
    <row r="76" spans="1:15" ht="20" customHeight="1">
      <c r="A76" s="78">
        <v>74</v>
      </c>
      <c r="B76" s="79">
        <v>5.5744634450950441</v>
      </c>
      <c r="C76" s="79">
        <v>0.66598968126117097</v>
      </c>
      <c r="D76" s="79">
        <v>3.6274989649867773E-6</v>
      </c>
      <c r="E76" s="79">
        <v>2.3912711907020909E-2</v>
      </c>
      <c r="F76" s="79">
        <v>5.7852468323886267E-3</v>
      </c>
      <c r="G76" s="79">
        <v>5.3126672799713211E-8</v>
      </c>
      <c r="H76" s="79">
        <v>2528576.6186951119</v>
      </c>
      <c r="I76" s="79">
        <v>431561.31345723878</v>
      </c>
      <c r="J76" s="79">
        <v>3.0558051281048617</v>
      </c>
      <c r="K76" s="79">
        <v>127293124.99150774</v>
      </c>
      <c r="L76" s="79">
        <v>3492259.0249477923</v>
      </c>
      <c r="N76" s="349">
        <v>66.725310002592238</v>
      </c>
      <c r="O76" s="350">
        <v>1.8305942765136591</v>
      </c>
    </row>
    <row r="77" spans="1:15" ht="20" customHeight="1">
      <c r="A77" s="78">
        <v>75</v>
      </c>
      <c r="B77" s="79">
        <v>5.616070725771964</v>
      </c>
      <c r="C77" s="79">
        <v>0.60232465934598356</v>
      </c>
      <c r="D77" s="79">
        <v>2.6780655509558644E-6</v>
      </c>
      <c r="E77" s="79">
        <v>2.4236351248281919E-2</v>
      </c>
      <c r="F77" s="79">
        <v>5.2584636606702448E-3</v>
      </c>
      <c r="G77" s="79">
        <v>3.9332861210008086E-8</v>
      </c>
      <c r="H77" s="79">
        <v>2547449.6812101626</v>
      </c>
      <c r="I77" s="79">
        <v>390306.37925619737</v>
      </c>
      <c r="J77" s="79">
        <v>2.2560024201252205</v>
      </c>
      <c r="K77" s="79">
        <v>124755111.8415551</v>
      </c>
      <c r="L77" s="79">
        <v>3081325.1785910726</v>
      </c>
      <c r="N77" s="349">
        <v>65.394918324074297</v>
      </c>
      <c r="O77" s="350">
        <v>1.6151883911562293</v>
      </c>
    </row>
    <row r="78" spans="1:15" ht="20" customHeight="1">
      <c r="A78" s="78">
        <v>76</v>
      </c>
      <c r="B78" s="79">
        <v>5.6493627523484617</v>
      </c>
      <c r="C78" s="79">
        <v>0.54432866348313513</v>
      </c>
      <c r="D78" s="79">
        <v>1.9767740286765926E-6</v>
      </c>
      <c r="E78" s="79">
        <v>2.4525584276682076E-2</v>
      </c>
      <c r="F78" s="79">
        <v>4.7755158521329546E-3</v>
      </c>
      <c r="G78" s="79">
        <v>2.9113354131449972E-8</v>
      </c>
      <c r="H78" s="79">
        <v>2562550.9444652619</v>
      </c>
      <c r="I78" s="79">
        <v>352724.97393707163</v>
      </c>
      <c r="J78" s="79">
        <v>1.6652344417571621</v>
      </c>
      <c r="K78" s="79">
        <v>122200111.5287174</v>
      </c>
      <c r="L78" s="79">
        <v>2709809.501994431</v>
      </c>
      <c r="N78" s="349">
        <v>64.055622207790009</v>
      </c>
      <c r="O78" s="350">
        <v>1.4204449696761805</v>
      </c>
    </row>
    <row r="79" spans="1:15" ht="20" customHeight="1">
      <c r="A79" s="78">
        <v>77</v>
      </c>
      <c r="B79" s="79">
        <v>5.6744471379115629</v>
      </c>
      <c r="C79" s="79">
        <v>0.49155586547506058</v>
      </c>
      <c r="D79" s="79">
        <v>1.4588787079399557E-6</v>
      </c>
      <c r="E79" s="79">
        <v>2.478017056693298E-2</v>
      </c>
      <c r="F79" s="79">
        <v>4.3333233967565669E-3</v>
      </c>
      <c r="G79" s="79">
        <v>2.1544087695273345E-8</v>
      </c>
      <c r="H79" s="79">
        <v>2573929.2217566841</v>
      </c>
      <c r="I79" s="79">
        <v>318528.20082783926</v>
      </c>
      <c r="J79" s="79">
        <v>1.2289594235686188</v>
      </c>
      <c r="K79" s="79">
        <v>119631871.44560643</v>
      </c>
      <c r="L79" s="79">
        <v>2374182.9146119654</v>
      </c>
      <c r="N79" s="349">
        <v>62.709385985542376</v>
      </c>
      <c r="O79" s="350">
        <v>1.2445141164608071</v>
      </c>
    </row>
    <row r="80" spans="1:15" ht="20" customHeight="1">
      <c r="A80" s="78">
        <v>78</v>
      </c>
      <c r="B80" s="79">
        <v>5.6914652101623577</v>
      </c>
      <c r="C80" s="79">
        <v>0.44358686741830428</v>
      </c>
      <c r="D80" s="79">
        <v>1.0764945609475816E-6</v>
      </c>
      <c r="E80" s="79">
        <v>2.5000038449210664E-2</v>
      </c>
      <c r="F80" s="79">
        <v>3.9289411838624669E-3</v>
      </c>
      <c r="G80" s="79">
        <v>1.5939262099265173E-8</v>
      </c>
      <c r="H80" s="79">
        <v>2581648.6193296453</v>
      </c>
      <c r="I80" s="79">
        <v>287444.29008706124</v>
      </c>
      <c r="J80" s="79">
        <v>0.90683901814224288</v>
      </c>
      <c r="K80" s="79">
        <v>117054082.52506326</v>
      </c>
      <c r="L80" s="79">
        <v>2071196.6691545248</v>
      </c>
      <c r="N80" s="349">
        <v>61.358144393697053</v>
      </c>
      <c r="O80" s="350">
        <v>1.0856928827451766</v>
      </c>
    </row>
    <row r="81" spans="1:15" ht="20" customHeight="1">
      <c r="A81" s="78">
        <v>79</v>
      </c>
      <c r="B81" s="79">
        <v>5.7005890270260089</v>
      </c>
      <c r="C81" s="79">
        <v>0.40002850657130201</v>
      </c>
      <c r="D81" s="79">
        <v>7.9421650063794571E-7</v>
      </c>
      <c r="E81" s="79">
        <v>2.5185276320672065E-2</v>
      </c>
      <c r="F81" s="79">
        <v>3.5595662770646808E-3</v>
      </c>
      <c r="G81" s="79">
        <v>1.179009620947761E-8</v>
      </c>
      <c r="H81" s="79">
        <v>2585787.1826589974</v>
      </c>
      <c r="I81" s="79">
        <v>259218.47225820375</v>
      </c>
      <c r="J81" s="79">
        <v>0.66904798013740552</v>
      </c>
      <c r="K81" s="79">
        <v>114470364.62406895</v>
      </c>
      <c r="L81" s="79">
        <v>1797865.2879818976</v>
      </c>
      <c r="N81" s="349">
        <v>60.003794911628852</v>
      </c>
      <c r="O81" s="350">
        <v>0.94241632210298165</v>
      </c>
    </row>
    <row r="82" spans="1:15" ht="20" customHeight="1">
      <c r="A82" s="78">
        <v>80</v>
      </c>
      <c r="B82" s="79">
        <v>5.7020183760186267</v>
      </c>
      <c r="C82" s="79">
        <v>0.36051338335471639</v>
      </c>
      <c r="D82" s="79">
        <v>5.8587379751055896E-7</v>
      </c>
      <c r="E82" s="79">
        <v>2.533612327554554E-2</v>
      </c>
      <c r="F82" s="79">
        <v>3.2225422833817448E-3</v>
      </c>
      <c r="G82" s="79">
        <v>8.7192684520201808E-9</v>
      </c>
      <c r="H82" s="79">
        <v>2586435.535362049</v>
      </c>
      <c r="I82" s="79">
        <v>233612.6724138562</v>
      </c>
      <c r="J82" s="79">
        <v>0.49354008702289498</v>
      </c>
      <c r="K82" s="79">
        <v>111884253.26505843</v>
      </c>
      <c r="L82" s="79">
        <v>1551449.7156458795</v>
      </c>
      <c r="N82" s="349">
        <v>58.648190811700331</v>
      </c>
      <c r="O82" s="350">
        <v>0.81324865924071854</v>
      </c>
    </row>
    <row r="83" spans="1:15" ht="20" customHeight="1">
      <c r="A83" s="78">
        <v>81</v>
      </c>
      <c r="B83" s="79">
        <v>5.6959777897939565</v>
      </c>
      <c r="C83" s="79">
        <v>0.32469917097565237</v>
      </c>
      <c r="D83" s="79">
        <v>4.3212642952111882E-7</v>
      </c>
      <c r="E83" s="79">
        <v>2.5452959210764185E-2</v>
      </c>
      <c r="F83" s="79">
        <v>2.9153612844944271E-3</v>
      </c>
      <c r="G83" s="79">
        <v>6.4470434156970892E-9</v>
      </c>
      <c r="H83" s="79">
        <v>2583695.5254505384</v>
      </c>
      <c r="I83" s="79">
        <v>210405.06279222274</v>
      </c>
      <c r="J83" s="79">
        <v>0.36402330422859058</v>
      </c>
      <c r="K83" s="79">
        <v>109299187.73465213</v>
      </c>
      <c r="L83" s="79">
        <v>1329440.8480428457</v>
      </c>
      <c r="N83" s="349">
        <v>57.29313492078019</v>
      </c>
      <c r="O83" s="350">
        <v>0.69687465620540023</v>
      </c>
    </row>
    <row r="84" spans="1:15" ht="20" customHeight="1">
      <c r="A84" s="78">
        <v>82</v>
      </c>
      <c r="B84" s="79">
        <v>5.6827136062914958</v>
      </c>
      <c r="C84" s="79">
        <v>0.2922677570175054</v>
      </c>
      <c r="D84" s="79">
        <v>3.1868560894961891E-7</v>
      </c>
      <c r="E84" s="79">
        <v>2.5536294553286088E-2</v>
      </c>
      <c r="F84" s="79">
        <v>2.6356637465748843E-3</v>
      </c>
      <c r="G84" s="79">
        <v>4.7660987614295941E-9</v>
      </c>
      <c r="H84" s="79">
        <v>2577678.8918138221</v>
      </c>
      <c r="I84" s="79">
        <v>189389.50654734351</v>
      </c>
      <c r="J84" s="79">
        <v>0.26846075697915905</v>
      </c>
      <c r="K84" s="79">
        <v>106718500.52601995</v>
      </c>
      <c r="L84" s="79">
        <v>1129543.563373059</v>
      </c>
      <c r="N84" s="349">
        <v>55.940374086075295</v>
      </c>
      <c r="O84" s="350">
        <v>0.59209124163247806</v>
      </c>
    </row>
    <row r="85" spans="1:15" ht="20" customHeight="1">
      <c r="A85" s="78">
        <v>83</v>
      </c>
      <c r="B85" s="79">
        <v>5.6624910980374041</v>
      </c>
      <c r="C85" s="79">
        <v>0.26292425998494751</v>
      </c>
      <c r="D85" s="79">
        <v>2.3499685189576703E-7</v>
      </c>
      <c r="E85" s="79">
        <v>2.5586759743721401E-2</v>
      </c>
      <c r="F85" s="79">
        <v>2.3812367764933944E-3</v>
      </c>
      <c r="G85" s="79">
        <v>3.5228261453205056E-9</v>
      </c>
      <c r="H85" s="79">
        <v>2568505.9620697661</v>
      </c>
      <c r="I85" s="79">
        <v>170374.92047024603</v>
      </c>
      <c r="J85" s="79">
        <v>0.19796134803699419</v>
      </c>
      <c r="K85" s="79">
        <v>104145408.09907815</v>
      </c>
      <c r="L85" s="79">
        <v>949661.34986427426</v>
      </c>
      <c r="N85" s="349">
        <v>54.591594331752589</v>
      </c>
      <c r="O85" s="350">
        <v>0.49779945280942189</v>
      </c>
    </row>
    <row r="86" spans="1:15" ht="20" customHeight="1">
      <c r="A86" s="78">
        <v>84</v>
      </c>
      <c r="B86" s="79">
        <v>5.6355916914534214</v>
      </c>
      <c r="C86" s="79">
        <v>0.23639595721386736</v>
      </c>
      <c r="D86" s="79">
        <v>1.7326567441923818E-7</v>
      </c>
      <c r="E86" s="79">
        <v>2.5605094598947001E-2</v>
      </c>
      <c r="F86" s="79">
        <v>2.1500110469145238E-3</v>
      </c>
      <c r="G86" s="79">
        <v>2.603447030697446E-9</v>
      </c>
      <c r="H86" s="79">
        <v>2556304.391243272</v>
      </c>
      <c r="I86" s="79">
        <v>153184.58027458604</v>
      </c>
      <c r="J86" s="79">
        <v>0.14595900413076626</v>
      </c>
      <c r="K86" s="79">
        <v>101583002.92242163</v>
      </c>
      <c r="L86" s="79">
        <v>787881.59949186444</v>
      </c>
      <c r="N86" s="349">
        <v>53.248416687429234</v>
      </c>
      <c r="O86" s="350">
        <v>0.41299672684553967</v>
      </c>
    </row>
    <row r="87" spans="1:15" ht="20" customHeight="1">
      <c r="A87" s="78">
        <v>85</v>
      </c>
      <c r="B87" s="79">
        <v>5.6023102935434359</v>
      </c>
      <c r="C87" s="79">
        <v>0.21243115471180549</v>
      </c>
      <c r="D87" s="79">
        <v>1.2773699223258762E-7</v>
      </c>
      <c r="E87" s="79">
        <v>2.5592137664300029E-2</v>
      </c>
      <c r="F87" s="79">
        <v>1.9400566710401944E-3</v>
      </c>
      <c r="G87" s="79">
        <v>1.9237076971936593E-9</v>
      </c>
      <c r="H87" s="79">
        <v>2541207.9491513022</v>
      </c>
      <c r="I87" s="79">
        <v>137655.38825324998</v>
      </c>
      <c r="J87" s="79">
        <v>0.10760564225673185</v>
      </c>
      <c r="K87" s="79">
        <v>99034246.752224341</v>
      </c>
      <c r="L87" s="79">
        <v>642461.6152279377</v>
      </c>
      <c r="N87" s="349">
        <v>51.912393665064272</v>
      </c>
      <c r="O87" s="350">
        <v>0.33676956586390827</v>
      </c>
    </row>
    <row r="88" spans="1:15" ht="20" customHeight="1">
      <c r="A88" s="78">
        <v>86</v>
      </c>
      <c r="B88" s="79">
        <v>5.5629527400744072</v>
      </c>
      <c r="C88" s="79">
        <v>0.1907980243397854</v>
      </c>
      <c r="D88" s="79">
        <v>9.4162312770279613E-8</v>
      </c>
      <c r="E88" s="79">
        <v>2.5548815653906449E-2</v>
      </c>
      <c r="F88" s="79">
        <v>1.749578269620121E-3</v>
      </c>
      <c r="G88" s="79">
        <v>1.4212336503021658E-9</v>
      </c>
      <c r="H88" s="79">
        <v>2523355.3628977509</v>
      </c>
      <c r="I88" s="79">
        <v>123637.11977218094</v>
      </c>
      <c r="J88" s="79">
        <v>7.9322332277683552E-2</v>
      </c>
      <c r="K88" s="79">
        <v>96501965.096199811</v>
      </c>
      <c r="L88" s="79">
        <v>511815.3612152338</v>
      </c>
      <c r="N88" s="349">
        <v>50.585006357042836</v>
      </c>
      <c r="O88" s="350">
        <v>0.26828659162428098</v>
      </c>
    </row>
    <row r="89" spans="1:15" ht="20" customHeight="1">
      <c r="A89" s="78">
        <v>87</v>
      </c>
      <c r="B89" s="79">
        <v>5.5178333763642931</v>
      </c>
      <c r="C89" s="79">
        <v>0.17128342923087941</v>
      </c>
      <c r="D89" s="79">
        <v>6.9405885601949998E-8</v>
      </c>
      <c r="E89" s="79">
        <v>2.5476133065900863E-2</v>
      </c>
      <c r="F89" s="79">
        <v>1.5769094383080613E-3</v>
      </c>
      <c r="G89" s="79">
        <v>1.0498591442159893E-9</v>
      </c>
      <c r="H89" s="79">
        <v>2502889.2195188431</v>
      </c>
      <c r="I89" s="79">
        <v>110991.66214160988</v>
      </c>
      <c r="J89" s="79">
        <v>5.8467518031082681E-2</v>
      </c>
      <c r="K89" s="79">
        <v>93988842.804991513</v>
      </c>
      <c r="L89" s="79">
        <v>394500.97025832534</v>
      </c>
      <c r="N89" s="349">
        <v>49.267662125243312</v>
      </c>
      <c r="O89" s="350">
        <v>0.20679199712133944</v>
      </c>
    </row>
    <row r="90" spans="1:15" ht="20" customHeight="1">
      <c r="A90" s="78">
        <v>88</v>
      </c>
      <c r="B90" s="79">
        <v>5.4672727790440359</v>
      </c>
      <c r="C90" s="79">
        <v>0.15369175441126906</v>
      </c>
      <c r="D90" s="79">
        <v>5.1153643873934189E-8</v>
      </c>
      <c r="E90" s="79">
        <v>2.5375162047878291E-2</v>
      </c>
      <c r="F90" s="79">
        <v>1.4205067923951874E-3</v>
      </c>
      <c r="G90" s="79">
        <v>7.7542299842715093E-10</v>
      </c>
      <c r="H90" s="79">
        <v>2479954.9325743741</v>
      </c>
      <c r="I90" s="79">
        <v>99592.256858502355</v>
      </c>
      <c r="J90" s="79">
        <v>4.3091829599402165E-2</v>
      </c>
      <c r="K90" s="79">
        <v>91497420.728944898</v>
      </c>
      <c r="L90" s="79">
        <v>289209.01075828075</v>
      </c>
      <c r="N90" s="349">
        <v>47.961692848563189</v>
      </c>
      <c r="O90" s="350">
        <v>0.15159939627278957</v>
      </c>
    </row>
    <row r="91" spans="1:15" ht="20" customHeight="1">
      <c r="A91" s="78">
        <v>89</v>
      </c>
      <c r="B91" s="79">
        <v>5.4115956246739989</v>
      </c>
      <c r="C91" s="79">
        <v>0.13784375619222988</v>
      </c>
      <c r="D91" s="79">
        <v>3.7698160482495102E-8</v>
      </c>
      <c r="E91" s="79">
        <v>2.5247032576993813E-2</v>
      </c>
      <c r="F91" s="79">
        <v>1.2789437382434779E-3</v>
      </c>
      <c r="G91" s="79">
        <v>5.726525437506552E-10</v>
      </c>
      <c r="H91" s="79">
        <v>2454699.7753521255</v>
      </c>
      <c r="I91" s="79">
        <v>89322.754012564954</v>
      </c>
      <c r="J91" s="79">
        <v>3.175693039045388E-2</v>
      </c>
      <c r="K91" s="79">
        <v>89030093.374981642</v>
      </c>
      <c r="L91" s="79">
        <v>194751.50532275438</v>
      </c>
      <c r="N91" s="349">
        <v>46.668353694684626</v>
      </c>
      <c r="O91" s="350">
        <v>0.10208606762540569</v>
      </c>
    </row>
    <row r="92" spans="1:15" ht="20" customHeight="1">
      <c r="A92" s="78">
        <v>90</v>
      </c>
      <c r="B92" s="79">
        <v>5.3511287088677726</v>
      </c>
      <c r="C92" s="79">
        <v>0.12357544098400312</v>
      </c>
      <c r="D92" s="79">
        <v>2.7779802114551916E-8</v>
      </c>
      <c r="E92" s="79">
        <v>2.5092923008791086E-2</v>
      </c>
      <c r="F92" s="79">
        <v>1.1509040961821201E-3</v>
      </c>
      <c r="G92" s="79">
        <v>4.228547661331472E-10</v>
      </c>
      <c r="H92" s="79">
        <v>2427271.9823424215</v>
      </c>
      <c r="I92" s="79">
        <v>80076.885757634023</v>
      </c>
      <c r="J92" s="79">
        <v>2.3401705301298537E-2</v>
      </c>
      <c r="K92" s="79">
        <v>86589107.496134371</v>
      </c>
      <c r="L92" s="79">
        <v>110051.68543764949</v>
      </c>
      <c r="N92" s="349">
        <v>45.388822380727959</v>
      </c>
      <c r="O92" s="350">
        <v>5.7687583894454816E-2</v>
      </c>
    </row>
    <row r="93" spans="1:15" ht="20" customHeight="1">
      <c r="A93" s="78">
        <v>91</v>
      </c>
      <c r="B93" s="79">
        <v>5.2861991175990033</v>
      </c>
      <c r="C93" s="79">
        <v>0.11073698169404297</v>
      </c>
      <c r="D93" s="79">
        <v>2.0469419651523348E-8</v>
      </c>
      <c r="E93" s="79">
        <v>2.4914051039148368E-2</v>
      </c>
      <c r="F93" s="79">
        <v>1.035175678000231E-3</v>
      </c>
      <c r="G93" s="79">
        <v>3.1220603826964708E-10</v>
      </c>
      <c r="H93" s="79">
        <v>2397819.9197429074</v>
      </c>
      <c r="I93" s="79">
        <v>71757.564137739857</v>
      </c>
      <c r="J93" s="79">
        <v>1.724343911444327E-2</v>
      </c>
      <c r="K93" s="79">
        <v>84176561.545091704</v>
      </c>
      <c r="L93" s="79">
        <v>34134.460489958525</v>
      </c>
      <c r="N93" s="349">
        <v>44.124198886807456</v>
      </c>
      <c r="O93" s="350">
        <v>1.7892815956208705E-2</v>
      </c>
    </row>
    <row r="94" spans="1:15" ht="20" customHeight="1">
      <c r="A94" s="78">
        <v>92</v>
      </c>
      <c r="B94" s="79">
        <v>5.2171325506327362</v>
      </c>
      <c r="C94" s="79">
        <v>9.9191677764942643E-2</v>
      </c>
      <c r="D94" s="79">
        <v>1.5081730931385047E-8</v>
      </c>
      <c r="E94" s="79">
        <v>2.4711665114734833E-2</v>
      </c>
      <c r="F94" s="79">
        <v>9.3064390324279662E-4</v>
      </c>
      <c r="G94" s="79">
        <v>2.3048559511233321E-10</v>
      </c>
      <c r="H94" s="79">
        <v>2366491.324967009</v>
      </c>
      <c r="I94" s="79">
        <v>64276.207191682828</v>
      </c>
      <c r="J94" s="79">
        <v>1.2704850136598765E-2</v>
      </c>
      <c r="K94" s="79">
        <v>81794405.922736749</v>
      </c>
      <c r="N94" s="349">
        <v>42.875505586311789</v>
      </c>
    </row>
    <row r="95" spans="1:15" ht="20" customHeight="1">
      <c r="A95" s="78">
        <v>93</v>
      </c>
      <c r="B95" s="79">
        <v>5.1442517955184206</v>
      </c>
      <c r="C95" s="79">
        <v>8.8814963136613717E-2</v>
      </c>
      <c r="D95" s="79">
        <v>1.1111377680086364E-8</v>
      </c>
      <c r="E95" s="79">
        <v>2.4487036319089193E-2</v>
      </c>
      <c r="F95" s="79">
        <v>8.3628552205981094E-4</v>
      </c>
      <c r="G95" s="79">
        <v>1.7013786187223408E-10</v>
      </c>
      <c r="H95" s="79">
        <v>2333432.6144471555</v>
      </c>
      <c r="I95" s="79">
        <v>57552.096112525694</v>
      </c>
      <c r="J95" s="79">
        <v>9.3602245577047542E-3</v>
      </c>
      <c r="K95" s="79">
        <v>79444443.953029662</v>
      </c>
      <c r="N95" s="349">
        <v>41.643687756924159</v>
      </c>
    </row>
    <row r="96" spans="1:15" ht="20" customHeight="1">
      <c r="A96" s="78">
        <v>94</v>
      </c>
      <c r="B96" s="79">
        <v>5.0678753492936757</v>
      </c>
      <c r="C96" s="79">
        <v>7.9493464941793227E-2</v>
      </c>
      <c r="D96" s="79">
        <v>8.1857294671211914E-9</v>
      </c>
      <c r="E96" s="79">
        <v>2.4241450753877722E-2</v>
      </c>
      <c r="F96" s="79">
        <v>7.5116249814088801E-4</v>
      </c>
      <c r="G96" s="79">
        <v>1.2557841791418316E-10</v>
      </c>
      <c r="H96" s="79">
        <v>2298788.2584396112</v>
      </c>
      <c r="I96" s="79">
        <v>51511.765282282016</v>
      </c>
      <c r="J96" s="79">
        <v>6.8956585031028925E-3</v>
      </c>
      <c r="K96" s="79">
        <v>77128333.516586274</v>
      </c>
      <c r="N96" s="349">
        <v>40.429614436921732</v>
      </c>
    </row>
    <row r="97" spans="1:14" ht="20" customHeight="1">
      <c r="A97" s="78">
        <v>95</v>
      </c>
      <c r="B97" s="79">
        <v>4.9883161839630903</v>
      </c>
      <c r="C97" s="79">
        <v>7.1124114525874971E-2</v>
      </c>
      <c r="D97" s="79">
        <v>6.0300543795008374E-9</v>
      </c>
      <c r="E97" s="79">
        <v>2.3976202428063573E-2</v>
      </c>
      <c r="F97" s="79">
        <v>6.7441609306503187E-4</v>
      </c>
      <c r="G97" s="79">
        <v>9.2680411738025272E-11</v>
      </c>
      <c r="H97" s="79">
        <v>2262700.2210456575</v>
      </c>
      <c r="I97" s="79">
        <v>46088.426212766994</v>
      </c>
      <c r="J97" s="79">
        <v>5.0797178092915063E-3</v>
      </c>
      <c r="K97" s="79">
        <v>74847589.276843637</v>
      </c>
      <c r="N97" s="349">
        <v>39.234079592101104</v>
      </c>
    </row>
    <row r="98" spans="1:14" ht="20" customHeight="1">
      <c r="A98" s="78">
        <v>96</v>
      </c>
      <c r="B98" s="79">
        <v>4.9058806509168402</v>
      </c>
      <c r="C98" s="79">
        <v>6.3613311387247545E-2</v>
      </c>
      <c r="D98" s="79">
        <v>4.4418200360522847E-9</v>
      </c>
      <c r="E98" s="79">
        <v>2.369258666160064E-2</v>
      </c>
      <c r="F98" s="79">
        <v>6.0526118299483755E-4</v>
      </c>
      <c r="G98" s="79">
        <v>6.8394593093453409E-11</v>
      </c>
      <c r="H98" s="79">
        <v>2225307.4632558785</v>
      </c>
      <c r="I98" s="79">
        <v>41221.425778936406</v>
      </c>
      <c r="J98" s="79">
        <v>3.7417891983704452E-3</v>
      </c>
      <c r="K98" s="79">
        <v>72603585.434692875</v>
      </c>
      <c r="N98" s="349">
        <v>38.057803559719098</v>
      </c>
    </row>
    <row r="99" spans="1:14" ht="20" customHeight="1">
      <c r="A99" s="78">
        <v>97</v>
      </c>
      <c r="B99" s="79">
        <v>4.820867518725974</v>
      </c>
      <c r="C99" s="79">
        <v>5.687613983190476E-2</v>
      </c>
      <c r="D99" s="79">
        <v>3.2717342917137016E-9</v>
      </c>
      <c r="E99" s="79">
        <v>2.3391894004838865E-2</v>
      </c>
      <c r="F99" s="79">
        <v>5.4298082984465478E-4</v>
      </c>
      <c r="G99" s="79">
        <v>5.0468258503274945E-11</v>
      </c>
      <c r="H99" s="79">
        <v>2186745.5064941016</v>
      </c>
      <c r="I99" s="79">
        <v>36855.738611074281</v>
      </c>
      <c r="J99" s="79">
        <v>2.7561089673396222E-3</v>
      </c>
      <c r="K99" s="79">
        <v>70397558.949817881</v>
      </c>
      <c r="N99" s="349">
        <v>36.901434737074254</v>
      </c>
    </row>
    <row r="100" spans="1:14" ht="20" customHeight="1">
      <c r="A100" s="78">
        <v>98</v>
      </c>
      <c r="B100" s="79">
        <v>4.7335671381788238</v>
      </c>
      <c r="C100" s="79">
        <v>5.0835637498557039E-2</v>
      </c>
      <c r="D100" s="79">
        <v>2.4097600800131647E-9</v>
      </c>
      <c r="E100" s="79">
        <v>2.3075404670065046E-2</v>
      </c>
      <c r="F100" s="79">
        <v>4.8692112166633724E-4</v>
      </c>
      <c r="G100" s="79">
        <v>3.7237402361321918E-11</v>
      </c>
      <c r="H100" s="79">
        <v>2147146.0538779143</v>
      </c>
      <c r="I100" s="79">
        <v>32941.493099064959</v>
      </c>
      <c r="J100" s="79">
        <v>2.0299818914030904E-3</v>
      </c>
      <c r="K100" s="79">
        <v>68230613.169631869</v>
      </c>
      <c r="N100" s="349">
        <v>35.765551483745632</v>
      </c>
    </row>
    <row r="101" spans="1:14" ht="20" customHeight="1">
      <c r="A101" s="78">
        <v>99</v>
      </c>
      <c r="B101" s="79">
        <v>4.6442607279895993</v>
      </c>
      <c r="C101" s="79">
        <v>4.5422114413433134E-2</v>
      </c>
      <c r="D101" s="79">
        <v>1.7748007534423567E-9</v>
      </c>
      <c r="E101" s="79">
        <v>2.2744383467464969E-2</v>
      </c>
      <c r="F101" s="79">
        <v>4.3648629085226109E-4</v>
      </c>
      <c r="G101" s="79">
        <v>2.7473034981335639E-11</v>
      </c>
      <c r="H101" s="79">
        <v>2106636.6662160819</v>
      </c>
      <c r="I101" s="79">
        <v>29433.530139904673</v>
      </c>
      <c r="J101" s="79">
        <v>1.4950921546998416E-3</v>
      </c>
      <c r="K101" s="79">
        <v>66103721.809584871</v>
      </c>
      <c r="N101" s="349">
        <v>34.650664208015399</v>
      </c>
    </row>
    <row r="102" spans="1:14" ht="20" customHeight="1">
      <c r="A102" s="78">
        <v>100</v>
      </c>
      <c r="B102" s="79">
        <v>4.5532197743024447</v>
      </c>
      <c r="C102" s="79">
        <v>4.0572520855721779E-2</v>
      </c>
      <c r="D102" s="79">
        <v>1.3070935276795229E-9</v>
      </c>
      <c r="E102" s="79">
        <v>2.240007523424882E-2</v>
      </c>
      <c r="F102" s="79">
        <v>3.9113411369494822E-4</v>
      </c>
      <c r="G102" s="79">
        <v>2.0267571708338315E-11</v>
      </c>
      <c r="H102" s="79">
        <v>2065340.4896235887</v>
      </c>
      <c r="I102" s="79">
        <v>26290.993514507714</v>
      </c>
      <c r="J102" s="79">
        <v>1.1010955877172302E-3</v>
      </c>
      <c r="K102" s="79">
        <v>64017733.23166503</v>
      </c>
      <c r="N102" s="349">
        <v>33.557217609600485</v>
      </c>
    </row>
  </sheetData>
  <sheetProtection selectLockedCells="1"/>
  <mergeCells count="1">
    <mergeCell ref="A1:M1"/>
  </mergeCells>
  <phoneticPr fontId="1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232</v>
      </c>
      <c r="B1" s="2"/>
      <c r="C1" s="2"/>
      <c r="D1" s="2"/>
      <c r="E1" s="2"/>
      <c r="F1" s="2"/>
      <c r="G1" s="2"/>
      <c r="H1" s="2"/>
      <c r="I1" s="2"/>
      <c r="J1" s="2"/>
      <c r="K1" s="2"/>
      <c r="L1" s="2"/>
    </row>
    <row r="2" spans="1:12" ht="18">
      <c r="A2" s="426" t="s">
        <v>233</v>
      </c>
      <c r="B2" s="427"/>
      <c r="C2" s="427"/>
      <c r="D2" s="427"/>
      <c r="E2" s="427"/>
      <c r="F2" s="427"/>
      <c r="G2" s="427"/>
      <c r="H2" s="427"/>
      <c r="I2" s="427"/>
      <c r="J2" s="427"/>
      <c r="K2" s="427"/>
      <c r="L2" s="427"/>
    </row>
    <row r="3" spans="1:12" ht="18">
      <c r="A3" s="6" t="s">
        <v>234</v>
      </c>
      <c r="B3" s="6"/>
      <c r="C3" s="6"/>
      <c r="D3" s="6"/>
      <c r="E3" s="6"/>
      <c r="F3" s="6"/>
      <c r="G3" s="6"/>
      <c r="H3" s="6"/>
      <c r="I3" s="6"/>
      <c r="J3" s="6"/>
      <c r="K3" s="6"/>
      <c r="L3" s="6"/>
    </row>
    <row r="4" spans="1:12">
      <c r="A4" s="4" t="s">
        <v>235</v>
      </c>
    </row>
    <row r="371" spans="4:4">
      <c r="D371" s="3"/>
    </row>
  </sheetData>
  <mergeCells count="1">
    <mergeCell ref="A2:L2"/>
  </mergeCells>
  <phoneticPr fontId="12"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7" tint="0.79998168889431442"/>
  </sheetPr>
  <dimension ref="A1:I13"/>
  <sheetViews>
    <sheetView zoomScaleNormal="100" workbookViewId="0">
      <selection activeCell="L13" sqref="L13"/>
    </sheetView>
  </sheetViews>
  <sheetFormatPr baseColWidth="10" defaultColWidth="8.83203125" defaultRowHeight="15"/>
  <cols>
    <col min="1" max="1" width="18" customWidth="1"/>
    <col min="6" max="6" width="12.83203125" customWidth="1"/>
  </cols>
  <sheetData>
    <row r="1" spans="1:9" ht="16">
      <c r="A1" s="63" t="s">
        <v>236</v>
      </c>
      <c r="B1" s="63" t="s">
        <v>237</v>
      </c>
      <c r="C1" s="63" t="s">
        <v>238</v>
      </c>
      <c r="D1" s="63" t="s">
        <v>239</v>
      </c>
      <c r="E1" s="63" t="s">
        <v>69</v>
      </c>
      <c r="F1" s="63" t="s">
        <v>240</v>
      </c>
      <c r="G1" s="63" t="s">
        <v>241</v>
      </c>
      <c r="H1" s="63" t="s">
        <v>242</v>
      </c>
      <c r="I1" s="63" t="s">
        <v>243</v>
      </c>
    </row>
    <row r="2" spans="1:9">
      <c r="A2" s="63" t="s">
        <v>42</v>
      </c>
      <c r="B2" s="63"/>
      <c r="C2" s="63"/>
      <c r="D2" s="63"/>
      <c r="E2" s="63"/>
      <c r="F2" s="63"/>
      <c r="G2" s="63"/>
      <c r="H2" s="63"/>
      <c r="I2" s="63"/>
    </row>
    <row r="3" spans="1:9">
      <c r="A3" s="63" t="s">
        <v>244</v>
      </c>
      <c r="B3" s="63">
        <v>4.4999999999999998E-2</v>
      </c>
      <c r="C3" s="63">
        <v>0.43</v>
      </c>
      <c r="D3" s="63">
        <v>0.14499999999999999</v>
      </c>
      <c r="E3" s="63">
        <v>2.68</v>
      </c>
      <c r="F3" s="64">
        <v>1.5346396103896101</v>
      </c>
      <c r="G3" s="63">
        <v>712.8</v>
      </c>
      <c r="H3" s="65">
        <v>4.5815000000000002E-2</v>
      </c>
      <c r="I3" s="66">
        <v>0.41183294663573083</v>
      </c>
    </row>
    <row r="4" spans="1:9">
      <c r="A4" s="63" t="s">
        <v>245</v>
      </c>
      <c r="B4" s="63">
        <v>5.7000000000000002E-2</v>
      </c>
      <c r="C4" s="63">
        <v>0.41</v>
      </c>
      <c r="D4" s="63">
        <v>0.124</v>
      </c>
      <c r="E4" s="63">
        <v>2.2799999999999998</v>
      </c>
      <c r="F4" s="64">
        <v>1.52092682926829</v>
      </c>
      <c r="G4" s="63">
        <v>350.2</v>
      </c>
      <c r="H4" s="65">
        <v>5.0211000000000006E-2</v>
      </c>
      <c r="I4" s="66">
        <v>0.35382830626450118</v>
      </c>
    </row>
    <row r="5" spans="1:9">
      <c r="A5" s="63" t="s">
        <v>246</v>
      </c>
      <c r="B5" s="63">
        <v>7.8E-2</v>
      </c>
      <c r="C5" s="63">
        <v>0.43</v>
      </c>
      <c r="D5" s="63">
        <v>3.5999999999999997E-2</v>
      </c>
      <c r="E5" s="63">
        <v>1.56</v>
      </c>
      <c r="F5" s="64">
        <v>1.3727290076335901</v>
      </c>
      <c r="G5" s="63">
        <v>24.96</v>
      </c>
      <c r="H5" s="65">
        <v>4.7732999999999998E-2</v>
      </c>
      <c r="I5" s="66">
        <v>0.30162412993039445</v>
      </c>
    </row>
    <row r="6" spans="1:9">
      <c r="A6" s="63" t="s">
        <v>247</v>
      </c>
      <c r="B6" s="63">
        <v>3.4000000000000002E-2</v>
      </c>
      <c r="C6" s="63">
        <v>0.46</v>
      </c>
      <c r="D6" s="63">
        <v>1.6E-2</v>
      </c>
      <c r="E6" s="63">
        <v>1.37</v>
      </c>
      <c r="F6" s="64">
        <v>1.32666666666667</v>
      </c>
      <c r="G6" s="63">
        <v>5.9989999999999997</v>
      </c>
      <c r="H6" s="65">
        <v>4.9306000000000003E-2</v>
      </c>
      <c r="I6" s="66">
        <v>0.32482598607888635</v>
      </c>
    </row>
    <row r="7" spans="1:9">
      <c r="A7" s="63" t="s">
        <v>248</v>
      </c>
      <c r="B7" s="63">
        <v>6.7000000000000004E-2</v>
      </c>
      <c r="C7" s="63">
        <v>0.45</v>
      </c>
      <c r="D7" s="63">
        <v>0.02</v>
      </c>
      <c r="E7" s="63">
        <v>1.41</v>
      </c>
      <c r="F7" s="64">
        <v>1.2795240963855401</v>
      </c>
      <c r="G7" s="63">
        <v>10.8</v>
      </c>
      <c r="H7" s="65">
        <v>4.3193000000000002E-2</v>
      </c>
      <c r="I7" s="66">
        <v>0.33642691415313225</v>
      </c>
    </row>
    <row r="8" spans="1:9">
      <c r="A8" s="63" t="s">
        <v>249</v>
      </c>
      <c r="B8" s="63">
        <v>0.1</v>
      </c>
      <c r="C8" s="63">
        <v>0.39</v>
      </c>
      <c r="D8" s="63">
        <v>5.8999999999999997E-2</v>
      </c>
      <c r="E8" s="63">
        <v>1.48</v>
      </c>
      <c r="F8" s="64">
        <v>1.57541899441341</v>
      </c>
      <c r="G8" s="63">
        <v>31.44</v>
      </c>
      <c r="H8" s="65">
        <v>5.5637000000000006E-2</v>
      </c>
      <c r="I8" s="66">
        <v>0.11020881670533643</v>
      </c>
    </row>
    <row r="9" spans="1:9">
      <c r="A9" s="63" t="s">
        <v>250</v>
      </c>
      <c r="B9" s="63">
        <v>9.5000000000000001E-2</v>
      </c>
      <c r="C9" s="63">
        <v>0.41</v>
      </c>
      <c r="D9" s="63">
        <v>1.9E-2</v>
      </c>
      <c r="E9" s="63">
        <v>1.31</v>
      </c>
      <c r="F9" s="64">
        <v>1.4329591836734701</v>
      </c>
      <c r="G9" s="63">
        <v>6.24</v>
      </c>
      <c r="H9" s="65">
        <v>5.4702000000000001E-2</v>
      </c>
      <c r="I9" s="66">
        <v>5.8004640371229703E-2</v>
      </c>
    </row>
    <row r="10" spans="1:9">
      <c r="A10" s="63" t="s">
        <v>251</v>
      </c>
      <c r="B10" s="63">
        <v>8.8999999999999996E-2</v>
      </c>
      <c r="C10" s="63">
        <v>0.43</v>
      </c>
      <c r="D10" s="63">
        <v>0.01</v>
      </c>
      <c r="E10" s="63">
        <v>1.23</v>
      </c>
      <c r="F10" s="64">
        <v>1.3262717391304299</v>
      </c>
      <c r="G10" s="63">
        <v>1.68</v>
      </c>
      <c r="H10" s="65">
        <v>3.8436999999999999E-2</v>
      </c>
      <c r="I10" s="66">
        <v>7.5406032482598612E-2</v>
      </c>
    </row>
    <row r="11" spans="1:9">
      <c r="A11" s="63" t="s">
        <v>252</v>
      </c>
      <c r="B11" s="63">
        <v>0.1</v>
      </c>
      <c r="C11" s="63">
        <v>0.38</v>
      </c>
      <c r="D11" s="63">
        <v>2.7E-2</v>
      </c>
      <c r="E11" s="63">
        <v>1.23</v>
      </c>
      <c r="F11" s="64">
        <v>1.5874999999999999</v>
      </c>
      <c r="G11" s="63">
        <v>2.88</v>
      </c>
      <c r="H11" s="65">
        <v>5.8271000000000003E-2</v>
      </c>
      <c r="I11" s="66">
        <v>0.22041763341067286</v>
      </c>
    </row>
    <row r="12" spans="1:9">
      <c r="A12" s="63" t="s">
        <v>253</v>
      </c>
      <c r="B12" s="63">
        <v>7.0000000000000007E-2</v>
      </c>
      <c r="C12" s="63">
        <v>0.36</v>
      </c>
      <c r="D12" s="63">
        <v>5.0000000000000001E-3</v>
      </c>
      <c r="E12" s="63">
        <v>1.0900000000000001</v>
      </c>
      <c r="F12" s="64">
        <v>1.3565517241379299</v>
      </c>
      <c r="G12" s="63">
        <v>4.8</v>
      </c>
      <c r="H12" s="65">
        <v>5.0423000000000003E-2</v>
      </c>
      <c r="I12" s="66">
        <v>0.22041763341067286</v>
      </c>
    </row>
    <row r="13" spans="1:9">
      <c r="A13" s="63" t="s">
        <v>254</v>
      </c>
      <c r="B13" s="63">
        <v>6.8000000000000005E-2</v>
      </c>
      <c r="C13" s="63">
        <v>0.38</v>
      </c>
      <c r="D13" s="63">
        <v>8.0000000000000002E-3</v>
      </c>
      <c r="E13" s="63">
        <v>1.0900000000000001</v>
      </c>
      <c r="F13" s="64">
        <v>1.3935652173913</v>
      </c>
      <c r="G13" s="63">
        <v>4.8</v>
      </c>
      <c r="H13" s="65">
        <v>3.7328E-2</v>
      </c>
      <c r="I13" s="66">
        <v>0.22041763341067286</v>
      </c>
    </row>
  </sheetData>
  <sheetProtection selectLockedCells="1"/>
  <phoneticPr fontId="12" type="noConversion"/>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23"/>
  <sheetViews>
    <sheetView zoomScale="158" zoomScaleNormal="100" workbookViewId="0">
      <selection activeCell="J27" sqref="J27"/>
    </sheetView>
  </sheetViews>
  <sheetFormatPr baseColWidth="10" defaultColWidth="8.83203125" defaultRowHeight="15"/>
  <cols>
    <col min="4" max="4" width="9.1640625" customWidth="1"/>
    <col min="5" max="5" width="10.1640625" customWidth="1"/>
    <col min="6" max="6" width="10.33203125" customWidth="1"/>
    <col min="8" max="8" width="8.33203125" style="7" customWidth="1"/>
    <col min="10" max="10" width="11.83203125" customWidth="1"/>
    <col min="14" max="14" width="16.83203125" customWidth="1"/>
    <col min="17" max="17" width="10.33203125" customWidth="1"/>
    <col min="18" max="18" width="10" customWidth="1"/>
  </cols>
  <sheetData>
    <row r="1" spans="1:19" ht="16">
      <c r="A1" s="63" t="s">
        <v>236</v>
      </c>
      <c r="B1" s="63" t="s">
        <v>81</v>
      </c>
      <c r="C1" s="63" t="s">
        <v>83</v>
      </c>
      <c r="D1" s="63" t="s">
        <v>255</v>
      </c>
      <c r="E1" s="63" t="s">
        <v>89</v>
      </c>
      <c r="F1" s="63" t="s">
        <v>256</v>
      </c>
      <c r="G1" s="63" t="s">
        <v>257</v>
      </c>
      <c r="H1" s="67" t="s">
        <v>258</v>
      </c>
      <c r="O1" s="63"/>
      <c r="P1" s="63"/>
      <c r="Q1" s="63"/>
      <c r="R1" s="63"/>
      <c r="S1" s="63"/>
    </row>
    <row r="2" spans="1:19">
      <c r="A2" s="63" t="s">
        <v>42</v>
      </c>
      <c r="B2" s="63"/>
      <c r="C2" s="63"/>
      <c r="D2" s="63"/>
      <c r="E2" s="63"/>
      <c r="F2" s="68"/>
      <c r="G2" s="63"/>
      <c r="H2" s="69"/>
      <c r="O2" s="63"/>
      <c r="P2" s="63"/>
      <c r="Q2" s="63"/>
      <c r="R2" s="63"/>
      <c r="S2" s="63"/>
    </row>
    <row r="3" spans="1:19">
      <c r="A3" s="63" t="s">
        <v>259</v>
      </c>
      <c r="B3" s="63">
        <v>3168.6</v>
      </c>
      <c r="C3" s="63">
        <v>0.22</v>
      </c>
      <c r="D3" s="63">
        <v>71</v>
      </c>
      <c r="E3" s="63">
        <v>264.05</v>
      </c>
      <c r="F3" s="68">
        <v>1.2E-5</v>
      </c>
      <c r="G3" s="69">
        <v>154.9</v>
      </c>
      <c r="H3" s="69">
        <v>50.12</v>
      </c>
      <c r="L3" s="69"/>
      <c r="N3" s="171"/>
      <c r="O3" s="171"/>
      <c r="P3" s="63"/>
      <c r="Q3" s="68"/>
      <c r="R3" s="68"/>
      <c r="S3" s="68"/>
    </row>
    <row r="4" spans="1:19">
      <c r="A4" s="63" t="s">
        <v>260</v>
      </c>
      <c r="B4" s="63">
        <v>1350.415</v>
      </c>
      <c r="C4" s="63">
        <v>0.21</v>
      </c>
      <c r="D4" s="63">
        <v>71</v>
      </c>
      <c r="E4" s="63">
        <v>314.05</v>
      </c>
      <c r="F4" s="68">
        <v>7.7999999999999999E-6</v>
      </c>
      <c r="G4" s="69">
        <v>182.3</v>
      </c>
      <c r="H4" s="69">
        <v>63.1</v>
      </c>
      <c r="L4" s="69"/>
      <c r="N4" s="171"/>
      <c r="O4" s="171"/>
      <c r="P4" s="63"/>
      <c r="Q4" s="68"/>
      <c r="R4" s="68"/>
      <c r="S4" s="68"/>
    </row>
    <row r="5" spans="1:19">
      <c r="A5" s="63" t="s">
        <v>261</v>
      </c>
      <c r="B5" s="63">
        <v>345.85700000000003</v>
      </c>
      <c r="C5" s="63">
        <v>0.22</v>
      </c>
      <c r="D5" s="63">
        <v>71</v>
      </c>
      <c r="E5" s="63">
        <v>364.06</v>
      </c>
      <c r="F5" s="68">
        <v>9.3000000000000007E-6</v>
      </c>
      <c r="G5" s="69">
        <v>209.8</v>
      </c>
      <c r="H5" s="69">
        <v>100</v>
      </c>
      <c r="L5" s="69"/>
      <c r="N5" s="171"/>
      <c r="O5" s="171"/>
      <c r="P5" s="63"/>
      <c r="Q5" s="68"/>
      <c r="R5" s="68"/>
      <c r="S5" s="68"/>
    </row>
    <row r="6" spans="1:19">
      <c r="A6" s="63" t="s">
        <v>262</v>
      </c>
      <c r="B6" s="63">
        <v>62.110500000000002</v>
      </c>
      <c r="C6" s="63">
        <v>0.19</v>
      </c>
      <c r="D6" s="63">
        <v>71</v>
      </c>
      <c r="E6" s="63">
        <v>414.07</v>
      </c>
      <c r="F6" s="68">
        <v>4.8999999999999997E-6</v>
      </c>
      <c r="G6" s="69">
        <v>237.2</v>
      </c>
      <c r="H6" s="69">
        <v>136.19999999999999</v>
      </c>
      <c r="L6" s="69"/>
      <c r="N6" s="171"/>
      <c r="O6" s="171"/>
      <c r="P6" s="63"/>
      <c r="Q6" s="68"/>
      <c r="R6" s="68"/>
      <c r="S6" s="68"/>
    </row>
    <row r="7" spans="1:19">
      <c r="A7" s="63" t="s">
        <v>263</v>
      </c>
      <c r="B7" s="63">
        <v>5.1048799999999996</v>
      </c>
      <c r="C7" s="63">
        <v>0.16</v>
      </c>
      <c r="D7" s="63">
        <v>71</v>
      </c>
      <c r="E7" s="63">
        <v>464.08</v>
      </c>
      <c r="F7" s="68">
        <v>2.9299999999999999E-6</v>
      </c>
      <c r="G7" s="69">
        <v>264.7</v>
      </c>
      <c r="H7" s="69">
        <v>388.93</v>
      </c>
      <c r="L7" s="69"/>
      <c r="N7" s="171"/>
      <c r="O7" s="171"/>
      <c r="P7" s="63"/>
      <c r="Q7" s="68"/>
      <c r="R7" s="68"/>
      <c r="S7" s="68"/>
    </row>
    <row r="8" spans="1:19">
      <c r="A8" s="63" t="s">
        <v>264</v>
      </c>
      <c r="B8" s="63">
        <v>3.7013760000000002</v>
      </c>
      <c r="C8" s="63">
        <v>0.17</v>
      </c>
      <c r="D8" s="63">
        <v>71</v>
      </c>
      <c r="E8" s="63">
        <v>514.08000000000004</v>
      </c>
      <c r="F8" s="68">
        <v>2.2699999999999999E-6</v>
      </c>
      <c r="G8" s="69">
        <v>292.10000000000002</v>
      </c>
      <c r="H8" s="69">
        <v>1277.4100000000001</v>
      </c>
      <c r="L8" s="69"/>
      <c r="N8" s="171"/>
      <c r="O8" s="171"/>
      <c r="P8" s="63"/>
      <c r="Q8" s="68"/>
      <c r="R8" s="68"/>
      <c r="S8" s="68"/>
    </row>
    <row r="9" spans="1:19">
      <c r="A9" s="63" t="s">
        <v>265</v>
      </c>
      <c r="B9" s="63">
        <v>2400.8000000000002</v>
      </c>
      <c r="C9" s="63">
        <v>0.15</v>
      </c>
      <c r="D9" s="63">
        <v>71</v>
      </c>
      <c r="E9" s="63">
        <v>300.10000000000002</v>
      </c>
      <c r="F9" s="68">
        <v>1.1E-5</v>
      </c>
      <c r="G9" s="69">
        <v>162.30000000000001</v>
      </c>
      <c r="H9" s="69">
        <v>48.82</v>
      </c>
      <c r="L9" s="69"/>
      <c r="N9" s="171"/>
      <c r="O9" s="171"/>
      <c r="P9" s="63"/>
      <c r="Q9" s="68"/>
      <c r="R9" s="68"/>
      <c r="S9" s="68"/>
    </row>
    <row r="10" spans="1:19">
      <c r="A10" s="63" t="s">
        <v>266</v>
      </c>
      <c r="B10" s="63">
        <v>160.048</v>
      </c>
      <c r="C10" s="63">
        <v>0.14000000000000001</v>
      </c>
      <c r="D10" s="63">
        <v>71</v>
      </c>
      <c r="E10" s="63">
        <v>400.12</v>
      </c>
      <c r="F10" s="68">
        <v>4.5000000000000001E-6</v>
      </c>
      <c r="G10" s="69">
        <v>217.3</v>
      </c>
      <c r="H10" s="69">
        <v>115.69</v>
      </c>
      <c r="L10" s="69"/>
      <c r="N10" s="171"/>
      <c r="O10" s="171"/>
      <c r="P10" s="63"/>
      <c r="Q10" s="68"/>
      <c r="R10" s="68"/>
      <c r="S10" s="68"/>
    </row>
    <row r="11" spans="1:19">
      <c r="A11" s="63" t="s">
        <v>267</v>
      </c>
      <c r="B11" s="63">
        <v>3.6505839419999999</v>
      </c>
      <c r="C11" s="63">
        <v>0.12</v>
      </c>
      <c r="D11" s="63">
        <v>71</v>
      </c>
      <c r="E11" s="63">
        <v>500.13</v>
      </c>
      <c r="F11" s="68">
        <v>5.4E-6</v>
      </c>
      <c r="G11" s="69">
        <v>272.10000000000002</v>
      </c>
      <c r="H11" s="69">
        <v>664.94</v>
      </c>
      <c r="L11" s="69"/>
      <c r="N11" s="171"/>
      <c r="O11" s="171"/>
      <c r="P11" s="63"/>
      <c r="Q11" s="68"/>
      <c r="R11" s="68"/>
      <c r="S11" s="68"/>
    </row>
    <row r="12" spans="1:19">
      <c r="A12" s="63" t="s">
        <v>268</v>
      </c>
      <c r="B12" s="63">
        <v>109</v>
      </c>
      <c r="C12" s="63">
        <v>0.1</v>
      </c>
      <c r="D12" s="63">
        <v>71</v>
      </c>
      <c r="E12" s="63">
        <v>347.08</v>
      </c>
      <c r="F12" s="68">
        <v>2.086E-5</v>
      </c>
      <c r="G12" s="63">
        <v>309.89999999999998</v>
      </c>
      <c r="H12" s="69">
        <v>31.62</v>
      </c>
      <c r="N12" s="171"/>
      <c r="O12" s="171"/>
      <c r="P12" s="63"/>
    </row>
    <row r="13" spans="1:19">
      <c r="N13" s="171"/>
      <c r="O13" s="171"/>
      <c r="P13" s="63"/>
    </row>
    <row r="14" spans="1:19">
      <c r="N14" s="171"/>
      <c r="O14" s="171"/>
      <c r="P14" s="63"/>
      <c r="Q14" s="63"/>
    </row>
    <row r="15" spans="1:19">
      <c r="N15" s="171"/>
      <c r="O15" s="171"/>
      <c r="P15" s="63"/>
      <c r="Q15" s="68"/>
    </row>
    <row r="16" spans="1:19">
      <c r="H16" s="336"/>
      <c r="P16" s="63"/>
      <c r="Q16" s="68"/>
    </row>
    <row r="17" spans="8:17">
      <c r="H17" s="336"/>
      <c r="P17" s="63"/>
      <c r="Q17" s="68"/>
    </row>
    <row r="18" spans="8:17">
      <c r="P18" s="63"/>
      <c r="Q18" s="68"/>
    </row>
    <row r="19" spans="8:17">
      <c r="I19" s="335"/>
      <c r="P19" s="63"/>
      <c r="Q19" s="68"/>
    </row>
    <row r="20" spans="8:17">
      <c r="P20" s="63"/>
      <c r="Q20" s="68"/>
    </row>
    <row r="21" spans="8:17">
      <c r="P21" s="63"/>
      <c r="Q21" s="68"/>
    </row>
    <row r="22" spans="8:17">
      <c r="P22" s="63"/>
      <c r="Q22" s="68"/>
    </row>
    <row r="23" spans="8:17">
      <c r="P23" s="63"/>
      <c r="Q23" s="68"/>
    </row>
  </sheetData>
  <phoneticPr fontId="12"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Introduction</vt:lpstr>
      <vt:lpstr>Module0_Input</vt:lpstr>
      <vt:lpstr>Module0_Output</vt:lpstr>
      <vt:lpstr>Module0_Output_Data</vt:lpstr>
      <vt:lpstr>Module1_Input</vt:lpstr>
      <vt:lpstr>Module1_Output</vt:lpstr>
      <vt:lpstr>Module1_Output_Data</vt:lpstr>
      <vt:lpstr>ReadMe2</vt:lpstr>
      <vt:lpstr>SoilData</vt:lpstr>
      <vt:lpstr>PFASData</vt:lpstr>
      <vt:lpstr>AI</vt:lpstr>
      <vt:lpstr>Module0_Input!PFASname</vt:lpstr>
      <vt:lpstr>Module1_Input!PFASname</vt:lpstr>
      <vt:lpstr>Module1_Output_Data!PFASname</vt:lpstr>
      <vt:lpstr>PFASname</vt:lpstr>
      <vt:lpstr>Module1_Output_Data!Print_Area</vt:lpstr>
      <vt:lpstr>Module0_Input!SoilName</vt:lpstr>
      <vt:lpstr>Module1_Input!SoilName</vt:lpstr>
      <vt:lpstr>Module1_Output_Data!SoilName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Guo, Bo - (boguo)</cp:lastModifiedBy>
  <cp:revision/>
  <dcterms:created xsi:type="dcterms:W3CDTF">2023-05-28T20:22:31Z</dcterms:created>
  <dcterms:modified xsi:type="dcterms:W3CDTF">2025-03-01T07:06:06Z</dcterms:modified>
  <cp:category/>
  <cp:contentStatus/>
</cp:coreProperties>
</file>