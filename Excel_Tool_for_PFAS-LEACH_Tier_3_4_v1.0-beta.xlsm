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drawings/drawing3.xml" ContentType="application/vnd.openxmlformats-officedocument.drawing+xml"/>
  <Override PartName="/xl/ctrlProps/ctrlProp8.xml" ContentType="application/vnd.ms-excel.controlproperties+xml"/>
  <Override PartName="/xl/charts/chart2.xml" ContentType="application/vnd.openxmlformats-officedocument.drawingml.chart+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harts/chart4.xml" ContentType="application/vnd.openxmlformats-officedocument.drawingml.chart+xml"/>
  <Override PartName="/xl/drawings/drawing6.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9" codeName="{857A39E2-67AF-9BA6-E15C-A4B3A0C75593}"/>
  <workbookPr codeName="ThisWorkbook"/>
  <mc:AlternateContent xmlns:mc="http://schemas.openxmlformats.org/markup-compatibility/2006">
    <mc:Choice Requires="x15">
      <x15ac:absPath xmlns:x15ac="http://schemas.microsoft.com/office/spreadsheetml/2010/11/ac" url="/Users/boguo/Library/CloudStorage/OneDrive-SharedLibraries-UniversityofArizona/Ma, Min - (minma) - SSL tool/Releases/"/>
    </mc:Choice>
  </mc:AlternateContent>
  <xr:revisionPtr revIDLastSave="0" documentId="13_ncr:1_{DD6DB668-2627-8F4C-9207-9C62B396E596}" xr6:coauthVersionLast="47" xr6:coauthVersionMax="47" xr10:uidLastSave="{00000000-0000-0000-0000-000000000000}"/>
  <workbookProtection workbookAlgorithmName="SHA-512" workbookHashValue="JIPlVwh7CpLngqL96ZocYhTMOTwP6QjRz/1jOTxV0dfGJzrdU8WqdKH7z6esKJ/21wLKN4q4SpamTGP8bKP+wA==" workbookSaltValue="/lJATLMynntTlh87Jano7Q==" workbookSpinCount="100000" lockStructure="1"/>
  <bookViews>
    <workbookView xWindow="28800" yWindow="-4420" windowWidth="38400" windowHeight="21100" tabRatio="976" xr2:uid="{8B84798F-B4FB-4FD7-AA68-CDB7BBA979E5}"/>
  </bookViews>
  <sheets>
    <sheet name="Introduction" sheetId="67" r:id="rId1"/>
    <sheet name="Module0_Input" sheetId="62" r:id="rId2"/>
    <sheet name="Module0_Output" sheetId="63" r:id="rId3"/>
    <sheet name="Module0_Output_Data" sheetId="64" state="hidden" r:id="rId4"/>
    <sheet name="Module1_Input" sheetId="50" r:id="rId5"/>
    <sheet name="Module1_Output" sheetId="60" r:id="rId6"/>
    <sheet name="Module1_Output_Data" sheetId="52" state="hidden" r:id="rId7"/>
    <sheet name="ReadMe2" sheetId="54" state="hidden" r:id="rId8"/>
    <sheet name="SoilData" sheetId="4" state="hidden" r:id="rId9"/>
    <sheet name="PFASData" sheetId="5" state="hidden" r:id="rId10"/>
  </sheets>
  <functionGroups builtInGroupCount="19"/>
  <externalReferences>
    <externalReference r:id="rId11"/>
  </externalReferences>
  <definedNames>
    <definedName name="AI">Module1_Output_Data!$AH$1048538</definedName>
    <definedName name="Averaged_options" comment="This is to enable the dropdown list menu for the flux or volume averaged control cell" localSheetId="0">{"flux-averaged","volume-averaged"}</definedName>
    <definedName name="Averaged_options" comment="This is to enable the dropdown list menu for the flux or volume averaged control cell">{"flux-averaged","volume-averaged"}</definedName>
    <definedName name="PFASname" localSheetId="0">[1]!PFASTable[name]</definedName>
    <definedName name="PFASname" localSheetId="1">PFASTable[name]</definedName>
    <definedName name="PFASname" localSheetId="4">PFASTable[name]</definedName>
    <definedName name="PFASname" localSheetId="6">PFASTable[name]</definedName>
    <definedName name="PFASname">PFASTable[name]</definedName>
    <definedName name="PFASname_montecarlo" localSheetId="0">#REF!</definedName>
    <definedName name="PFASname_montecarlo">#REF!</definedName>
    <definedName name="_xlnm.Print_Area" localSheetId="6">Module1_Output_Data!$A$1:$AL$39</definedName>
    <definedName name="SoilName" localSheetId="0">[1]!SoilTable[name]</definedName>
    <definedName name="SoilName" localSheetId="1">SoilTable[name]</definedName>
    <definedName name="SoilName" localSheetId="4">SoilTable[name]</definedName>
    <definedName name="SoilName" localSheetId="6">SoilTable[name]</definedName>
    <definedName name="SoilName">SoilTable[name]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32" i="50" l="1"/>
  <c r="O34" i="50"/>
  <c r="O33" i="50"/>
  <c r="O31" i="50"/>
  <c r="L33" i="62"/>
  <c r="L35" i="62"/>
  <c r="L34" i="62"/>
  <c r="L32" i="62"/>
  <c r="L31" i="62"/>
  <c r="O35" i="50" l="1"/>
  <c r="O30" i="50"/>
  <c r="L36" i="62" l="1"/>
</calcChain>
</file>

<file path=xl/sharedStrings.xml><?xml version="1.0" encoding="utf-8"?>
<sst xmlns="http://schemas.openxmlformats.org/spreadsheetml/2006/main" count="473" uniqueCount="278">
  <si>
    <t xml:space="preserve">Excel Tool for PFAS-LEACH Tiers 3 and 4 models </t>
    <phoneticPr fontId="12" type="noConversion"/>
  </si>
  <si>
    <t>Department of Hydrology and Atmospheric Sciences</t>
  </si>
  <si>
    <t>University of Arizona</t>
  </si>
  <si>
    <t>Introduction</t>
    <phoneticPr fontId="12" type="noConversion"/>
  </si>
  <si>
    <t xml:space="preserve">
The core of the PFAS-LEACH-Analytical tool is a set of analytical solutions that solve the partial differential equations for the leaching of PFAS in the vadose zone (Guo et al., 2022). The vadose-zone analytical solutions are also coupled to a groundwater dilution factor model, which then allows for computing PFAS concentration in a receptor well or deriving site-specific soil screening levels (SSLs) for a given acceptable groundwater PFAS concentration (Smith et al., 2024). The process-based vadose-zone analytical solutions represent a set of PFAS-specific attenuation processes during transport through the unsaturated zone, including air-water interfacial adsorption and rate-limited solid-phase adsorption. The PFAS-LEACH-Analytical tool allows one to compute, over time, the spatial profiles of PFAS concentration in the vadose zone, mass discharge rates to groundwater, and the groundwater PFAS concentration in receptor well near the contaminated site. It provides an effective tool for deriving more accurate site-specific SSLs and improving site characterization and remedial efforts at PFAS-contaminated sites. </t>
  </si>
  <si>
    <t xml:space="preserve">
PFAS-LEACH-DAF is a revision to the simplest DAF approach in the USEPA SSL framework for determining SSLs for PFAS (Brusseau &amp; Guo, 2023). The revised DAF approach considers the adsorption of PFAS at the air-water interfaces when converting the porewater concentration to a soil concentration. PFAS-LEACH-DAF does not represent any attenuation in the vadose zone. </t>
    <phoneticPr fontId="12" type="noConversion"/>
  </si>
  <si>
    <t>A conceptual model for PFAS attenuation in the vadose zone and groundwater. PFAS released to the surface leach downward though the vadose zone to groundwater driven by water infiltration flux. A receptor well is assumed to be located at the edge of the source zone.</t>
    <phoneticPr fontId="12" type="noConversion"/>
  </si>
  <si>
    <r>
      <rPr>
        <b/>
        <sz val="12"/>
        <rFont val="Arial"/>
        <family val="2"/>
      </rPr>
      <t>Module0</t>
    </r>
    <r>
      <rPr>
        <sz val="12"/>
        <rFont val="Arial"/>
        <family val="2"/>
      </rPr>
      <t xml:space="preserve"> is the base model for quantifying PFAS leaching and deriving SSLs.</t>
    </r>
  </si>
  <si>
    <t>Assumptions</t>
  </si>
  <si>
    <t xml:space="preserve">1)  One-dimensional, steady-state water infiltration.
</t>
  </si>
  <si>
    <t>2)  Homogenous, uniformly unsaturated vadose zone.</t>
  </si>
  <si>
    <t>How to cite</t>
    <phoneticPr fontId="12" type="noConversion"/>
  </si>
  <si>
    <t>3)  Linear and instantaneous adsorption at air–water interfaces.</t>
  </si>
  <si>
    <t>4)  Linear and rate-limited adsorption at solid–water interfaces.</t>
  </si>
  <si>
    <t>1. Smith, J., Ma, M., Brusseau, M. L., &amp; Guo, B. (2025). User guide: Excel tool for Tiers 3 and 4 models of PFAS-LEACH (PFAS-LEACH-Analytical and PFAS-LEACH-DAF). University of Arizona, Tucson, Arizona.</t>
    <phoneticPr fontId="12" type="noConversion"/>
  </si>
  <si>
    <t>5)  Partitioning to the air phase is neglected.</t>
  </si>
  <si>
    <t xml:space="preserve">6)  PFAA precursor transformation is not yet directly accounted for.                </t>
  </si>
  <si>
    <r>
      <t>2. Smith, J., Brusseau, M. L., &amp; Guo, B. (2024). An integrated analytical modeling framework for determining site-specific soil screening levels for PFAS. </t>
    </r>
    <r>
      <rPr>
        <i/>
        <sz val="12"/>
        <color theme="1"/>
        <rFont val="Arial"/>
        <family val="2"/>
      </rPr>
      <t>Water Research</t>
    </r>
    <r>
      <rPr>
        <sz val="12"/>
        <color theme="1"/>
        <rFont val="Arial"/>
        <family val="2"/>
      </rPr>
      <t>, 121236.</t>
    </r>
  </si>
  <si>
    <t>7)  The receptor well is at the edge of the contaminated site.</t>
  </si>
  <si>
    <r>
      <t>3. Guo, B., Zeng, J., Brusseau, M. L., &amp; Zhang, Y. (2022). A screening model for quantifying PFAS leaching in the vadose zone and mass discharge to groundwater. </t>
    </r>
    <r>
      <rPr>
        <i/>
        <sz val="12"/>
        <color theme="1"/>
        <rFont val="Arial"/>
        <family val="2"/>
      </rPr>
      <t>Advances in Water Resources</t>
    </r>
    <r>
      <rPr>
        <sz val="12"/>
        <color theme="1"/>
        <rFont val="Arial"/>
        <family val="2"/>
      </rPr>
      <t>, 160, 104102.</t>
    </r>
  </si>
  <si>
    <r>
      <t xml:space="preserve">4. Brusseau, M.L. and Guo, B., 2023. Revising the EPA dilution-attenuation soil screening model for PFAS. </t>
    </r>
    <r>
      <rPr>
        <i/>
        <sz val="12"/>
        <color theme="1"/>
        <rFont val="Arial"/>
        <family val="2"/>
      </rPr>
      <t>Journal of Hazardous Materials Letter</t>
    </r>
    <r>
      <rPr>
        <sz val="12"/>
        <color theme="1"/>
        <rFont val="Arial"/>
        <family val="2"/>
      </rPr>
      <t>s, 4, 100077.</t>
    </r>
    <phoneticPr fontId="12" type="noConversion"/>
  </si>
  <si>
    <t>Acknowledgement</t>
    <phoneticPr fontId="12" type="noConversion"/>
  </si>
  <si>
    <t>To report feedback or bugs</t>
    <phoneticPr fontId="12" type="noConversion"/>
  </si>
  <si>
    <t xml:space="preserve"> Module0 Input Screen - Basic Analysis</t>
    <phoneticPr fontId="12" type="noConversion"/>
  </si>
  <si>
    <t xml:space="preserve">READ BEFORE START:         </t>
    <phoneticPr fontId="12" type="noConversion"/>
  </si>
  <si>
    <r>
      <t xml:space="preserve">Read Section 2 of the User Guide for parameter descriptions and work through boxes </t>
    </r>
    <r>
      <rPr>
        <sz val="10"/>
        <color theme="1"/>
        <rFont val="Segoe UI Symbol"/>
        <family val="2"/>
      </rPr>
      <t>①</t>
    </r>
    <r>
      <rPr>
        <sz val="10"/>
        <color theme="1"/>
        <rFont val="Arial"/>
        <family val="2"/>
      </rPr>
      <t xml:space="preserve"> to </t>
    </r>
    <r>
      <rPr>
        <sz val="10"/>
        <color theme="1"/>
        <rFont val="Segoe UI Symbol"/>
        <family val="2"/>
      </rPr>
      <t>⑤</t>
    </r>
    <r>
      <rPr>
        <sz val="10"/>
        <color theme="1"/>
        <rFont val="Arial"/>
        <family val="2"/>
      </rPr>
      <t xml:space="preserve"> sequentially.
</t>
    </r>
    <r>
      <rPr>
        <i/>
        <u/>
        <sz val="10"/>
        <color theme="1"/>
        <rFont val="Arial"/>
        <family val="2"/>
      </rPr>
      <t>Blue cells</t>
    </r>
    <r>
      <rPr>
        <sz val="10"/>
        <color theme="1"/>
        <rFont val="Arial"/>
        <family val="2"/>
      </rPr>
      <t xml:space="preserve"> can be filled with reference values using the </t>
    </r>
    <r>
      <rPr>
        <i/>
        <u/>
        <sz val="10"/>
        <color theme="1"/>
        <rFont val="Arial"/>
        <family val="2"/>
      </rPr>
      <t>dropdown buttons</t>
    </r>
    <r>
      <rPr>
        <i/>
        <sz val="10"/>
        <color theme="1"/>
        <rFont val="Arial"/>
        <family val="2"/>
      </rPr>
      <t xml:space="preserve"> </t>
    </r>
    <r>
      <rPr>
        <sz val="10"/>
        <color theme="1"/>
        <rFont val="Arial"/>
        <family val="2"/>
      </rPr>
      <t xml:space="preserve">or manually entered by users.
</t>
    </r>
    <r>
      <rPr>
        <i/>
        <u/>
        <sz val="10"/>
        <color theme="1"/>
        <rFont val="Arial"/>
        <family val="2"/>
      </rPr>
      <t>White cells</t>
    </r>
    <r>
      <rPr>
        <sz val="10"/>
        <color theme="1"/>
        <rFont val="Arial"/>
        <family val="2"/>
      </rPr>
      <t xml:space="preserve"> can be either estimated using the </t>
    </r>
    <r>
      <rPr>
        <i/>
        <u/>
        <sz val="10"/>
        <color theme="1"/>
        <rFont val="Arial"/>
        <family val="2"/>
      </rPr>
      <t>functional button</t>
    </r>
    <r>
      <rPr>
        <sz val="10"/>
        <color theme="1"/>
        <rFont val="Arial"/>
        <family val="2"/>
      </rPr>
      <t xml:space="preserve"> on the right or manually entered by users.
Default values for all cells can be set by clicking the </t>
    </r>
    <r>
      <rPr>
        <i/>
        <u/>
        <sz val="10"/>
        <color theme="1"/>
        <rFont val="Arial"/>
        <family val="2"/>
      </rPr>
      <t>green buttons</t>
    </r>
    <r>
      <rPr>
        <sz val="10"/>
        <color theme="1"/>
        <rFont val="Arial"/>
        <family val="2"/>
      </rPr>
      <t>.
Parameters with asterisks (*) are required to run the solvers.</t>
    </r>
  </si>
  <si>
    <r>
      <rPr>
        <b/>
        <sz val="16"/>
        <color theme="1"/>
        <rFont val="Segoe UI Symbol"/>
        <family val="2"/>
      </rPr>
      <t>①</t>
    </r>
    <r>
      <rPr>
        <b/>
        <sz val="16"/>
        <color theme="1"/>
        <rFont val="Aharoni"/>
        <charset val="177"/>
      </rPr>
      <t xml:space="preserve">  </t>
    </r>
    <r>
      <rPr>
        <b/>
        <sz val="14"/>
        <color theme="1"/>
        <rFont val="Arial"/>
        <family val="2"/>
      </rPr>
      <t>Soil Properties and Site Conditions</t>
    </r>
    <phoneticPr fontId="12" type="noConversion"/>
  </si>
  <si>
    <t>Parameter Values</t>
    <phoneticPr fontId="12" type="noConversion"/>
  </si>
  <si>
    <r>
      <t xml:space="preserve"> </t>
    </r>
    <r>
      <rPr>
        <b/>
        <sz val="16"/>
        <rFont val="Segoe UI Symbol"/>
        <family val="2"/>
      </rPr>
      <t xml:space="preserve">④ </t>
    </r>
    <r>
      <rPr>
        <b/>
        <sz val="14"/>
        <rFont val="Arial"/>
        <family val="2"/>
      </rPr>
      <t xml:space="preserve">Initial PFAS Soil Concentration Profile  </t>
    </r>
    <phoneticPr fontId="12" type="noConversion"/>
  </si>
  <si>
    <t xml:space="preserve">Depth to groundwater* </t>
  </si>
  <si>
    <t>L</t>
  </si>
  <si>
    <t>cm</t>
  </si>
  <si>
    <t>Interpolation Method</t>
    <phoneticPr fontId="12" type="noConversion"/>
  </si>
  <si>
    <t>Depth below land surface</t>
    <phoneticPr fontId="12" type="noConversion"/>
  </si>
  <si>
    <t>PFAS soil concentration</t>
  </si>
  <si>
    <t>Contaminated site area (or unit area)</t>
    <phoneticPr fontId="12" type="noConversion"/>
  </si>
  <si>
    <t>A</t>
    <phoneticPr fontId="12" type="noConversion"/>
  </si>
  <si>
    <r>
      <t>m</t>
    </r>
    <r>
      <rPr>
        <vertAlign val="superscript"/>
        <sz val="11"/>
        <rFont val="Arial"/>
        <family val="2"/>
      </rPr>
      <t>2</t>
    </r>
    <phoneticPr fontId="12" type="noConversion"/>
  </si>
  <si>
    <t>Soil Type</t>
    <phoneticPr fontId="12" type="noConversion"/>
  </si>
  <si>
    <t>Piecewise Linear Interpolation</t>
  </si>
  <si>
    <t>Temperature</t>
  </si>
  <si>
    <t>T</t>
    <phoneticPr fontId="12" type="noConversion"/>
  </si>
  <si>
    <t>K</t>
    <phoneticPr fontId="12" type="noConversion"/>
  </si>
  <si>
    <t>User defined</t>
    <phoneticPr fontId="12" type="noConversion"/>
  </si>
  <si>
    <t xml:space="preserve">Net infiltration* </t>
  </si>
  <si>
    <r>
      <t>I</t>
    </r>
    <r>
      <rPr>
        <i/>
        <vertAlign val="subscript"/>
        <sz val="11"/>
        <rFont val="Arial"/>
        <family val="2"/>
      </rPr>
      <t>f</t>
    </r>
  </si>
  <si>
    <t>cm/yr</t>
  </si>
  <si>
    <t>(cm)</t>
    <phoneticPr fontId="12" type="noConversion"/>
  </si>
  <si>
    <t xml:space="preserve"> (µg/kg)</t>
  </si>
  <si>
    <t xml:space="preserve">Soil bulk density* </t>
    <phoneticPr fontId="12" type="noConversion"/>
  </si>
  <si>
    <r>
      <t>ρ</t>
    </r>
    <r>
      <rPr>
        <i/>
        <vertAlign val="subscript"/>
        <sz val="11"/>
        <rFont val="Arial"/>
        <family val="2"/>
      </rPr>
      <t>b</t>
    </r>
    <phoneticPr fontId="12" type="noConversion"/>
  </si>
  <si>
    <r>
      <t>g/cm</t>
    </r>
    <r>
      <rPr>
        <vertAlign val="superscript"/>
        <sz val="11"/>
        <rFont val="Arial"/>
        <family val="2"/>
      </rPr>
      <t>3</t>
    </r>
  </si>
  <si>
    <t>Saturated hydraulic conductivity</t>
  </si>
  <si>
    <r>
      <t>K</t>
    </r>
    <r>
      <rPr>
        <i/>
        <vertAlign val="subscript"/>
        <sz val="11"/>
        <rFont val="Arial"/>
        <family val="2"/>
      </rPr>
      <t>s</t>
    </r>
  </si>
  <si>
    <t>cm/day</t>
  </si>
  <si>
    <t>Residual water content</t>
  </si>
  <si>
    <r>
      <t>θ</t>
    </r>
    <r>
      <rPr>
        <i/>
        <vertAlign val="subscript"/>
        <sz val="11"/>
        <rFont val="Arial"/>
        <family val="2"/>
      </rPr>
      <t>r</t>
    </r>
  </si>
  <si>
    <t xml:space="preserve"> (-)</t>
  </si>
  <si>
    <t>Saturated water content</t>
  </si>
  <si>
    <r>
      <t>θ</t>
    </r>
    <r>
      <rPr>
        <i/>
        <vertAlign val="subscript"/>
        <sz val="11"/>
        <rFont val="Arial"/>
        <family val="2"/>
      </rPr>
      <t>s</t>
    </r>
  </si>
  <si>
    <t>Median grain size</t>
    <phoneticPr fontId="12" type="noConversion"/>
  </si>
  <si>
    <r>
      <t>d</t>
    </r>
    <r>
      <rPr>
        <i/>
        <sz val="8"/>
        <rFont val="Arial"/>
        <family val="2"/>
      </rPr>
      <t>50</t>
    </r>
  </si>
  <si>
    <t>cm</t>
    <phoneticPr fontId="12" type="noConversion"/>
  </si>
  <si>
    <t>Organic carbon fraction</t>
    <phoneticPr fontId="12" type="noConversion"/>
  </si>
  <si>
    <r>
      <t>f</t>
    </r>
    <r>
      <rPr>
        <i/>
        <vertAlign val="subscript"/>
        <sz val="10"/>
        <rFont val="Arial"/>
        <family val="2"/>
      </rPr>
      <t>oc</t>
    </r>
  </si>
  <si>
    <t>%</t>
    <phoneticPr fontId="12" type="noConversion"/>
  </si>
  <si>
    <t xml:space="preserve">van Genuchten parameter </t>
  </si>
  <si>
    <t>α</t>
  </si>
  <si>
    <r>
      <t>cm</t>
    </r>
    <r>
      <rPr>
        <vertAlign val="superscript"/>
        <sz val="11"/>
        <rFont val="Arial"/>
        <family val="2"/>
      </rPr>
      <t>-1</t>
    </r>
  </si>
  <si>
    <t>van Genuchten parameter</t>
  </si>
  <si>
    <t>n</t>
  </si>
  <si>
    <t>Longitudinal dispersivity</t>
    <phoneticPr fontId="12" type="noConversion"/>
  </si>
  <si>
    <r>
      <t>α</t>
    </r>
    <r>
      <rPr>
        <i/>
        <vertAlign val="subscript"/>
        <sz val="11"/>
        <rFont val="Arial"/>
        <family val="2"/>
      </rPr>
      <t>L</t>
    </r>
    <phoneticPr fontId="12" type="noConversion"/>
  </si>
  <si>
    <t xml:space="preserve">Water content* </t>
    <phoneticPr fontId="12" type="noConversion"/>
  </si>
  <si>
    <t>θ</t>
    <phoneticPr fontId="12" type="noConversion"/>
  </si>
  <si>
    <t>Air–water interfacial area scaling factor</t>
    <phoneticPr fontId="12" type="noConversion"/>
  </si>
  <si>
    <t>SF</t>
    <phoneticPr fontId="12" type="noConversion"/>
  </si>
  <si>
    <t xml:space="preserve">Air–water interfacial area* </t>
  </si>
  <si>
    <r>
      <t>A</t>
    </r>
    <r>
      <rPr>
        <i/>
        <vertAlign val="subscript"/>
        <sz val="11"/>
        <rFont val="Arial"/>
        <family val="2"/>
      </rPr>
      <t>aw</t>
    </r>
  </si>
  <si>
    <r>
      <t>cm</t>
    </r>
    <r>
      <rPr>
        <vertAlign val="superscript"/>
        <sz val="11"/>
        <rFont val="Arial"/>
        <family val="2"/>
      </rPr>
      <t>2</t>
    </r>
    <r>
      <rPr>
        <sz val="11"/>
        <rFont val="Arial"/>
        <family val="2"/>
      </rPr>
      <t>/cm</t>
    </r>
    <r>
      <rPr>
        <vertAlign val="superscript"/>
        <sz val="11"/>
        <rFont val="Arial"/>
        <family val="2"/>
      </rPr>
      <t>3</t>
    </r>
    <phoneticPr fontId="12" type="noConversion"/>
  </si>
  <si>
    <r>
      <rPr>
        <b/>
        <sz val="16"/>
        <color theme="1"/>
        <rFont val="Segoe UI Symbol"/>
        <family val="2"/>
      </rPr>
      <t>②</t>
    </r>
    <r>
      <rPr>
        <b/>
        <sz val="16"/>
        <color theme="1"/>
        <rFont val="宋体"/>
        <family val="2"/>
        <charset val="134"/>
      </rPr>
      <t xml:space="preserve"> </t>
    </r>
    <r>
      <rPr>
        <b/>
        <sz val="14"/>
        <color theme="1"/>
        <rFont val="Arial"/>
        <family val="2"/>
      </rPr>
      <t>PFAS Properties</t>
    </r>
    <phoneticPr fontId="12" type="noConversion"/>
  </si>
  <si>
    <t>Surface tension parameter</t>
    <phoneticPr fontId="12" type="noConversion"/>
  </si>
  <si>
    <t>a</t>
  </si>
  <si>
    <t>mg/L</t>
  </si>
  <si>
    <t>b</t>
  </si>
  <si>
    <t xml:space="preserve">PFAS Type  </t>
    <phoneticPr fontId="12" type="noConversion"/>
  </si>
  <si>
    <r>
      <t>σ</t>
    </r>
    <r>
      <rPr>
        <i/>
        <vertAlign val="subscript"/>
        <sz val="11"/>
        <rFont val="Arial"/>
        <family val="2"/>
      </rPr>
      <t>0</t>
    </r>
  </si>
  <si>
    <t>dyn/cm</t>
  </si>
  <si>
    <t>PFOA</t>
    <phoneticPr fontId="12" type="noConversion"/>
  </si>
  <si>
    <t xml:space="preserve">Molar mass* </t>
  </si>
  <si>
    <t>M</t>
  </si>
  <si>
    <t>g/mol</t>
  </si>
  <si>
    <t>Molecular diffusion coefficient</t>
    <phoneticPr fontId="12" type="noConversion"/>
  </si>
  <si>
    <r>
      <t>D</t>
    </r>
    <r>
      <rPr>
        <i/>
        <vertAlign val="subscript"/>
        <sz val="11"/>
        <rFont val="Arial"/>
        <family val="2"/>
      </rPr>
      <t>0</t>
    </r>
  </si>
  <si>
    <r>
      <t>cm</t>
    </r>
    <r>
      <rPr>
        <vertAlign val="superscript"/>
        <sz val="11"/>
        <rFont val="Arial"/>
        <family val="2"/>
      </rPr>
      <t>2</t>
    </r>
    <r>
      <rPr>
        <sz val="11"/>
        <rFont val="Arial"/>
        <family val="2"/>
      </rPr>
      <t>/s</t>
    </r>
  </si>
  <si>
    <t xml:space="preserve">Molar volume </t>
    <phoneticPr fontId="12" type="noConversion"/>
  </si>
  <si>
    <r>
      <t>V</t>
    </r>
    <r>
      <rPr>
        <i/>
        <vertAlign val="subscript"/>
        <sz val="10"/>
        <rFont val="Arial"/>
        <family val="2"/>
      </rPr>
      <t>m</t>
    </r>
    <phoneticPr fontId="12" type="noConversion"/>
  </si>
  <si>
    <r>
      <t>cm</t>
    </r>
    <r>
      <rPr>
        <vertAlign val="superscript"/>
        <sz val="11"/>
        <rFont val="Arial"/>
        <family val="2"/>
      </rPr>
      <t>3</t>
    </r>
    <r>
      <rPr>
        <sz val="11"/>
        <rFont val="Arial"/>
        <family val="2"/>
      </rPr>
      <t>/mol</t>
    </r>
  </si>
  <si>
    <t>Organic carbon-water partition coefficient</t>
    <phoneticPr fontId="12" type="noConversion"/>
  </si>
  <si>
    <r>
      <t>K</t>
    </r>
    <r>
      <rPr>
        <i/>
        <vertAlign val="subscript"/>
        <sz val="11"/>
        <rFont val="Arial"/>
        <family val="2"/>
      </rPr>
      <t>oc</t>
    </r>
  </si>
  <si>
    <r>
      <t>cm</t>
    </r>
    <r>
      <rPr>
        <vertAlign val="superscript"/>
        <sz val="11"/>
        <rFont val="Arial"/>
        <family val="2"/>
      </rPr>
      <t>3</t>
    </r>
    <r>
      <rPr>
        <sz val="11"/>
        <rFont val="Arial"/>
        <family val="2"/>
      </rPr>
      <t>/g</t>
    </r>
  </si>
  <si>
    <t>Ugw</t>
  </si>
  <si>
    <t xml:space="preserve">Solid–phase adsorption coefficient* </t>
    <phoneticPr fontId="12" type="noConversion"/>
  </si>
  <si>
    <r>
      <t>K</t>
    </r>
    <r>
      <rPr>
        <i/>
        <vertAlign val="subscript"/>
        <sz val="11"/>
        <rFont val="Arial"/>
        <family val="2"/>
      </rPr>
      <t>d</t>
    </r>
  </si>
  <si>
    <t>W</t>
  </si>
  <si>
    <t xml:space="preserve">Air–water interfacial adsorption coefficient* </t>
    <phoneticPr fontId="12" type="noConversion"/>
  </si>
  <si>
    <r>
      <t>K</t>
    </r>
    <r>
      <rPr>
        <i/>
        <vertAlign val="subscript"/>
        <sz val="11"/>
        <rFont val="Arial"/>
        <family val="2"/>
      </rPr>
      <t>aw</t>
    </r>
  </si>
  <si>
    <r>
      <t>cm</t>
    </r>
    <r>
      <rPr>
        <vertAlign val="superscript"/>
        <sz val="11"/>
        <rFont val="Arial"/>
        <family val="2"/>
      </rPr>
      <t>3</t>
    </r>
    <r>
      <rPr>
        <sz val="11"/>
        <rFont val="Arial"/>
        <family val="2"/>
      </rPr>
      <t>/cm</t>
    </r>
    <r>
      <rPr>
        <vertAlign val="superscript"/>
        <sz val="11"/>
        <rFont val="Arial"/>
        <family val="2"/>
      </rPr>
      <t>2</t>
    </r>
    <phoneticPr fontId="12" type="noConversion"/>
  </si>
  <si>
    <t>bsat</t>
  </si>
  <si>
    <r>
      <t>NOTE: Fs and α</t>
    </r>
    <r>
      <rPr>
        <vertAlign val="subscript"/>
        <sz val="10"/>
        <rFont val="Arial"/>
        <family val="2"/>
      </rPr>
      <t>s</t>
    </r>
    <r>
      <rPr>
        <sz val="10"/>
        <rFont val="Arial"/>
        <family val="2"/>
      </rPr>
      <t xml:space="preserve"> are only needed for using the advanced solver.</t>
    </r>
  </si>
  <si>
    <t>deltagw</t>
  </si>
  <si>
    <t xml:space="preserve">Instantaneous solid-phase sorption fraction* </t>
  </si>
  <si>
    <r>
      <t>F</t>
    </r>
    <r>
      <rPr>
        <i/>
        <vertAlign val="subscript"/>
        <sz val="11"/>
        <rFont val="Arial"/>
        <family val="2"/>
      </rPr>
      <t>s</t>
    </r>
    <phoneticPr fontId="12" type="noConversion"/>
  </si>
  <si>
    <t>If</t>
  </si>
  <si>
    <t xml:space="preserve">Kinetic solid-phase sorption rate constant* </t>
    <phoneticPr fontId="12" type="noConversion"/>
  </si>
  <si>
    <r>
      <t>α</t>
    </r>
    <r>
      <rPr>
        <i/>
        <vertAlign val="subscript"/>
        <sz val="11"/>
        <rFont val="Arial"/>
        <family val="2"/>
      </rPr>
      <t>s</t>
    </r>
    <phoneticPr fontId="12" type="noConversion"/>
  </si>
  <si>
    <t>1/hour</t>
    <phoneticPr fontId="12" type="noConversion"/>
  </si>
  <si>
    <r>
      <rPr>
        <b/>
        <sz val="16"/>
        <color theme="1"/>
        <rFont val="Segoe UI Symbol"/>
        <family val="2"/>
      </rPr>
      <t>③</t>
    </r>
    <r>
      <rPr>
        <b/>
        <sz val="16"/>
        <color theme="1"/>
        <rFont val="宋体"/>
        <family val="2"/>
        <charset val="134"/>
      </rPr>
      <t xml:space="preserve"> </t>
    </r>
    <r>
      <rPr>
        <b/>
        <sz val="14"/>
        <color theme="1"/>
        <rFont val="Arial"/>
        <family val="2"/>
      </rPr>
      <t>Groundwater Dilution</t>
    </r>
    <phoneticPr fontId="12" type="noConversion"/>
  </si>
  <si>
    <t>Groundwater velocity</t>
    <phoneticPr fontId="12" type="noConversion"/>
  </si>
  <si>
    <r>
      <t>U</t>
    </r>
    <r>
      <rPr>
        <i/>
        <vertAlign val="subscript"/>
        <sz val="11"/>
        <rFont val="Arial"/>
        <family val="2"/>
      </rPr>
      <t>gw</t>
    </r>
  </si>
  <si>
    <t>m/yr</t>
    <phoneticPr fontId="12" type="noConversion"/>
  </si>
  <si>
    <t>Lateral site width</t>
    <phoneticPr fontId="12" type="noConversion"/>
  </si>
  <si>
    <t>m</t>
    <phoneticPr fontId="12" type="noConversion"/>
  </si>
  <si>
    <r>
      <rPr>
        <b/>
        <sz val="16"/>
        <color theme="1"/>
        <rFont val="Segoe UI Symbol"/>
        <family val="2"/>
      </rPr>
      <t>⑤</t>
    </r>
    <r>
      <rPr>
        <b/>
        <sz val="14"/>
        <color theme="1"/>
        <rFont val="宋体"/>
        <family val="2"/>
        <charset val="134"/>
      </rPr>
      <t xml:space="preserve"> </t>
    </r>
    <r>
      <rPr>
        <b/>
        <sz val="14"/>
        <color theme="1"/>
        <rFont val="Arial"/>
        <family val="2"/>
      </rPr>
      <t>Simulation Information</t>
    </r>
    <phoneticPr fontId="12" type="noConversion"/>
  </si>
  <si>
    <t>Saturated zone thickness</t>
    <phoneticPr fontId="12" type="noConversion"/>
  </si>
  <si>
    <r>
      <t>b</t>
    </r>
    <r>
      <rPr>
        <i/>
        <vertAlign val="subscript"/>
        <sz val="11"/>
        <color theme="1"/>
        <rFont val="Arial"/>
        <family val="2"/>
      </rPr>
      <t>sat</t>
    </r>
  </si>
  <si>
    <t xml:space="preserve">
 (Equilibrium solid-phase sorption)</t>
  </si>
  <si>
    <t>Vertical dispersivity</t>
    <phoneticPr fontId="12" type="noConversion"/>
  </si>
  <si>
    <r>
      <t>α</t>
    </r>
    <r>
      <rPr>
        <i/>
        <vertAlign val="subscript"/>
        <sz val="11"/>
        <color theme="1"/>
        <rFont val="Arial"/>
        <family val="2"/>
      </rPr>
      <t>v</t>
    </r>
    <phoneticPr fontId="12" type="noConversion"/>
  </si>
  <si>
    <t xml:space="preserve">Simulation time* </t>
  </si>
  <si>
    <t>t</t>
  </si>
  <si>
    <t>yr</t>
    <phoneticPr fontId="12" type="noConversion"/>
  </si>
  <si>
    <t>Mixing zone thickness</t>
    <phoneticPr fontId="12" type="noConversion"/>
  </si>
  <si>
    <r>
      <t>δ</t>
    </r>
    <r>
      <rPr>
        <i/>
        <vertAlign val="subscript"/>
        <sz val="11"/>
        <color theme="1"/>
        <rFont val="Arial"/>
        <family val="2"/>
      </rPr>
      <t>gw</t>
    </r>
    <phoneticPr fontId="12" type="noConversion"/>
  </si>
  <si>
    <t xml:space="preserve">Output time interval* </t>
  </si>
  <si>
    <t>dt</t>
    <phoneticPr fontId="12" type="noConversion"/>
  </si>
  <si>
    <r>
      <t>Dilution Factor</t>
    </r>
    <r>
      <rPr>
        <sz val="12"/>
        <rFont val="Arial"/>
        <family val="2"/>
      </rPr>
      <t xml:space="preserve">* </t>
    </r>
  </si>
  <si>
    <t>DF</t>
  </si>
  <si>
    <t>(-)</t>
  </si>
  <si>
    <t xml:space="preserve">Acceptable groundwater concentration* </t>
    <phoneticPr fontId="12" type="noConversion"/>
  </si>
  <si>
    <r>
      <t>C</t>
    </r>
    <r>
      <rPr>
        <i/>
        <vertAlign val="subscript"/>
        <sz val="11"/>
        <rFont val="Arial"/>
        <family val="2"/>
      </rPr>
      <t>gw,a</t>
    </r>
    <phoneticPr fontId="12" type="noConversion"/>
  </si>
  <si>
    <t>ppt</t>
  </si>
  <si>
    <t xml:space="preserve"> (Kinetic solid-phase sorption)</t>
  </si>
  <si>
    <t>Module0 Output Screen</t>
    <phoneticPr fontId="12" type="noConversion"/>
  </si>
  <si>
    <t>Computed Results from PFAS-LEACH-Analytical</t>
    <phoneticPr fontId="12" type="noConversion"/>
  </si>
  <si>
    <t>Soil Screening Levels</t>
    <phoneticPr fontId="12" type="noConversion"/>
  </si>
  <si>
    <t>Values</t>
    <phoneticPr fontId="12" type="noConversion"/>
  </si>
  <si>
    <t>Select what to plot</t>
    <phoneticPr fontId="12" type="noConversion"/>
  </si>
  <si>
    <t>Soil screening level  (PFAS-LEACH-Analytical)</t>
  </si>
  <si>
    <t>SSL</t>
  </si>
  <si>
    <t>ug/kg</t>
    <phoneticPr fontId="12" type="noConversion"/>
  </si>
  <si>
    <t>Soil screening level  (PFAS-LEACH-DAF)</t>
  </si>
  <si>
    <r>
      <t>SSL</t>
    </r>
    <r>
      <rPr>
        <i/>
        <vertAlign val="subscript"/>
        <sz val="14"/>
        <color theme="1"/>
        <rFont val="Arial"/>
        <family val="2"/>
      </rPr>
      <t>EPA revised</t>
    </r>
    <phoneticPr fontId="12" type="noConversion"/>
  </si>
  <si>
    <t>Soil screening level  (USEPA Standard DAF)</t>
    <phoneticPr fontId="12" type="noConversion"/>
  </si>
  <si>
    <r>
      <t>SSL</t>
    </r>
    <r>
      <rPr>
        <i/>
        <vertAlign val="subscript"/>
        <sz val="14"/>
        <color theme="1"/>
        <rFont val="Arial"/>
        <family val="2"/>
      </rPr>
      <t>EPA standard</t>
    </r>
    <phoneticPr fontId="12" type="noConversion"/>
  </si>
  <si>
    <t>Retardation, attenuation, and dilution factors (PFAS-LEACH-Analytical)</t>
  </si>
  <si>
    <t>Air–water interfacial retardation</t>
  </si>
  <si>
    <r>
      <t>R</t>
    </r>
    <r>
      <rPr>
        <i/>
        <vertAlign val="subscript"/>
        <sz val="14"/>
        <color theme="1"/>
        <rFont val="Arial"/>
        <family val="2"/>
      </rPr>
      <t>AW</t>
    </r>
  </si>
  <si>
    <t>Solid–water interfacial retardation</t>
  </si>
  <si>
    <r>
      <t>R</t>
    </r>
    <r>
      <rPr>
        <i/>
        <vertAlign val="subscript"/>
        <sz val="14"/>
        <color theme="1"/>
        <rFont val="Arial"/>
        <family val="2"/>
      </rPr>
      <t>S</t>
    </r>
  </si>
  <si>
    <t>Total retardation factor</t>
  </si>
  <si>
    <t>R</t>
  </si>
  <si>
    <t>Vadose-zone attenuation factor</t>
  </si>
  <si>
    <r>
      <t>AF</t>
    </r>
    <r>
      <rPr>
        <i/>
        <vertAlign val="subscript"/>
        <sz val="14"/>
        <color theme="1"/>
        <rFont val="Arial"/>
        <family val="2"/>
      </rPr>
      <t>VZ</t>
    </r>
  </si>
  <si>
    <t>Dilution factor</t>
  </si>
  <si>
    <t>Estimated PFAS residence time</t>
    <phoneticPr fontId="12" type="noConversion"/>
  </si>
  <si>
    <r>
      <t>T</t>
    </r>
    <r>
      <rPr>
        <i/>
        <vertAlign val="subscript"/>
        <sz val="14"/>
        <color theme="1"/>
        <rFont val="Arial"/>
        <family val="2"/>
      </rPr>
      <t>R</t>
    </r>
    <phoneticPr fontId="12" type="noConversion"/>
  </si>
  <si>
    <t>Duration exceeding the acceptable groundwater concentration</t>
  </si>
  <si>
    <r>
      <t>t</t>
    </r>
    <r>
      <rPr>
        <i/>
        <vertAlign val="subscript"/>
        <sz val="14"/>
        <color rgb="FF000000"/>
        <rFont val="Arial"/>
        <family val="2"/>
      </rPr>
      <t>gw,e</t>
    </r>
  </si>
  <si>
    <t>yr</t>
  </si>
  <si>
    <t>Output Results Table for Plotting</t>
    <phoneticPr fontId="12" type="noConversion"/>
  </si>
  <si>
    <t>Time (yr)</t>
  </si>
  <si>
    <t>Mass discharge concentration (ug/L)</t>
  </si>
  <si>
    <t>Receptor well concentration (ug/L)</t>
  </si>
  <si>
    <t xml:space="preserve"> Vadose-zone mass discharge rate (ug/yr)</t>
    <phoneticPr fontId="12" type="noConversion"/>
  </si>
  <si>
    <t>Mass remaining in the vadose zone (ug)</t>
    <phoneticPr fontId="12" type="noConversion"/>
  </si>
  <si>
    <t>Mass remaining in the vadose zone (%)</t>
    <phoneticPr fontId="12" type="noConversion"/>
  </si>
  <si>
    <r>
      <rPr>
        <b/>
        <sz val="18"/>
        <color theme="1"/>
        <rFont val="Arial"/>
        <family val="2"/>
      </rPr>
      <t xml:space="preserve"> </t>
    </r>
    <r>
      <rPr>
        <b/>
        <sz val="24"/>
        <color theme="1"/>
        <rFont val="Arial"/>
        <family val="2"/>
      </rPr>
      <t xml:space="preserve">Module1 Input Screen - Sensitivity Analysis </t>
    </r>
    <phoneticPr fontId="12" type="noConversion"/>
  </si>
  <si>
    <t xml:space="preserve">READ BEFORE START:         </t>
  </si>
  <si>
    <r>
      <t xml:space="preserve">Read Section 2 of the User Guide for parameter descriptions and work through boxes </t>
    </r>
    <r>
      <rPr>
        <sz val="11"/>
        <color theme="1"/>
        <rFont val="Segoe UI Symbol"/>
        <family val="2"/>
      </rPr>
      <t>①</t>
    </r>
    <r>
      <rPr>
        <sz val="11"/>
        <color theme="1"/>
        <rFont val="Arial"/>
        <family val="2"/>
      </rPr>
      <t xml:space="preserve"> to </t>
    </r>
    <r>
      <rPr>
        <sz val="11"/>
        <color theme="1"/>
        <rFont val="Segoe UI Symbol"/>
        <family val="2"/>
      </rPr>
      <t>⑤</t>
    </r>
    <r>
      <rPr>
        <sz val="11"/>
        <color theme="1"/>
        <rFont val="Arial"/>
        <family val="2"/>
      </rPr>
      <t xml:space="preserve"> sequentially.
</t>
    </r>
    <r>
      <rPr>
        <i/>
        <u/>
        <sz val="11"/>
        <color theme="1"/>
        <rFont val="Arial"/>
        <family val="2"/>
      </rPr>
      <t>Blue cells</t>
    </r>
    <r>
      <rPr>
        <i/>
        <sz val="11"/>
        <color theme="1"/>
        <rFont val="Arial"/>
        <family val="2"/>
      </rPr>
      <t xml:space="preserve"> </t>
    </r>
    <r>
      <rPr>
        <sz val="11"/>
        <color theme="1"/>
        <rFont val="Arial"/>
        <family val="2"/>
      </rPr>
      <t xml:space="preserve">can be filled with reference values using the </t>
    </r>
    <r>
      <rPr>
        <i/>
        <u/>
        <sz val="11"/>
        <color theme="1"/>
        <rFont val="Arial"/>
        <family val="2"/>
      </rPr>
      <t>dropdown buttons</t>
    </r>
    <r>
      <rPr>
        <sz val="11"/>
        <color theme="1"/>
        <rFont val="Arial"/>
        <family val="2"/>
      </rPr>
      <t xml:space="preserve"> or manually entered by users.
</t>
    </r>
    <r>
      <rPr>
        <i/>
        <u/>
        <sz val="11"/>
        <color theme="1"/>
        <rFont val="Arial"/>
        <family val="2"/>
      </rPr>
      <t>White cells</t>
    </r>
    <r>
      <rPr>
        <sz val="11"/>
        <color theme="1"/>
        <rFont val="Arial"/>
        <family val="2"/>
      </rPr>
      <t xml:space="preserve"> can be either estimated using the </t>
    </r>
    <r>
      <rPr>
        <i/>
        <u/>
        <sz val="11"/>
        <color theme="1"/>
        <rFont val="Arial"/>
        <family val="2"/>
      </rPr>
      <t>functional button</t>
    </r>
    <r>
      <rPr>
        <sz val="11"/>
        <color theme="1"/>
        <rFont val="Arial"/>
        <family val="2"/>
      </rPr>
      <t xml:space="preserve"> on the right or manually entered by users.
</t>
    </r>
    <r>
      <rPr>
        <i/>
        <u/>
        <sz val="11"/>
        <color theme="1"/>
        <rFont val="Arial"/>
        <family val="2"/>
      </rPr>
      <t>Yellow cells</t>
    </r>
    <r>
      <rPr>
        <i/>
        <sz val="11"/>
        <color theme="1"/>
        <rFont val="Arial"/>
        <family val="2"/>
      </rPr>
      <t xml:space="preserve"> </t>
    </r>
    <r>
      <rPr>
        <sz val="11"/>
        <color theme="1"/>
        <rFont val="Arial"/>
        <family val="2"/>
      </rPr>
      <t xml:space="preserve">are ofr setting uncertainty bounds for input parameters.
Default values for all cells can be set by clicking the </t>
    </r>
    <r>
      <rPr>
        <i/>
        <u/>
        <sz val="11"/>
        <color theme="1"/>
        <rFont val="Arial"/>
        <family val="2"/>
      </rPr>
      <t>green buttons</t>
    </r>
    <r>
      <rPr>
        <sz val="11"/>
        <color theme="1"/>
        <rFont val="Arial"/>
        <family val="2"/>
      </rPr>
      <t>.
Parameters with asterisks (*) are required to run the solvers.</t>
    </r>
  </si>
  <si>
    <r>
      <rPr>
        <b/>
        <sz val="18"/>
        <color theme="1"/>
        <rFont val="Segoe UI Symbol"/>
        <family val="2"/>
      </rPr>
      <t>①</t>
    </r>
    <r>
      <rPr>
        <b/>
        <sz val="16"/>
        <color theme="1"/>
        <rFont val="宋体"/>
        <family val="2"/>
        <charset val="134"/>
      </rPr>
      <t xml:space="preserve"> </t>
    </r>
    <r>
      <rPr>
        <b/>
        <sz val="14"/>
        <color theme="1"/>
        <rFont val="Arial"/>
        <family val="2"/>
      </rPr>
      <t>Soil Properties and Site Conditions</t>
    </r>
    <phoneticPr fontId="12" type="noConversion"/>
  </si>
  <si>
    <t>Left bound</t>
    <phoneticPr fontId="12" type="noConversion"/>
  </si>
  <si>
    <t>Mean value</t>
  </si>
  <si>
    <t>Right bound</t>
    <phoneticPr fontId="12" type="noConversion"/>
  </si>
  <si>
    <r>
      <rPr>
        <b/>
        <sz val="18"/>
        <color theme="1"/>
        <rFont val="Segoe UI Symbol"/>
        <family val="2"/>
      </rPr>
      <t>④</t>
    </r>
    <r>
      <rPr>
        <b/>
        <sz val="18"/>
        <color theme="1"/>
        <rFont val="宋体"/>
        <family val="2"/>
        <charset val="134"/>
      </rPr>
      <t xml:space="preserve"> </t>
    </r>
    <r>
      <rPr>
        <b/>
        <sz val="14"/>
        <color theme="1"/>
        <rFont val="Arial"/>
        <family val="2"/>
      </rPr>
      <t>Initial PFAS Soil Concentration Profile</t>
    </r>
    <phoneticPr fontId="12" type="noConversion"/>
  </si>
  <si>
    <t>% deviation from mean</t>
    <phoneticPr fontId="12" type="noConversion"/>
  </si>
  <si>
    <t>value</t>
    <phoneticPr fontId="12" type="noConversion"/>
  </si>
  <si>
    <t xml:space="preserve">mean </t>
    <phoneticPr fontId="12" type="noConversion"/>
  </si>
  <si>
    <r>
      <t>cm</t>
    </r>
    <r>
      <rPr>
        <vertAlign val="superscript"/>
        <sz val="11"/>
        <rFont val="Arial"/>
        <family val="2"/>
      </rPr>
      <t>2</t>
    </r>
  </si>
  <si>
    <t>(cm)</t>
  </si>
  <si>
    <r>
      <t>d</t>
    </r>
    <r>
      <rPr>
        <i/>
        <vertAlign val="subscript"/>
        <sz val="11"/>
        <rFont val="Arial"/>
        <family val="2"/>
      </rPr>
      <t>50</t>
    </r>
    <phoneticPr fontId="12" type="noConversion"/>
  </si>
  <si>
    <r>
      <t>f</t>
    </r>
    <r>
      <rPr>
        <i/>
        <vertAlign val="subscript"/>
        <sz val="11"/>
        <rFont val="Arial"/>
        <family val="2"/>
      </rPr>
      <t>oc</t>
    </r>
  </si>
  <si>
    <r>
      <t>α</t>
    </r>
    <r>
      <rPr>
        <i/>
        <vertAlign val="subscript"/>
        <sz val="11"/>
        <rFont val="Arial"/>
        <family val="2"/>
      </rPr>
      <t>L</t>
    </r>
  </si>
  <si>
    <t>θ</t>
  </si>
  <si>
    <t>Air–water interfacial area scaling factor</t>
  </si>
  <si>
    <r>
      <t>cm</t>
    </r>
    <r>
      <rPr>
        <vertAlign val="superscript"/>
        <sz val="11"/>
        <rFont val="Arial"/>
        <family val="2"/>
      </rPr>
      <t>2</t>
    </r>
    <r>
      <rPr>
        <sz val="11"/>
        <rFont val="Arial"/>
        <family val="2"/>
      </rPr>
      <t>/cm</t>
    </r>
    <r>
      <rPr>
        <vertAlign val="superscript"/>
        <sz val="11"/>
        <rFont val="Arial"/>
        <family val="2"/>
      </rPr>
      <t>3</t>
    </r>
  </si>
  <si>
    <r>
      <rPr>
        <b/>
        <sz val="18"/>
        <rFont val="Segoe UI Symbol"/>
        <family val="2"/>
      </rPr>
      <t>②</t>
    </r>
    <r>
      <rPr>
        <b/>
        <sz val="18"/>
        <rFont val="宋体"/>
        <family val="2"/>
        <charset val="134"/>
      </rPr>
      <t xml:space="preserve"> </t>
    </r>
    <r>
      <rPr>
        <b/>
        <sz val="14"/>
        <rFont val="Arial"/>
        <family val="2"/>
      </rPr>
      <t>PFAS Properties</t>
    </r>
    <phoneticPr fontId="12" type="noConversion"/>
  </si>
  <si>
    <t xml:space="preserve">PFAS Type </t>
    <phoneticPr fontId="12" type="noConversion"/>
  </si>
  <si>
    <t xml:space="preserve">Molar mass* </t>
    <phoneticPr fontId="12" type="noConversion"/>
  </si>
  <si>
    <t>NOTE: Fs and αs are only needed for using the advanced solver.</t>
  </si>
  <si>
    <r>
      <t>F</t>
    </r>
    <r>
      <rPr>
        <i/>
        <vertAlign val="subscript"/>
        <sz val="11"/>
        <rFont val="Arial"/>
        <family val="2"/>
      </rPr>
      <t>s</t>
    </r>
  </si>
  <si>
    <t xml:space="preserve">Kinetic solid-phase sorption rate* </t>
  </si>
  <si>
    <r>
      <rPr>
        <b/>
        <sz val="18"/>
        <rFont val="Segoe UI Symbol"/>
        <family val="2"/>
      </rPr>
      <t>③</t>
    </r>
    <r>
      <rPr>
        <b/>
        <sz val="18"/>
        <rFont val="宋体"/>
        <family val="2"/>
        <charset val="134"/>
      </rPr>
      <t xml:space="preserve"> </t>
    </r>
    <r>
      <rPr>
        <b/>
        <sz val="14"/>
        <rFont val="Arial"/>
        <family val="2"/>
      </rPr>
      <t>Groundwater Dilution</t>
    </r>
    <phoneticPr fontId="12" type="noConversion"/>
  </si>
  <si>
    <t>Groundwater velocity</t>
  </si>
  <si>
    <t>Lateral site width</t>
  </si>
  <si>
    <r>
      <rPr>
        <b/>
        <sz val="18"/>
        <rFont val="Segoe UI Symbol"/>
        <family val="2"/>
      </rPr>
      <t>⑤</t>
    </r>
    <r>
      <rPr>
        <b/>
        <sz val="18"/>
        <rFont val="宋体"/>
        <family val="2"/>
        <charset val="134"/>
      </rPr>
      <t xml:space="preserve"> </t>
    </r>
    <r>
      <rPr>
        <b/>
        <sz val="14"/>
        <rFont val="Arial"/>
        <family val="2"/>
      </rPr>
      <t>Simulation Information</t>
    </r>
  </si>
  <si>
    <t>Values</t>
  </si>
  <si>
    <t>Saturated zone thickness</t>
  </si>
  <si>
    <r>
      <t>b</t>
    </r>
    <r>
      <rPr>
        <i/>
        <vertAlign val="subscript"/>
        <sz val="11"/>
        <rFont val="Arial"/>
        <family val="2"/>
      </rPr>
      <t>sat</t>
    </r>
  </si>
  <si>
    <r>
      <t>α</t>
    </r>
    <r>
      <rPr>
        <i/>
        <vertAlign val="subscript"/>
        <sz val="11"/>
        <rFont val="Arial"/>
        <family val="2"/>
      </rPr>
      <t>v</t>
    </r>
  </si>
  <si>
    <t xml:space="preserve">Simulation time* </t>
    <phoneticPr fontId="12" type="noConversion"/>
  </si>
  <si>
    <r>
      <t>δ</t>
    </r>
    <r>
      <rPr>
        <i/>
        <vertAlign val="subscript"/>
        <sz val="11"/>
        <rFont val="Arial"/>
        <family val="2"/>
      </rPr>
      <t>gw</t>
    </r>
  </si>
  <si>
    <t xml:space="preserve">Output time interval* </t>
    <phoneticPr fontId="12" type="noConversion"/>
  </si>
  <si>
    <t xml:space="preserve">Dilution Factor* </t>
    <phoneticPr fontId="12" type="noConversion"/>
  </si>
  <si>
    <t xml:space="preserve">
</t>
    <phoneticPr fontId="12" type="noConversion"/>
  </si>
  <si>
    <t>Module1 Output Screen</t>
    <phoneticPr fontId="12" type="noConversion"/>
  </si>
  <si>
    <t>Mean</t>
    <phoneticPr fontId="12" type="noConversion"/>
  </si>
  <si>
    <t>Retardation, attenuation, and dilution factors (PFAS-LEACH-Analytical)</t>
    <phoneticPr fontId="12" type="noConversion"/>
  </si>
  <si>
    <t>Left bound mass discharge concentrations (ug/L)</t>
  </si>
  <si>
    <t>Mean mass discharge concentrations  (ug/L)</t>
  </si>
  <si>
    <t>Right bound mass discharge concentrations  (ug/L)</t>
  </si>
  <si>
    <t>Left bound groundwater concentrations  (ug/L)</t>
  </si>
  <si>
    <t>Mean groundwater concentrations  (ug/L)</t>
  </si>
  <si>
    <t>Right bound groundwater concentrations  (ug/L)</t>
  </si>
  <si>
    <t>Left bound mass discharge rate (ug/yr)</t>
    <phoneticPr fontId="12" type="noConversion"/>
  </si>
  <si>
    <t>Mean mass discharge rate (ug/yr)</t>
    <phoneticPr fontId="12" type="noConversion"/>
  </si>
  <si>
    <t>Right bound mass discharge rate (ug/yr)</t>
    <phoneticPr fontId="12" type="noConversion"/>
  </si>
  <si>
    <t>Left bound mass remaining in the vadose zone (ug)</t>
    <phoneticPr fontId="12" type="noConversion"/>
  </si>
  <si>
    <t>Mean mass remaining in the vadose zone (ug)</t>
    <phoneticPr fontId="12" type="noConversion"/>
  </si>
  <si>
    <t>Right bound mass remaining in the vadose zone (ug)</t>
    <phoneticPr fontId="12" type="noConversion"/>
  </si>
  <si>
    <t>Left bound mass remaining in the vadose zone (%)</t>
    <phoneticPr fontId="12" type="noConversion"/>
  </si>
  <si>
    <t>Mean mass remaining in the vadose zone (%)</t>
    <phoneticPr fontId="12" type="noConversion"/>
  </si>
  <si>
    <t>Right bound mass remaining in the vadose zone (%)</t>
    <phoneticPr fontId="12" type="noConversion"/>
  </si>
  <si>
    <t>Welcome to PFAS-LEACH Screening Tool - Version 1.0!</t>
  </si>
  <si>
    <r>
      <rPr>
        <b/>
        <sz val="14"/>
        <color theme="1"/>
        <rFont val="Times New Roman"/>
        <family val="1"/>
      </rPr>
      <t>University of Arizona</t>
    </r>
    <r>
      <rPr>
        <b/>
        <sz val="12"/>
        <color theme="1"/>
        <rFont val="Times New Roman"/>
        <family val="1"/>
      </rPr>
      <t xml:space="preserve"> - </t>
    </r>
    <r>
      <rPr>
        <sz val="12"/>
        <color theme="1"/>
        <rFont val="Times New Roman"/>
        <family val="1"/>
      </rPr>
      <t>Dept. of Hydrology and Atmosperic Sciences</t>
    </r>
    <r>
      <rPr>
        <vertAlign val="superscript"/>
        <sz val="12"/>
        <color theme="1"/>
        <rFont val="Times New Roman"/>
        <family val="1"/>
      </rPr>
      <t>1</t>
    </r>
    <r>
      <rPr>
        <sz val="12"/>
        <color theme="1"/>
        <rFont val="Times New Roman"/>
        <family val="1"/>
      </rPr>
      <t xml:space="preserve"> &amp; Dept. of Environmental Science</t>
    </r>
    <r>
      <rPr>
        <vertAlign val="superscript"/>
        <sz val="12"/>
        <color theme="1"/>
        <rFont val="Times New Roman"/>
        <family val="1"/>
      </rPr>
      <t>2</t>
    </r>
  </si>
  <si>
    <r>
      <rPr>
        <b/>
        <sz val="12"/>
        <color theme="1"/>
        <rFont val="Times New Roman"/>
        <family val="1"/>
      </rPr>
      <t>Developers</t>
    </r>
    <r>
      <rPr>
        <sz val="12"/>
        <color theme="1"/>
        <rFont val="Times New Roman"/>
        <family val="1"/>
      </rPr>
      <t xml:space="preserve"> - Jake Smith</t>
    </r>
    <r>
      <rPr>
        <vertAlign val="superscript"/>
        <sz val="12"/>
        <color theme="1"/>
        <rFont val="Times New Roman"/>
        <family val="1"/>
      </rPr>
      <t>1</t>
    </r>
    <r>
      <rPr>
        <sz val="12"/>
        <color theme="1"/>
        <rFont val="Times New Roman"/>
        <family val="1"/>
      </rPr>
      <t>, Dr. Bo Guo</t>
    </r>
    <r>
      <rPr>
        <vertAlign val="superscript"/>
        <sz val="12"/>
        <color theme="1"/>
        <rFont val="Times New Roman"/>
        <family val="1"/>
      </rPr>
      <t>1</t>
    </r>
    <r>
      <rPr>
        <b/>
        <vertAlign val="superscript"/>
        <sz val="12"/>
        <color theme="1"/>
        <rFont val="Times New Roman"/>
        <family val="1"/>
      </rPr>
      <t>*</t>
    </r>
    <r>
      <rPr>
        <sz val="12"/>
        <color theme="1"/>
        <rFont val="Times New Roman"/>
        <family val="1"/>
      </rPr>
      <t>, Min Ma</t>
    </r>
    <r>
      <rPr>
        <vertAlign val="superscript"/>
        <sz val="12"/>
        <color theme="1"/>
        <rFont val="Times New Roman"/>
        <family val="1"/>
      </rPr>
      <t>1</t>
    </r>
    <r>
      <rPr>
        <sz val="12"/>
        <color theme="1"/>
        <rFont val="Times New Roman"/>
        <family val="1"/>
      </rPr>
      <t xml:space="preserve"> </t>
    </r>
    <r>
      <rPr>
        <vertAlign val="superscript"/>
        <sz val="12"/>
        <color theme="1"/>
        <rFont val="Times New Roman"/>
        <family val="1"/>
      </rPr>
      <t xml:space="preserve">             </t>
    </r>
    <r>
      <rPr>
        <b/>
        <sz val="12"/>
        <color theme="1"/>
        <rFont val="Times New Roman"/>
        <family val="1"/>
      </rPr>
      <t>Contributor</t>
    </r>
    <r>
      <rPr>
        <sz val="12"/>
        <color rgb="FFFF0000"/>
        <rFont val="Times New Roman"/>
        <family val="1"/>
      </rPr>
      <t xml:space="preserve"> </t>
    </r>
    <r>
      <rPr>
        <sz val="12"/>
        <color theme="1"/>
        <rFont val="Times New Roman"/>
        <family val="1"/>
      </rPr>
      <t>- Dr. Mark L. Brusseau</t>
    </r>
    <r>
      <rPr>
        <vertAlign val="superscript"/>
        <sz val="12"/>
        <color theme="1"/>
        <rFont val="Times New Roman"/>
        <family val="1"/>
      </rPr>
      <t>1,2</t>
    </r>
  </si>
  <si>
    <r>
      <t>*</t>
    </r>
    <r>
      <rPr>
        <b/>
        <sz val="10"/>
        <color theme="1"/>
        <rFont val="Times New Roman"/>
        <family val="1"/>
      </rPr>
      <t>Corresponding author</t>
    </r>
    <r>
      <rPr>
        <sz val="10"/>
        <color theme="1"/>
        <rFont val="Times New Roman"/>
        <family val="1"/>
      </rPr>
      <t xml:space="preserve"> - Dr. Bo Guo - boguo@arizona.edu</t>
    </r>
  </si>
  <si>
    <t>name</t>
  </si>
  <si>
    <t>theta_r</t>
  </si>
  <si>
    <t>theta_s</t>
  </si>
  <si>
    <t>alpha</t>
  </si>
  <si>
    <t>bulk_density</t>
  </si>
  <si>
    <t>Ks</t>
  </si>
  <si>
    <r>
      <t>d</t>
    </r>
    <r>
      <rPr>
        <vertAlign val="subscript"/>
        <sz val="11"/>
        <color theme="1"/>
        <rFont val="Arial"/>
        <family val="2"/>
      </rPr>
      <t>50</t>
    </r>
    <phoneticPr fontId="12" type="noConversion"/>
  </si>
  <si>
    <r>
      <t>f</t>
    </r>
    <r>
      <rPr>
        <vertAlign val="subscript"/>
        <sz val="11"/>
        <color theme="1"/>
        <rFont val="Arial"/>
        <family val="2"/>
      </rPr>
      <t>oc</t>
    </r>
    <phoneticPr fontId="12" type="noConversion"/>
  </si>
  <si>
    <t>Sand</t>
  </si>
  <si>
    <t>Loamy Sand</t>
    <phoneticPr fontId="12" type="noConversion"/>
  </si>
  <si>
    <t xml:space="preserve">Loam </t>
    <phoneticPr fontId="12" type="noConversion"/>
  </si>
  <si>
    <t>Silt</t>
    <phoneticPr fontId="12" type="noConversion"/>
  </si>
  <si>
    <t>Silt Loam</t>
    <phoneticPr fontId="12" type="noConversion"/>
  </si>
  <si>
    <t>Sandy Clay Loam</t>
  </si>
  <si>
    <t>Clay Loam</t>
    <phoneticPr fontId="12" type="noConversion"/>
  </si>
  <si>
    <t>Silty Clay Loam</t>
    <phoneticPr fontId="12" type="noConversion"/>
  </si>
  <si>
    <t xml:space="preserve">Sandy Clay </t>
    <phoneticPr fontId="12" type="noConversion"/>
  </si>
  <si>
    <t xml:space="preserve">Silty Clay </t>
    <phoneticPr fontId="12" type="noConversion"/>
  </si>
  <si>
    <t xml:space="preserve">Clay </t>
    <phoneticPr fontId="12" type="noConversion"/>
  </si>
  <si>
    <r>
      <t>sigma</t>
    </r>
    <r>
      <rPr>
        <vertAlign val="subscript"/>
        <sz val="11"/>
        <color theme="1"/>
        <rFont val="Arial"/>
        <family val="2"/>
      </rPr>
      <t>0</t>
    </r>
    <phoneticPr fontId="12" type="noConversion"/>
  </si>
  <si>
    <r>
      <t>D</t>
    </r>
    <r>
      <rPr>
        <vertAlign val="subscript"/>
        <sz val="11"/>
        <color theme="1"/>
        <rFont val="Arial"/>
        <family val="2"/>
      </rPr>
      <t>0</t>
    </r>
    <phoneticPr fontId="12" type="noConversion"/>
  </si>
  <si>
    <r>
      <t>V</t>
    </r>
    <r>
      <rPr>
        <vertAlign val="subscript"/>
        <sz val="11"/>
        <color theme="1"/>
        <rFont val="Arial"/>
        <family val="2"/>
      </rPr>
      <t>m</t>
    </r>
    <phoneticPr fontId="12" type="noConversion"/>
  </si>
  <si>
    <r>
      <t>K</t>
    </r>
    <r>
      <rPr>
        <vertAlign val="subscript"/>
        <sz val="11"/>
        <color theme="0"/>
        <rFont val="Arial"/>
        <family val="2"/>
      </rPr>
      <t>oc</t>
    </r>
    <phoneticPr fontId="12" type="noConversion"/>
  </si>
  <si>
    <t>PFPeA</t>
  </si>
  <si>
    <t>PFHxA</t>
  </si>
  <si>
    <t>PFHpA</t>
  </si>
  <si>
    <t>PFOA</t>
  </si>
  <si>
    <t>PFNA</t>
  </si>
  <si>
    <t>PFDA</t>
  </si>
  <si>
    <t>PFBS</t>
  </si>
  <si>
    <t>PFHxS</t>
  </si>
  <si>
    <t>PFOS</t>
  </si>
  <si>
    <t>GenX</t>
  </si>
  <si>
    <t>(Equilibrium solid-phase sorption)</t>
    <phoneticPr fontId="12" type="noConversion"/>
  </si>
  <si>
    <t xml:space="preserve">
This Excel tool includes implementations of the Tiers 3 and 4 models (PFAS-LEACH-Analytical and PFAS-LEACH-DAF) of PFAS-LEACH. PFAS-LEACH is a comprehensive decision support platform for predicting PFAS leaching in source zones. 
</t>
    <phoneticPr fontId="12" type="noConversion"/>
  </si>
  <si>
    <t>Contact: Prof. Bo Guo (boguo@arizona.edu)</t>
    <phoneticPr fontId="12" type="noConversion"/>
  </si>
  <si>
    <t>This Excel Tool of the PFAS-LEACH Tiers 3 and 4 models (PFAS-LEACH-Analytical and PFAS-LEACH-DAF) was developed at the University of Arizona by Min Ma and Jacob Smith (equal contribution) under the direction of Prof. Bo Guo. The development was a collaborative effort with Prof. Mark Brusseau. 
We would like to acknowledge funding support from the Environmental Security Technology Certification Program (Project ER21-5041).</t>
    <phoneticPr fontId="12" type="noConversion"/>
  </si>
  <si>
    <t>PFAS concentration in a receptor well</t>
  </si>
  <si>
    <t>The main purpose of releasing this beta version of the Excel tool is to collect feedback and identify/fix potential bugs before we release the tool to a wider group. We greately appreciate your thoughts on how we should improve the usability and robustness of the Excel Tool. Report your feedback through the github repository under 'Issues' or by sending an email to boguo@arizona.edu.</t>
  </si>
  <si>
    <t>Version 1.0-beta</t>
  </si>
  <si>
    <r>
      <rPr>
        <b/>
        <sz val="12"/>
        <rFont val="Arial"/>
        <family val="2"/>
      </rPr>
      <t>Module1</t>
    </r>
    <r>
      <rPr>
        <sz val="12"/>
        <rFont val="Arial"/>
        <family val="2"/>
      </rPr>
      <t xml:space="preserve"> adds the capability of parameter sensitivity analysis. Each module includes an Input tab and an Output tab as user interfaces. We have also developed a </t>
    </r>
    <r>
      <rPr>
        <b/>
        <sz val="12"/>
        <rFont val="Arial"/>
        <family val="2"/>
      </rPr>
      <t>Module2</t>
    </r>
    <r>
      <rPr>
        <sz val="12"/>
        <rFont val="Arial"/>
        <family val="2"/>
      </rPr>
      <t xml:space="preserve"> that adds the additional capacity for conducting Monte-Carlo-type uncertainty analysis (currently under internal testing), which will be included in the next release.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</si>
</sst>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0.000"/>
    <numFmt numFmtId="165" formatCode="0.0_ "/>
    <numFmt numFmtId="166" formatCode="0.00_ "/>
    <numFmt numFmtId="167" formatCode="0.000_ "/>
    <numFmt numFmtId="168" formatCode="0.00_);[Red]\(0.00\)"/>
    <numFmt numFmtId="169" formatCode="0_ "/>
    <numFmt numFmtId="170" formatCode="0.0_);[Red]\(0.0\)"/>
    <numFmt numFmtId="171" formatCode="0.0"/>
    <numFmt numFmtId="172" formatCode="0.000_);[Red]\(0.000\)"/>
  </numFmts>
  <fonts count="117">
    <font>
      <sz val="11"/>
      <color theme="1"/>
      <name val="Calibri"/>
      <family val="2"/>
      <scheme val="minor"/>
    </font>
    <font>
      <sz val="11"/>
      <color theme="1"/>
      <name val="Times New Roman"/>
      <family val="1"/>
    </font>
    <font>
      <b/>
      <sz val="14"/>
      <color theme="1"/>
      <name val="Times New Roman"/>
      <family val="1"/>
    </font>
    <font>
      <b/>
      <sz val="12"/>
      <color theme="1"/>
      <name val="Times New Roman"/>
      <family val="1"/>
    </font>
    <font>
      <i/>
      <sz val="11"/>
      <color rgb="FFFF0000"/>
      <name val="Times New Roman"/>
      <family val="1"/>
    </font>
    <font>
      <b/>
      <sz val="10"/>
      <color theme="1"/>
      <name val="Times New Roman"/>
      <family val="1"/>
    </font>
    <font>
      <sz val="10"/>
      <color theme="1"/>
      <name val="Times New Roman"/>
      <family val="1"/>
    </font>
    <font>
      <sz val="24"/>
      <color theme="1"/>
      <name val="Times New Roman"/>
      <family val="1"/>
    </font>
    <font>
      <b/>
      <vertAlign val="superscript"/>
      <sz val="12"/>
      <color theme="1"/>
      <name val="Times New Roman"/>
      <family val="1"/>
    </font>
    <font>
      <sz val="12"/>
      <color theme="1"/>
      <name val="Times New Roman"/>
      <family val="1"/>
    </font>
    <font>
      <vertAlign val="superscript"/>
      <sz val="12"/>
      <color theme="1"/>
      <name val="Times New Roman"/>
      <family val="1"/>
    </font>
    <font>
      <sz val="12"/>
      <color rgb="FFFF0000"/>
      <name val="Times New Roman"/>
      <family val="1"/>
    </font>
    <font>
      <sz val="9"/>
      <name val="Calibri"/>
      <family val="3"/>
      <charset val="134"/>
      <scheme val="minor"/>
    </font>
    <font>
      <sz val="11"/>
      <color rgb="FFFF0000"/>
      <name val="Calibri"/>
      <family val="2"/>
      <scheme val="minor"/>
    </font>
    <font>
      <b/>
      <sz val="11"/>
      <color theme="1"/>
      <name val="Calibri"/>
      <family val="3"/>
      <charset val="134"/>
      <scheme val="minor"/>
    </font>
    <font>
      <sz val="11"/>
      <name val="Calibri"/>
      <family val="2"/>
      <scheme val="minor"/>
    </font>
    <font>
      <b/>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24"/>
      <color theme="1"/>
      <name val="Arial"/>
      <family val="2"/>
    </font>
    <font>
      <sz val="11"/>
      <color theme="1"/>
      <name val="Arial"/>
      <family val="2"/>
    </font>
    <font>
      <b/>
      <sz val="18"/>
      <color rgb="FFFF0000"/>
      <name val="Arial"/>
      <family val="2"/>
    </font>
    <font>
      <i/>
      <sz val="14"/>
      <color theme="1"/>
      <name val="Arial"/>
      <family val="2"/>
    </font>
    <font>
      <i/>
      <sz val="12"/>
      <color theme="1"/>
      <name val="Arial"/>
      <family val="2"/>
    </font>
    <font>
      <sz val="12"/>
      <color theme="1"/>
      <name val="Arial"/>
      <family val="2"/>
    </font>
    <font>
      <sz val="12"/>
      <color theme="8" tint="0.39997558519241921"/>
      <name val="Arial"/>
      <family val="2"/>
    </font>
    <font>
      <b/>
      <sz val="12"/>
      <color theme="1"/>
      <name val="Arial"/>
      <family val="2"/>
    </font>
    <font>
      <sz val="10"/>
      <color theme="1"/>
      <name val="Arial"/>
      <family val="2"/>
    </font>
    <font>
      <i/>
      <sz val="9"/>
      <color theme="1"/>
      <name val="Arial"/>
      <family val="2"/>
    </font>
    <font>
      <b/>
      <sz val="14"/>
      <color theme="1"/>
      <name val="Arial"/>
      <family val="2"/>
    </font>
    <font>
      <b/>
      <sz val="11"/>
      <color theme="1"/>
      <name val="Arial"/>
      <family val="2"/>
    </font>
    <font>
      <b/>
      <i/>
      <sz val="11"/>
      <color theme="1"/>
      <name val="Arial"/>
      <family val="2"/>
    </font>
    <font>
      <b/>
      <sz val="14"/>
      <name val="Arial"/>
      <family val="2"/>
    </font>
    <font>
      <i/>
      <sz val="10"/>
      <color theme="1"/>
      <name val="Arial"/>
      <family val="2"/>
    </font>
    <font>
      <i/>
      <sz val="8"/>
      <color theme="1"/>
      <name val="Arial"/>
      <family val="2"/>
    </font>
    <font>
      <sz val="10"/>
      <name val="Arial"/>
      <family val="2"/>
    </font>
    <font>
      <sz val="12"/>
      <name val="Arial"/>
      <family val="2"/>
    </font>
    <font>
      <sz val="11"/>
      <name val="Arial"/>
      <family val="2"/>
    </font>
    <font>
      <b/>
      <sz val="11"/>
      <name val="Arial"/>
      <family val="2"/>
    </font>
    <font>
      <vertAlign val="superscript"/>
      <sz val="11"/>
      <name val="Arial"/>
      <family val="2"/>
    </font>
    <font>
      <i/>
      <sz val="11"/>
      <color theme="1"/>
      <name val="Arial"/>
      <family val="2"/>
    </font>
    <font>
      <sz val="11"/>
      <color rgb="FFFF0000"/>
      <name val="Arial"/>
      <family val="2"/>
    </font>
    <font>
      <sz val="8"/>
      <color theme="1"/>
      <name val="Arial"/>
      <family val="2"/>
    </font>
    <font>
      <i/>
      <sz val="11"/>
      <name val="Arial"/>
      <family val="2"/>
    </font>
    <font>
      <i/>
      <vertAlign val="subscript"/>
      <sz val="11"/>
      <name val="Arial"/>
      <family val="2"/>
    </font>
    <font>
      <i/>
      <sz val="8"/>
      <name val="Arial"/>
      <family val="2"/>
    </font>
    <font>
      <i/>
      <vertAlign val="subscript"/>
      <sz val="10"/>
      <name val="Arial"/>
      <family val="2"/>
    </font>
    <font>
      <i/>
      <sz val="10"/>
      <name val="Arial"/>
      <family val="2"/>
    </font>
    <font>
      <i/>
      <vertAlign val="subscript"/>
      <sz val="11"/>
      <color theme="1"/>
      <name val="Arial"/>
      <family val="2"/>
    </font>
    <font>
      <sz val="14"/>
      <color theme="1"/>
      <name val="Arial"/>
      <family val="2"/>
    </font>
    <font>
      <sz val="11"/>
      <color theme="0" tint="-0.249977111117893"/>
      <name val="Arial"/>
      <family val="2"/>
    </font>
    <font>
      <b/>
      <sz val="10"/>
      <name val="Arial"/>
      <family val="2"/>
    </font>
    <font>
      <sz val="8"/>
      <name val="Arial"/>
      <family val="2"/>
    </font>
    <font>
      <vertAlign val="subscript"/>
      <sz val="10"/>
      <name val="Arial"/>
      <family val="2"/>
    </font>
    <font>
      <sz val="16"/>
      <color theme="1"/>
      <name val="Arial"/>
      <family val="2"/>
    </font>
    <font>
      <sz val="9"/>
      <color theme="1"/>
      <name val="Arial"/>
      <family val="2"/>
    </font>
    <font>
      <b/>
      <sz val="14"/>
      <color theme="1"/>
      <name val="宋体"/>
      <family val="2"/>
      <charset val="134"/>
    </font>
    <font>
      <b/>
      <sz val="16"/>
      <color theme="1"/>
      <name val="Segoe UI Symbol"/>
      <family val="2"/>
    </font>
    <font>
      <b/>
      <sz val="16"/>
      <color theme="1"/>
      <name val="Aharoni"/>
      <charset val="177"/>
    </font>
    <font>
      <b/>
      <sz val="16"/>
      <color theme="1"/>
      <name val="宋体"/>
      <family val="2"/>
      <charset val="134"/>
    </font>
    <font>
      <b/>
      <sz val="16"/>
      <name val="Segoe UI Symbol"/>
      <family val="2"/>
    </font>
    <font>
      <sz val="6"/>
      <color theme="1" tint="0.249977111117893"/>
      <name val="Arial"/>
      <family val="2"/>
    </font>
    <font>
      <sz val="9"/>
      <color theme="1" tint="0.34998626667073579"/>
      <name val="Arial"/>
      <family val="2"/>
    </font>
    <font>
      <b/>
      <sz val="18"/>
      <color theme="1"/>
      <name val="Segoe UI Symbol"/>
      <family val="2"/>
    </font>
    <font>
      <sz val="8"/>
      <color theme="1" tint="0.34998626667073579"/>
      <name val="Arial"/>
      <family val="2"/>
    </font>
    <font>
      <b/>
      <sz val="20"/>
      <color theme="1"/>
      <name val="Arial"/>
      <family val="2"/>
    </font>
    <font>
      <b/>
      <sz val="18"/>
      <name val="Segoe UI Symbol"/>
      <family val="2"/>
    </font>
    <font>
      <b/>
      <sz val="18"/>
      <name val="宋体"/>
      <family val="2"/>
      <charset val="134"/>
    </font>
    <font>
      <b/>
      <sz val="18"/>
      <color theme="1"/>
      <name val="宋体"/>
      <family val="2"/>
      <charset val="134"/>
    </font>
    <font>
      <b/>
      <sz val="10"/>
      <color theme="0" tint="-0.14999847407452621"/>
      <name val="Arial"/>
      <family val="2"/>
    </font>
    <font>
      <sz val="11"/>
      <color theme="0"/>
      <name val="Arial"/>
      <family val="2"/>
    </font>
    <font>
      <i/>
      <vertAlign val="subscript"/>
      <sz val="14"/>
      <color theme="1"/>
      <name val="Arial"/>
      <family val="2"/>
    </font>
    <font>
      <b/>
      <sz val="22"/>
      <color theme="1"/>
      <name val="Arial"/>
      <family val="2"/>
    </font>
    <font>
      <vertAlign val="subscript"/>
      <sz val="11"/>
      <color theme="1"/>
      <name val="Arial"/>
      <family val="2"/>
    </font>
    <font>
      <vertAlign val="subscript"/>
      <sz val="11"/>
      <color theme="0"/>
      <name val="Arial"/>
      <family val="2"/>
    </font>
    <font>
      <b/>
      <sz val="18"/>
      <color theme="1"/>
      <name val="Arial"/>
      <family val="2"/>
    </font>
    <font>
      <sz val="10.5"/>
      <color theme="1"/>
      <name val="Arial"/>
      <family val="2"/>
    </font>
    <font>
      <sz val="11"/>
      <color theme="2"/>
      <name val="Arial"/>
      <family val="2"/>
    </font>
    <font>
      <sz val="14"/>
      <color rgb="FF000000"/>
      <name val="Arial"/>
      <family val="2"/>
    </font>
    <font>
      <b/>
      <sz val="18"/>
      <color rgb="FF000000"/>
      <name val="Arial"/>
      <family val="2"/>
    </font>
    <font>
      <i/>
      <sz val="14"/>
      <color rgb="FF000000"/>
      <name val="Arial"/>
      <family val="2"/>
    </font>
    <font>
      <i/>
      <vertAlign val="subscript"/>
      <sz val="14"/>
      <color rgb="FF000000"/>
      <name val="Arial"/>
      <family val="2"/>
    </font>
    <font>
      <b/>
      <sz val="16"/>
      <color theme="1"/>
      <name val="Arial"/>
      <family val="2"/>
    </font>
    <font>
      <b/>
      <sz val="12"/>
      <name val="Arial"/>
      <family val="2"/>
    </font>
    <font>
      <b/>
      <sz val="23.5"/>
      <color theme="1"/>
      <name val="Arial"/>
      <family val="2"/>
    </font>
    <font>
      <b/>
      <sz val="10.5"/>
      <color rgb="FFAE0202"/>
      <name val="Arial"/>
      <family val="2"/>
    </font>
    <font>
      <sz val="10"/>
      <color theme="1"/>
      <name val="Segoe UI Symbol"/>
      <family val="2"/>
    </font>
    <font>
      <sz val="11"/>
      <color theme="1"/>
      <name val="Segoe UI Symbol"/>
      <family val="2"/>
    </font>
    <font>
      <b/>
      <sz val="11"/>
      <color rgb="FFAE0202"/>
      <name val="Arial"/>
      <family val="2"/>
    </font>
    <font>
      <sz val="18"/>
      <color theme="1"/>
      <name val="Arial"/>
      <family val="2"/>
    </font>
    <font>
      <i/>
      <u/>
      <sz val="10"/>
      <color theme="1"/>
      <name val="Arial"/>
      <family val="2"/>
    </font>
    <font>
      <i/>
      <u/>
      <sz val="11"/>
      <color theme="1"/>
      <name val="Arial"/>
      <family val="2"/>
    </font>
    <font>
      <sz val="11"/>
      <color rgb="FFAE0202"/>
      <name val="Arial"/>
      <family val="2"/>
    </font>
    <font>
      <sz val="8"/>
      <color rgb="FF2A2F45"/>
      <name val="Segoe UI"/>
      <family val="2"/>
    </font>
    <font>
      <sz val="5"/>
      <color rgb="FF2A2B2E"/>
      <name val="Segoe UI"/>
      <family val="2"/>
    </font>
    <font>
      <sz val="10"/>
      <color rgb="FF000000"/>
      <name val="Arial"/>
      <family val="2"/>
    </font>
    <font>
      <i/>
      <sz val="10"/>
      <color rgb="FF000000"/>
      <name val="Arial"/>
      <family val="2"/>
    </font>
    <font>
      <i/>
      <vertAlign val="subscript"/>
      <sz val="10"/>
      <color rgb="FF000000"/>
      <name val="Arial"/>
      <family val="2"/>
    </font>
    <font>
      <sz val="11"/>
      <color rgb="FF000000"/>
      <name val="Arial"/>
      <family val="2"/>
    </font>
    <font>
      <sz val="9"/>
      <color rgb="FF000000"/>
      <name val="Arial"/>
      <family val="2"/>
    </font>
    <font>
      <i/>
      <sz val="9"/>
      <color rgb="FF000000"/>
      <name val="Arial"/>
      <family val="2"/>
    </font>
    <font>
      <vertAlign val="subscript"/>
      <sz val="10"/>
      <color rgb="FF000000"/>
      <name val="Arial"/>
      <family val="2"/>
    </font>
    <font>
      <sz val="16"/>
      <color rgb="FF000000"/>
      <name val="Arial"/>
      <family val="2"/>
    </font>
    <font>
      <sz val="8"/>
      <color rgb="FF000000"/>
      <name val="Arial"/>
      <family val="2"/>
    </font>
  </fonts>
  <fills count="43">
    <fill>
      <patternFill patternType="none"/>
    </fill>
    <fill>
      <patternFill patternType="gray125"/>
    </fill>
    <fill>
      <patternFill patternType="solid">
        <fgColor theme="0" tint="-0.14999847407452621"/>
        <bgColor indexed="64"/>
      </patternFill>
    </fill>
    <fill>
      <patternFill patternType="solid">
        <fgColor theme="8" tint="0.39997558519241921"/>
        <bgColor indexed="64"/>
      </patternFill>
    </fill>
    <fill>
      <patternFill patternType="solid">
        <fgColor theme="0"/>
        <bgColor indexed="64"/>
      </patternFill>
    </fill>
    <fill>
      <patternFill patternType="solid">
        <fgColor theme="8"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rgb="FFFDFAD7"/>
        <bgColor indexed="64"/>
      </patternFill>
    </fill>
    <fill>
      <patternFill patternType="solid">
        <fgColor rgb="FFE7E6E6"/>
        <bgColor rgb="FF000000"/>
      </patternFill>
    </fill>
    <fill>
      <patternFill patternType="solid">
        <fgColor rgb="FFD0CECE"/>
        <bgColor rgb="FF000000"/>
      </patternFill>
    </fill>
  </fills>
  <borders count="7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medium">
        <color indexed="64"/>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style="thin">
        <color indexed="64"/>
      </left>
      <right/>
      <top style="thin">
        <color indexed="64"/>
      </top>
      <bottom style="thin">
        <color indexed="64"/>
      </bottom>
      <diagonal/>
    </border>
    <border>
      <left style="medium">
        <color indexed="64"/>
      </left>
      <right/>
      <top style="thin">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medium">
        <color indexed="64"/>
      </right>
      <top/>
      <bottom style="thin">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bottom style="thin">
        <color indexed="64"/>
      </bottom>
      <diagonal/>
    </border>
    <border>
      <left/>
      <right style="thin">
        <color indexed="64"/>
      </right>
      <top/>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thin">
        <color indexed="64"/>
      </right>
      <top/>
      <bottom style="medium">
        <color indexed="64"/>
      </bottom>
      <diagonal/>
    </border>
    <border>
      <left/>
      <right style="thin">
        <color theme="0" tint="-0.249977111117893"/>
      </right>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theme="0" tint="-0.249977111117893"/>
      </left>
      <right/>
      <top/>
      <bottom/>
      <diagonal/>
    </border>
    <border>
      <left style="thin">
        <color indexed="64"/>
      </left>
      <right/>
      <top style="medium">
        <color indexed="64"/>
      </top>
      <bottom style="thin">
        <color indexed="64"/>
      </bottom>
      <diagonal/>
    </border>
    <border>
      <left style="medium">
        <color indexed="64"/>
      </left>
      <right style="thin">
        <color theme="1" tint="0.249977111117893"/>
      </right>
      <top style="thin">
        <color theme="1" tint="0.249977111117893"/>
      </top>
      <bottom style="thin">
        <color theme="1" tint="0.249977111117893"/>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style="thin">
        <color theme="1" tint="0.499984740745262"/>
      </top>
      <bottom style="medium">
        <color indexed="64"/>
      </bottom>
      <diagonal/>
    </border>
    <border>
      <left style="thin">
        <color theme="0" tint="-0.249977111117893"/>
      </left>
      <right/>
      <top style="medium">
        <color indexed="64"/>
      </top>
      <bottom/>
      <diagonal/>
    </border>
    <border>
      <left style="thin">
        <color theme="1" tint="0.499984740745262"/>
      </left>
      <right style="thin">
        <color theme="1" tint="0.499984740745262"/>
      </right>
      <top style="medium">
        <color indexed="64"/>
      </top>
      <bottom style="thin">
        <color theme="1" tint="0.499984740745262"/>
      </bottom>
      <diagonal/>
    </border>
    <border>
      <left/>
      <right style="thin">
        <color theme="0" tint="-0.249977111117893"/>
      </right>
      <top style="medium">
        <color indexed="64"/>
      </top>
      <bottom/>
      <diagonal/>
    </border>
  </borders>
  <cellStyleXfs count="42">
    <xf numFmtId="0" fontId="0" fillId="0" borderId="0"/>
    <xf numFmtId="0" fontId="18" fillId="0" borderId="0" applyNumberFormat="0" applyFill="0" applyBorder="0" applyAlignment="0" applyProtection="0"/>
    <xf numFmtId="0" fontId="19" fillId="0" borderId="43" applyNumberFormat="0" applyFill="0" applyAlignment="0" applyProtection="0"/>
    <xf numFmtId="0" fontId="20" fillId="0" borderId="44" applyNumberFormat="0" applyFill="0" applyAlignment="0" applyProtection="0"/>
    <xf numFmtId="0" fontId="21" fillId="0" borderId="45" applyNumberFormat="0" applyFill="0" applyAlignment="0" applyProtection="0"/>
    <xf numFmtId="0" fontId="21" fillId="0" borderId="0" applyNumberFormat="0" applyFill="0" applyBorder="0" applyAlignment="0" applyProtection="0"/>
    <xf numFmtId="0" fontId="22" fillId="6" borderId="0" applyNumberFormat="0" applyBorder="0" applyAlignment="0" applyProtection="0"/>
    <xf numFmtId="0" fontId="23" fillId="7" borderId="0" applyNumberFormat="0" applyBorder="0" applyAlignment="0" applyProtection="0"/>
    <xf numFmtId="0" fontId="24" fillId="8" borderId="0" applyNumberFormat="0" applyBorder="0" applyAlignment="0" applyProtection="0"/>
    <xf numFmtId="0" fontId="25" fillId="9" borderId="46" applyNumberFormat="0" applyAlignment="0" applyProtection="0"/>
    <xf numFmtId="0" fontId="26" fillId="10" borderId="47" applyNumberFormat="0" applyAlignment="0" applyProtection="0"/>
    <xf numFmtId="0" fontId="27" fillId="10" borderId="46" applyNumberFormat="0" applyAlignment="0" applyProtection="0"/>
    <xf numFmtId="0" fontId="28" fillId="0" borderId="48" applyNumberFormat="0" applyFill="0" applyAlignment="0" applyProtection="0"/>
    <xf numFmtId="0" fontId="29" fillId="11" borderId="49" applyNumberFormat="0" applyAlignment="0" applyProtection="0"/>
    <xf numFmtId="0" fontId="13" fillId="0" borderId="0" applyNumberFormat="0" applyFill="0" applyBorder="0" applyAlignment="0" applyProtection="0"/>
    <xf numFmtId="0" fontId="17" fillId="12" borderId="50" applyNumberFormat="0" applyFont="0" applyAlignment="0" applyProtection="0"/>
    <xf numFmtId="0" fontId="30" fillId="0" borderId="0" applyNumberFormat="0" applyFill="0" applyBorder="0" applyAlignment="0" applyProtection="0"/>
    <xf numFmtId="0" fontId="16" fillId="0" borderId="51" applyNumberFormat="0" applyFill="0" applyAlignment="0" applyProtection="0"/>
    <xf numFmtId="0" fontId="31" fillId="13"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31" fillId="17" borderId="0" applyNumberFormat="0" applyBorder="0" applyAlignment="0" applyProtection="0"/>
    <xf numFmtId="0" fontId="17" fillId="18" borderId="0" applyNumberFormat="0" applyBorder="0" applyAlignment="0" applyProtection="0"/>
    <xf numFmtId="0" fontId="17" fillId="19" borderId="0" applyNumberFormat="0" applyBorder="0" applyAlignment="0" applyProtection="0"/>
    <xf numFmtId="0" fontId="17" fillId="20" borderId="0" applyNumberFormat="0" applyBorder="0" applyAlignment="0" applyProtection="0"/>
    <xf numFmtId="0" fontId="31" fillId="21" borderId="0" applyNumberFormat="0" applyBorder="0" applyAlignment="0" applyProtection="0"/>
    <xf numFmtId="0" fontId="17" fillId="22" borderId="0" applyNumberFormat="0" applyBorder="0" applyAlignment="0" applyProtection="0"/>
    <xf numFmtId="0" fontId="17" fillId="23" borderId="0" applyNumberFormat="0" applyBorder="0" applyAlignment="0" applyProtection="0"/>
    <xf numFmtId="0" fontId="17" fillId="24" borderId="0" applyNumberFormat="0" applyBorder="0" applyAlignment="0" applyProtection="0"/>
    <xf numFmtId="0" fontId="31" fillId="25" borderId="0" applyNumberFormat="0" applyBorder="0" applyAlignment="0" applyProtection="0"/>
    <xf numFmtId="0" fontId="17" fillId="26" borderId="0" applyNumberFormat="0" applyBorder="0" applyAlignment="0" applyProtection="0"/>
    <xf numFmtId="0" fontId="17" fillId="27" borderId="0" applyNumberFormat="0" applyBorder="0" applyAlignment="0" applyProtection="0"/>
    <xf numFmtId="0" fontId="17" fillId="28" borderId="0" applyNumberFormat="0" applyBorder="0" applyAlignment="0" applyProtection="0"/>
    <xf numFmtId="0" fontId="31" fillId="29" borderId="0" applyNumberFormat="0" applyBorder="0" applyAlignment="0" applyProtection="0"/>
    <xf numFmtId="0" fontId="17" fillId="30" borderId="0" applyNumberFormat="0" applyBorder="0" applyAlignment="0" applyProtection="0"/>
    <xf numFmtId="0" fontId="17" fillId="31" borderId="0" applyNumberFormat="0" applyBorder="0" applyAlignment="0" applyProtection="0"/>
    <xf numFmtId="0" fontId="17" fillId="32" borderId="0" applyNumberFormat="0" applyBorder="0" applyAlignment="0" applyProtection="0"/>
    <xf numFmtId="0" fontId="31" fillId="33" borderId="0" applyNumberFormat="0" applyBorder="0" applyAlignment="0" applyProtection="0"/>
    <xf numFmtId="0" fontId="17" fillId="34" borderId="0" applyNumberFormat="0" applyBorder="0" applyAlignment="0" applyProtection="0"/>
    <xf numFmtId="0" fontId="17" fillId="35" borderId="0" applyNumberFormat="0" applyBorder="0" applyAlignment="0" applyProtection="0"/>
    <xf numFmtId="0" fontId="17" fillId="36" borderId="0" applyNumberFormat="0" applyBorder="0" applyAlignment="0" applyProtection="0"/>
  </cellStyleXfs>
  <cellXfs count="427">
    <xf numFmtId="0" fontId="0" fillId="0" borderId="0" xfId="0"/>
    <xf numFmtId="0" fontId="1" fillId="2" borderId="0" xfId="0" applyFont="1" applyFill="1"/>
    <xf numFmtId="0" fontId="1" fillId="3" borderId="0" xfId="0" applyFont="1" applyFill="1"/>
    <xf numFmtId="0" fontId="4" fillId="2" borderId="0" xfId="0" applyFont="1" applyFill="1"/>
    <xf numFmtId="0" fontId="6" fillId="2" borderId="0" xfId="0" applyFont="1" applyFill="1"/>
    <xf numFmtId="0" fontId="7" fillId="3" borderId="0" xfId="0" applyFont="1" applyFill="1"/>
    <xf numFmtId="0" fontId="9" fillId="3" borderId="0" xfId="0" applyFont="1" applyFill="1" applyAlignment="1">
      <alignment vertical="center"/>
    </xf>
    <xf numFmtId="0" fontId="15" fillId="0" borderId="0" xfId="0" applyFont="1"/>
    <xf numFmtId="169" fontId="50" fillId="5" borderId="31" xfId="0" applyNumberFormat="1" applyFont="1" applyFill="1" applyBorder="1" applyAlignment="1" applyProtection="1">
      <alignment horizontal="center" vertical="center"/>
      <protection locked="0"/>
    </xf>
    <xf numFmtId="166" fontId="50" fillId="5" borderId="32" xfId="0" applyNumberFormat="1" applyFont="1" applyFill="1" applyBorder="1" applyAlignment="1" applyProtection="1">
      <alignment horizontal="center" vertical="center"/>
      <protection locked="0"/>
    </xf>
    <xf numFmtId="164" fontId="50" fillId="5" borderId="32" xfId="0" applyNumberFormat="1" applyFont="1" applyFill="1" applyBorder="1" applyAlignment="1" applyProtection="1">
      <alignment horizontal="center" vertical="center"/>
      <protection locked="0"/>
    </xf>
    <xf numFmtId="164" fontId="50" fillId="5" borderId="31" xfId="0" applyNumberFormat="1" applyFont="1" applyFill="1" applyBorder="1" applyAlignment="1" applyProtection="1">
      <alignment horizontal="center" vertical="center"/>
      <protection locked="0"/>
    </xf>
    <xf numFmtId="11" fontId="50" fillId="5" borderId="32" xfId="0" applyNumberFormat="1" applyFont="1" applyFill="1" applyBorder="1" applyAlignment="1" applyProtection="1">
      <alignment horizontal="center" vertical="center"/>
      <protection locked="0"/>
    </xf>
    <xf numFmtId="166" fontId="50" fillId="4" borderId="32" xfId="0" applyNumberFormat="1" applyFont="1" applyFill="1" applyBorder="1" applyAlignment="1" applyProtection="1">
      <alignment horizontal="center" vertical="center"/>
      <protection locked="0"/>
    </xf>
    <xf numFmtId="164" fontId="50" fillId="4" borderId="32" xfId="0" applyNumberFormat="1" applyFont="1" applyFill="1" applyBorder="1" applyAlignment="1" applyProtection="1">
      <alignment horizontal="center" vertical="center"/>
      <protection locked="0"/>
    </xf>
    <xf numFmtId="166" fontId="50" fillId="5" borderId="1" xfId="0" applyNumberFormat="1" applyFont="1" applyFill="1" applyBorder="1" applyAlignment="1" applyProtection="1">
      <alignment horizontal="center" vertical="center"/>
      <protection locked="0"/>
    </xf>
    <xf numFmtId="0" fontId="50" fillId="5" borderId="55" xfId="0" applyFont="1" applyFill="1" applyBorder="1" applyAlignment="1" applyProtection="1">
      <alignment horizontal="center" vertical="center"/>
      <protection locked="0"/>
    </xf>
    <xf numFmtId="0" fontId="50" fillId="5" borderId="35" xfId="0" applyFont="1" applyFill="1" applyBorder="1" applyAlignment="1" applyProtection="1">
      <alignment horizontal="center" vertical="center"/>
      <protection locked="0"/>
    </xf>
    <xf numFmtId="0" fontId="50" fillId="5" borderId="41" xfId="0" applyFont="1" applyFill="1" applyBorder="1" applyAlignment="1" applyProtection="1">
      <alignment horizontal="center" vertical="center"/>
      <protection locked="0"/>
    </xf>
    <xf numFmtId="165" fontId="50" fillId="5" borderId="32" xfId="0" applyNumberFormat="1" applyFont="1" applyFill="1" applyBorder="1" applyAlignment="1" applyProtection="1">
      <alignment horizontal="center" vertical="center"/>
      <protection locked="0"/>
    </xf>
    <xf numFmtId="165" fontId="50" fillId="5" borderId="31" xfId="0" applyNumberFormat="1" applyFont="1" applyFill="1" applyBorder="1" applyAlignment="1" applyProtection="1">
      <alignment horizontal="center" vertical="center"/>
      <protection locked="0"/>
    </xf>
    <xf numFmtId="11" fontId="50" fillId="4" borderId="31" xfId="0" applyNumberFormat="1" applyFont="1" applyFill="1" applyBorder="1" applyAlignment="1" applyProtection="1">
      <alignment horizontal="center" vertical="center"/>
      <protection locked="0"/>
    </xf>
    <xf numFmtId="11" fontId="50" fillId="5" borderId="53" xfId="0" applyNumberFormat="1" applyFont="1" applyFill="1" applyBorder="1" applyAlignment="1" applyProtection="1">
      <alignment horizontal="center" vertical="center"/>
      <protection locked="0"/>
    </xf>
    <xf numFmtId="0" fontId="50" fillId="5" borderId="22" xfId="0" applyFont="1" applyFill="1" applyBorder="1" applyAlignment="1" applyProtection="1">
      <alignment horizontal="center" vertical="center"/>
      <protection locked="0"/>
    </xf>
    <xf numFmtId="0" fontId="50" fillId="5" borderId="23" xfId="0" applyFont="1" applyFill="1" applyBorder="1" applyAlignment="1" applyProtection="1">
      <alignment horizontal="center" vertical="center"/>
      <protection locked="0"/>
    </xf>
    <xf numFmtId="0" fontId="50" fillId="5" borderId="29" xfId="0" applyFont="1" applyFill="1" applyBorder="1" applyAlignment="1" applyProtection="1">
      <alignment horizontal="center" vertical="center"/>
      <protection locked="0"/>
    </xf>
    <xf numFmtId="169" fontId="50" fillId="5" borderId="32" xfId="0" applyNumberFormat="1" applyFont="1" applyFill="1" applyBorder="1" applyAlignment="1" applyProtection="1">
      <alignment horizontal="center" vertical="center"/>
      <protection locked="0"/>
    </xf>
    <xf numFmtId="166" fontId="50" fillId="5" borderId="31" xfId="0" applyNumberFormat="1" applyFont="1" applyFill="1" applyBorder="1" applyAlignment="1" applyProtection="1">
      <alignment horizontal="center" vertical="center"/>
      <protection locked="0"/>
    </xf>
    <xf numFmtId="165" fontId="50" fillId="4" borderId="32" xfId="0" applyNumberFormat="1" applyFont="1" applyFill="1" applyBorder="1" applyAlignment="1" applyProtection="1">
      <alignment horizontal="center" vertical="center"/>
      <protection locked="0"/>
    </xf>
    <xf numFmtId="165" fontId="50" fillId="4" borderId="33" xfId="0" applyNumberFormat="1" applyFont="1" applyFill="1" applyBorder="1" applyAlignment="1" applyProtection="1">
      <alignment horizontal="center" vertical="center"/>
      <protection locked="0"/>
    </xf>
    <xf numFmtId="0" fontId="33" fillId="4" borderId="1" xfId="0" applyFont="1" applyFill="1" applyBorder="1" applyAlignment="1" applyProtection="1">
      <alignment horizontal="right" vertical="center"/>
      <protection locked="0"/>
    </xf>
    <xf numFmtId="0" fontId="33" fillId="4" borderId="3" xfId="0" applyFont="1" applyFill="1" applyBorder="1" applyAlignment="1" applyProtection="1">
      <alignment horizontal="right" vertical="center"/>
      <protection locked="0"/>
    </xf>
    <xf numFmtId="0" fontId="33" fillId="4" borderId="18" xfId="0" applyFont="1" applyFill="1" applyBorder="1" applyAlignment="1" applyProtection="1">
      <alignment horizontal="right" vertical="center"/>
      <protection locked="0"/>
    </xf>
    <xf numFmtId="0" fontId="33" fillId="4" borderId="18" xfId="0" applyFont="1" applyFill="1" applyBorder="1" applyAlignment="1" applyProtection="1">
      <alignment horizontal="right"/>
      <protection locked="0"/>
    </xf>
    <xf numFmtId="0" fontId="42" fillId="4" borderId="18" xfId="0" applyFont="1" applyFill="1" applyBorder="1" applyAlignment="1" applyProtection="1">
      <alignment horizontal="right"/>
      <protection locked="0"/>
    </xf>
    <xf numFmtId="0" fontId="33" fillId="4" borderId="20" xfId="0" applyFont="1" applyFill="1" applyBorder="1" applyAlignment="1" applyProtection="1">
      <alignment horizontal="right"/>
      <protection locked="0"/>
    </xf>
    <xf numFmtId="0" fontId="33" fillId="37" borderId="0" xfId="0" applyFont="1" applyFill="1"/>
    <xf numFmtId="0" fontId="33" fillId="37" borderId="0" xfId="0" applyFont="1" applyFill="1" applyAlignment="1">
      <alignment horizontal="center" vertical="center"/>
    </xf>
    <xf numFmtId="0" fontId="33" fillId="37" borderId="0" xfId="0" applyFont="1" applyFill="1" applyAlignment="1">
      <alignment vertical="center" wrapText="1"/>
    </xf>
    <xf numFmtId="0" fontId="32" fillId="37" borderId="0" xfId="0" applyFont="1" applyFill="1" applyAlignment="1">
      <alignment vertical="center"/>
    </xf>
    <xf numFmtId="0" fontId="33" fillId="5" borderId="1" xfId="0" applyFont="1" applyFill="1" applyBorder="1" applyAlignment="1" applyProtection="1">
      <alignment horizontal="center" vertical="center" wrapText="1"/>
      <protection locked="0"/>
    </xf>
    <xf numFmtId="0" fontId="33" fillId="37" borderId="0" xfId="0" applyFont="1" applyFill="1" applyAlignment="1">
      <alignment horizontal="left" vertical="center"/>
    </xf>
    <xf numFmtId="0" fontId="33" fillId="37" borderId="0" xfId="0" applyFont="1" applyFill="1" applyAlignment="1">
      <alignment vertical="top" wrapText="1"/>
    </xf>
    <xf numFmtId="0" fontId="33" fillId="4" borderId="25" xfId="0" applyFont="1" applyFill="1" applyBorder="1" applyAlignment="1" applyProtection="1">
      <alignment horizontal="right"/>
      <protection locked="0"/>
    </xf>
    <xf numFmtId="0" fontId="33" fillId="0" borderId="26" xfId="0" applyFont="1" applyBorder="1" applyAlignment="1" applyProtection="1">
      <alignment horizontal="right" vertical="center"/>
      <protection locked="0"/>
    </xf>
    <xf numFmtId="0" fontId="33" fillId="0" borderId="17" xfId="0" applyFont="1" applyBorder="1" applyAlignment="1" applyProtection="1">
      <alignment horizontal="right"/>
      <protection locked="0"/>
    </xf>
    <xf numFmtId="0" fontId="33" fillId="0" borderId="18" xfId="0" applyFont="1" applyBorder="1" applyAlignment="1" applyProtection="1">
      <alignment horizontal="right" vertical="center"/>
      <protection locked="0"/>
    </xf>
    <xf numFmtId="0" fontId="33" fillId="0" borderId="18" xfId="0" applyFont="1" applyBorder="1" applyAlignment="1" applyProtection="1">
      <alignment horizontal="right"/>
      <protection locked="0"/>
    </xf>
    <xf numFmtId="0" fontId="33" fillId="0" borderId="19" xfId="0" applyFont="1" applyBorder="1" applyAlignment="1" applyProtection="1">
      <alignment horizontal="right"/>
      <protection locked="0"/>
    </xf>
    <xf numFmtId="0" fontId="33" fillId="0" borderId="20" xfId="0" applyFont="1" applyBorder="1" applyAlignment="1" applyProtection="1">
      <alignment horizontal="right"/>
      <protection locked="0"/>
    </xf>
    <xf numFmtId="0" fontId="0" fillId="37" borderId="0" xfId="0" applyFill="1"/>
    <xf numFmtId="0" fontId="0" fillId="37" borderId="7" xfId="0" applyFill="1" applyBorder="1"/>
    <xf numFmtId="0" fontId="0" fillId="37" borderId="8" xfId="0" applyFill="1" applyBorder="1"/>
    <xf numFmtId="0" fontId="0" fillId="37" borderId="9" xfId="0" applyFill="1" applyBorder="1"/>
    <xf numFmtId="0" fontId="0" fillId="37" borderId="4" xfId="0" applyFill="1" applyBorder="1"/>
    <xf numFmtId="0" fontId="0" fillId="37" borderId="10" xfId="0" applyFill="1" applyBorder="1"/>
    <xf numFmtId="11" fontId="0" fillId="37" borderId="0" xfId="0" applyNumberFormat="1" applyFill="1"/>
    <xf numFmtId="0" fontId="62" fillId="37" borderId="0" xfId="0" applyFont="1" applyFill="1" applyAlignment="1">
      <alignment horizontal="left" vertical="center" wrapText="1"/>
    </xf>
    <xf numFmtId="11" fontId="33" fillId="37" borderId="0" xfId="0" applyNumberFormat="1" applyFont="1" applyFill="1" applyAlignment="1">
      <alignment horizontal="right" vertical="center"/>
    </xf>
    <xf numFmtId="11" fontId="67" fillId="37" borderId="1" xfId="0" applyNumberFormat="1" applyFont="1" applyFill="1" applyBorder="1" applyAlignment="1">
      <alignment horizontal="center"/>
    </xf>
    <xf numFmtId="0" fontId="62" fillId="37" borderId="0" xfId="0" applyFont="1" applyFill="1" applyAlignment="1">
      <alignment horizontal="center" vertical="center"/>
    </xf>
    <xf numFmtId="0" fontId="14" fillId="37" borderId="0" xfId="0" applyFont="1" applyFill="1"/>
    <xf numFmtId="0" fontId="15" fillId="37" borderId="0" xfId="0" applyFont="1" applyFill="1"/>
    <xf numFmtId="0" fontId="33" fillId="0" borderId="0" xfId="0" applyFont="1"/>
    <xf numFmtId="166" fontId="50" fillId="0" borderId="0" xfId="0" applyNumberFormat="1" applyFont="1"/>
    <xf numFmtId="167" fontId="33" fillId="0" borderId="0" xfId="0" applyNumberFormat="1" applyFont="1"/>
    <xf numFmtId="166" fontId="33" fillId="0" borderId="0" xfId="0" applyNumberFormat="1" applyFont="1"/>
    <xf numFmtId="0" fontId="83" fillId="0" borderId="0" xfId="0" applyFont="1"/>
    <xf numFmtId="11" fontId="33" fillId="0" borderId="0" xfId="0" applyNumberFormat="1" applyFont="1"/>
    <xf numFmtId="0" fontId="50" fillId="0" borderId="0" xfId="0" applyFont="1"/>
    <xf numFmtId="0" fontId="33" fillId="37" borderId="0" xfId="0" applyFont="1" applyFill="1" applyAlignment="1">
      <alignment vertical="center"/>
    </xf>
    <xf numFmtId="0" fontId="62" fillId="37" borderId="24" xfId="0" applyFont="1" applyFill="1" applyBorder="1" applyAlignment="1">
      <alignment horizontal="center" vertical="center" wrapText="1"/>
    </xf>
    <xf numFmtId="11" fontId="62" fillId="37" borderId="24" xfId="0" applyNumberFormat="1" applyFont="1" applyFill="1" applyBorder="1" applyAlignment="1">
      <alignment horizontal="center" vertical="center"/>
    </xf>
    <xf numFmtId="11" fontId="62" fillId="37" borderId="0" xfId="0" applyNumberFormat="1" applyFont="1" applyFill="1" applyAlignment="1">
      <alignment vertical="center"/>
    </xf>
    <xf numFmtId="0" fontId="62" fillId="37" borderId="1" xfId="0" applyFont="1" applyFill="1" applyBorder="1" applyAlignment="1">
      <alignment horizontal="center" vertical="center" wrapText="1"/>
    </xf>
    <xf numFmtId="11" fontId="62" fillId="37" borderId="1" xfId="0" applyNumberFormat="1" applyFont="1" applyFill="1" applyBorder="1" applyAlignment="1">
      <alignment horizontal="center" vertical="center"/>
    </xf>
    <xf numFmtId="11" fontId="62" fillId="37" borderId="0" xfId="0" applyNumberFormat="1" applyFont="1" applyFill="1" applyAlignment="1">
      <alignment horizontal="center" vertical="center"/>
    </xf>
    <xf numFmtId="11" fontId="62" fillId="37" borderId="0" xfId="0" applyNumberFormat="1" applyFont="1" applyFill="1"/>
    <xf numFmtId="0" fontId="62" fillId="37" borderId="1" xfId="0" applyFont="1" applyFill="1" applyBorder="1" applyAlignment="1">
      <alignment horizontal="center"/>
    </xf>
    <xf numFmtId="11" fontId="62" fillId="37" borderId="1" xfId="0" applyNumberFormat="1" applyFont="1" applyFill="1" applyBorder="1" applyAlignment="1">
      <alignment horizontal="center"/>
    </xf>
    <xf numFmtId="0" fontId="34" fillId="37" borderId="0" xfId="0" applyFont="1" applyFill="1"/>
    <xf numFmtId="0" fontId="38" fillId="37" borderId="0" xfId="0" applyFont="1" applyFill="1" applyAlignment="1">
      <alignment vertical="center"/>
    </xf>
    <xf numFmtId="0" fontId="37" fillId="37" borderId="0" xfId="0" applyFont="1" applyFill="1" applyAlignment="1">
      <alignment vertical="center"/>
    </xf>
    <xf numFmtId="0" fontId="40" fillId="5" borderId="68" xfId="0" applyFont="1" applyFill="1" applyBorder="1" applyAlignment="1" applyProtection="1">
      <alignment horizontal="center" vertical="center"/>
      <protection locked="0"/>
    </xf>
    <xf numFmtId="0" fontId="35" fillId="37" borderId="14" xfId="0" applyFont="1" applyFill="1" applyBorder="1" applyAlignment="1">
      <alignment horizontal="left" vertical="center"/>
    </xf>
    <xf numFmtId="0" fontId="62" fillId="37" borderId="14" xfId="0" applyFont="1" applyFill="1" applyBorder="1" applyAlignment="1">
      <alignment horizontal="center" vertical="center"/>
    </xf>
    <xf numFmtId="0" fontId="35" fillId="37" borderId="0" xfId="0" applyFont="1" applyFill="1" applyAlignment="1">
      <alignment horizontal="left" vertical="center"/>
    </xf>
    <xf numFmtId="0" fontId="62" fillId="37" borderId="0" xfId="0" applyFont="1" applyFill="1" applyAlignment="1">
      <alignment horizontal="center"/>
    </xf>
    <xf numFmtId="0" fontId="62" fillId="37" borderId="4" xfId="0" applyFont="1" applyFill="1" applyBorder="1" applyAlignment="1">
      <alignment horizontal="center" vertical="center"/>
    </xf>
    <xf numFmtId="0" fontId="62" fillId="37" borderId="7" xfId="0" applyFont="1" applyFill="1" applyBorder="1" applyAlignment="1">
      <alignment horizontal="left" vertical="center" wrapText="1"/>
    </xf>
    <xf numFmtId="0" fontId="62" fillId="37" borderId="12" xfId="0" applyFont="1" applyFill="1" applyBorder="1" applyAlignment="1">
      <alignment horizontal="left" vertical="center" wrapText="1"/>
    </xf>
    <xf numFmtId="0" fontId="67" fillId="38" borderId="6" xfId="0" applyFont="1" applyFill="1" applyBorder="1" applyAlignment="1">
      <alignment horizontal="center" vertical="center"/>
    </xf>
    <xf numFmtId="167" fontId="50" fillId="5" borderId="32" xfId="0" applyNumberFormat="1" applyFont="1" applyFill="1" applyBorder="1" applyAlignment="1" applyProtection="1">
      <alignment horizontal="center" vertical="center"/>
      <protection locked="0"/>
    </xf>
    <xf numFmtId="168" fontId="33" fillId="40" borderId="69" xfId="0" applyNumberFormat="1" applyFont="1" applyFill="1" applyBorder="1" applyAlignment="1" applyProtection="1">
      <alignment horizontal="center" vertical="center"/>
      <protection locked="0"/>
    </xf>
    <xf numFmtId="168" fontId="50" fillId="5" borderId="69" xfId="0" applyNumberFormat="1" applyFont="1" applyFill="1" applyBorder="1" applyAlignment="1" applyProtection="1">
      <alignment horizontal="center" vertical="center"/>
      <protection locked="0"/>
    </xf>
    <xf numFmtId="168" fontId="50" fillId="40" borderId="69" xfId="0" applyNumberFormat="1" applyFont="1" applyFill="1" applyBorder="1" applyAlignment="1" applyProtection="1">
      <alignment horizontal="center" vertical="center"/>
      <protection locked="0"/>
    </xf>
    <xf numFmtId="164" fontId="50" fillId="40" borderId="69" xfId="0" applyNumberFormat="1" applyFont="1" applyFill="1" applyBorder="1" applyAlignment="1" applyProtection="1">
      <alignment horizontal="center" vertical="center"/>
      <protection locked="0"/>
    </xf>
    <xf numFmtId="164" fontId="50" fillId="5" borderId="69" xfId="0" applyNumberFormat="1" applyFont="1" applyFill="1" applyBorder="1" applyAlignment="1" applyProtection="1">
      <alignment horizontal="center" vertical="center"/>
      <protection locked="0"/>
    </xf>
    <xf numFmtId="164" fontId="33" fillId="40" borderId="69" xfId="0" applyNumberFormat="1" applyFont="1" applyFill="1" applyBorder="1" applyAlignment="1" applyProtection="1">
      <alignment horizontal="center" vertical="center"/>
      <protection locked="0"/>
    </xf>
    <xf numFmtId="166" fontId="50" fillId="40" borderId="69" xfId="0" applyNumberFormat="1" applyFont="1" applyFill="1" applyBorder="1" applyAlignment="1" applyProtection="1">
      <alignment horizontal="center" vertical="center"/>
      <protection locked="0"/>
    </xf>
    <xf numFmtId="166" fontId="50" fillId="5" borderId="69" xfId="0" applyNumberFormat="1" applyFont="1" applyFill="1" applyBorder="1" applyAlignment="1" applyProtection="1">
      <alignment horizontal="center" vertical="center"/>
      <protection locked="0"/>
    </xf>
    <xf numFmtId="166" fontId="33" fillId="40" borderId="69" xfId="0" applyNumberFormat="1" applyFont="1" applyFill="1" applyBorder="1" applyAlignment="1" applyProtection="1">
      <alignment horizontal="center" vertical="center"/>
      <protection locked="0"/>
    </xf>
    <xf numFmtId="166" fontId="33" fillId="4" borderId="69" xfId="0" applyNumberFormat="1" applyFont="1" applyFill="1" applyBorder="1" applyAlignment="1" applyProtection="1">
      <alignment horizontal="center" vertical="center"/>
      <protection locked="0"/>
    </xf>
    <xf numFmtId="164" fontId="50" fillId="4" borderId="69" xfId="0" applyNumberFormat="1" applyFont="1" applyFill="1" applyBorder="1" applyAlignment="1" applyProtection="1">
      <alignment horizontal="center" vertical="center"/>
      <protection locked="0"/>
    </xf>
    <xf numFmtId="166" fontId="50" fillId="4" borderId="69" xfId="0" applyNumberFormat="1" applyFont="1" applyFill="1" applyBorder="1" applyAlignment="1" applyProtection="1">
      <alignment horizontal="center" vertical="center"/>
      <protection locked="0"/>
    </xf>
    <xf numFmtId="169" fontId="50" fillId="5" borderId="69" xfId="0" applyNumberFormat="1" applyFont="1" applyFill="1" applyBorder="1" applyAlignment="1" applyProtection="1">
      <alignment horizontal="center" vertical="center"/>
      <protection locked="0"/>
    </xf>
    <xf numFmtId="165" fontId="50" fillId="40" borderId="69" xfId="0" applyNumberFormat="1" applyFont="1" applyFill="1" applyBorder="1" applyAlignment="1" applyProtection="1">
      <alignment horizontal="center" vertical="center"/>
      <protection locked="0"/>
    </xf>
    <xf numFmtId="165" fontId="50" fillId="5" borderId="69" xfId="0" applyNumberFormat="1" applyFont="1" applyFill="1" applyBorder="1" applyAlignment="1" applyProtection="1">
      <alignment horizontal="center" vertical="center"/>
      <protection locked="0"/>
    </xf>
    <xf numFmtId="165" fontId="33" fillId="40" borderId="69" xfId="0" applyNumberFormat="1" applyFont="1" applyFill="1" applyBorder="1" applyAlignment="1" applyProtection="1">
      <alignment horizontal="center" vertical="center"/>
      <protection locked="0"/>
    </xf>
    <xf numFmtId="11" fontId="50" fillId="40" borderId="69" xfId="0" applyNumberFormat="1" applyFont="1" applyFill="1" applyBorder="1" applyAlignment="1" applyProtection="1">
      <alignment horizontal="center" vertical="center"/>
      <protection locked="0"/>
    </xf>
    <xf numFmtId="11" fontId="50" fillId="5" borderId="69" xfId="0" applyNumberFormat="1" applyFont="1" applyFill="1" applyBorder="1" applyAlignment="1" applyProtection="1">
      <alignment horizontal="center" vertical="center"/>
      <protection locked="0"/>
    </xf>
    <xf numFmtId="11" fontId="33" fillId="40" borderId="69" xfId="0" applyNumberFormat="1" applyFont="1" applyFill="1" applyBorder="1" applyAlignment="1" applyProtection="1">
      <alignment horizontal="center" vertical="center"/>
      <protection locked="0"/>
    </xf>
    <xf numFmtId="11" fontId="50" fillId="4" borderId="69" xfId="0" applyNumberFormat="1" applyFont="1" applyFill="1" applyBorder="1" applyAlignment="1" applyProtection="1">
      <alignment horizontal="center" vertical="center"/>
      <protection locked="0"/>
    </xf>
    <xf numFmtId="168" fontId="50" fillId="4" borderId="69" xfId="0" applyNumberFormat="1" applyFont="1" applyFill="1" applyBorder="1" applyAlignment="1" applyProtection="1">
      <alignment horizontal="center" vertical="center"/>
      <protection locked="0"/>
    </xf>
    <xf numFmtId="169" fontId="50" fillId="40" borderId="69" xfId="0" applyNumberFormat="1" applyFont="1" applyFill="1" applyBorder="1" applyAlignment="1" applyProtection="1">
      <alignment horizontal="center" vertical="center"/>
      <protection locked="0"/>
    </xf>
    <xf numFmtId="169" fontId="33" fillId="40" borderId="69" xfId="0" applyNumberFormat="1" applyFont="1" applyFill="1" applyBorder="1" applyAlignment="1" applyProtection="1">
      <alignment horizontal="center" vertical="center"/>
      <protection locked="0"/>
    </xf>
    <xf numFmtId="169" fontId="50" fillId="40" borderId="70" xfId="0" applyNumberFormat="1" applyFont="1" applyFill="1" applyBorder="1" applyAlignment="1" applyProtection="1">
      <alignment horizontal="center" vertical="center"/>
      <protection locked="0"/>
    </xf>
    <xf numFmtId="165" fontId="50" fillId="40" borderId="70" xfId="0" applyNumberFormat="1" applyFont="1" applyFill="1" applyBorder="1" applyAlignment="1" applyProtection="1">
      <alignment horizontal="center" vertical="center"/>
      <protection locked="0"/>
    </xf>
    <xf numFmtId="165" fontId="50" fillId="5" borderId="70" xfId="0" applyNumberFormat="1" applyFont="1" applyFill="1" applyBorder="1" applyAlignment="1" applyProtection="1">
      <alignment horizontal="center" vertical="center"/>
      <protection locked="0"/>
    </xf>
    <xf numFmtId="165" fontId="33" fillId="40" borderId="70" xfId="0" applyNumberFormat="1" applyFont="1" applyFill="1" applyBorder="1" applyAlignment="1" applyProtection="1">
      <alignment horizontal="center" vertical="center"/>
      <protection locked="0"/>
    </xf>
    <xf numFmtId="169" fontId="33" fillId="40" borderId="70" xfId="0" applyNumberFormat="1" applyFont="1" applyFill="1" applyBorder="1" applyAlignment="1" applyProtection="1">
      <alignment horizontal="center" vertical="center"/>
      <protection locked="0"/>
    </xf>
    <xf numFmtId="169" fontId="50" fillId="40" borderId="71" xfId="0" applyNumberFormat="1" applyFont="1" applyFill="1" applyBorder="1" applyAlignment="1" applyProtection="1">
      <alignment horizontal="center" vertical="center"/>
      <protection locked="0"/>
    </xf>
    <xf numFmtId="11" fontId="50" fillId="40" borderId="71" xfId="0" applyNumberFormat="1" applyFont="1" applyFill="1" applyBorder="1" applyAlignment="1" applyProtection="1">
      <alignment horizontal="center" vertical="center"/>
      <protection locked="0"/>
    </xf>
    <xf numFmtId="11" fontId="50" fillId="5" borderId="71" xfId="0" applyNumberFormat="1" applyFont="1" applyFill="1" applyBorder="1" applyAlignment="1" applyProtection="1">
      <alignment horizontal="center" vertical="center"/>
      <protection locked="0"/>
    </xf>
    <xf numFmtId="11" fontId="33" fillId="40" borderId="71" xfId="0" applyNumberFormat="1" applyFont="1" applyFill="1" applyBorder="1" applyAlignment="1" applyProtection="1">
      <alignment horizontal="center" vertical="center"/>
      <protection locked="0"/>
    </xf>
    <xf numFmtId="169" fontId="33" fillId="40" borderId="71" xfId="0" applyNumberFormat="1" applyFont="1" applyFill="1" applyBorder="1" applyAlignment="1" applyProtection="1">
      <alignment horizontal="center" vertical="center"/>
      <protection locked="0"/>
    </xf>
    <xf numFmtId="0" fontId="33" fillId="5" borderId="17" xfId="0" applyFont="1" applyFill="1" applyBorder="1" applyAlignment="1" applyProtection="1">
      <alignment horizontal="center" vertical="center" wrapText="1"/>
      <protection locked="0"/>
    </xf>
    <xf numFmtId="0" fontId="0" fillId="37" borderId="14" xfId="0" applyFill="1" applyBorder="1"/>
    <xf numFmtId="0" fontId="0" fillId="37" borderId="13" xfId="0" applyFill="1" applyBorder="1"/>
    <xf numFmtId="0" fontId="85" fillId="37" borderId="0" xfId="0" applyFont="1" applyFill="1" applyAlignment="1">
      <alignment vertical="center"/>
    </xf>
    <xf numFmtId="166" fontId="62" fillId="37" borderId="0" xfId="0" applyNumberFormat="1" applyFont="1" applyFill="1" applyAlignment="1">
      <alignment horizontal="center" vertical="center"/>
    </xf>
    <xf numFmtId="0" fontId="5" fillId="37" borderId="0" xfId="0" applyFont="1" applyFill="1" applyAlignment="1">
      <alignment vertical="center" wrapText="1"/>
    </xf>
    <xf numFmtId="2" fontId="62" fillId="37" borderId="0" xfId="0" applyNumberFormat="1" applyFont="1" applyFill="1" applyAlignment="1">
      <alignment horizontal="center" vertical="center"/>
    </xf>
    <xf numFmtId="0" fontId="62" fillId="37" borderId="0" xfId="0" applyFont="1" applyFill="1"/>
    <xf numFmtId="0" fontId="67" fillId="37" borderId="0" xfId="0" applyFont="1" applyFill="1" applyAlignment="1">
      <alignment horizontal="center" vertical="center"/>
    </xf>
    <xf numFmtId="0" fontId="62" fillId="37" borderId="0" xfId="0" applyFont="1" applyFill="1" applyAlignment="1">
      <alignment horizontal="left" vertical="center"/>
    </xf>
    <xf numFmtId="0" fontId="62" fillId="37" borderId="9" xfId="0" applyFont="1" applyFill="1" applyBorder="1" applyAlignment="1">
      <alignment horizontal="left" vertical="center"/>
    </xf>
    <xf numFmtId="0" fontId="91" fillId="41" borderId="0" xfId="0" applyFont="1" applyFill="1" applyAlignment="1">
      <alignment horizontal="left"/>
    </xf>
    <xf numFmtId="0" fontId="36" fillId="39" borderId="0" xfId="0" applyFont="1" applyFill="1" applyAlignment="1">
      <alignment vertical="center"/>
    </xf>
    <xf numFmtId="2" fontId="50" fillId="4" borderId="32" xfId="0" applyNumberFormat="1" applyFont="1" applyFill="1" applyBorder="1" applyAlignment="1" applyProtection="1">
      <alignment horizontal="center" vertical="center"/>
      <protection locked="0"/>
    </xf>
    <xf numFmtId="171" fontId="50" fillId="4" borderId="53" xfId="0" applyNumberFormat="1" applyFont="1" applyFill="1" applyBorder="1" applyAlignment="1" applyProtection="1">
      <alignment horizontal="center" vertical="center"/>
      <protection locked="0"/>
    </xf>
    <xf numFmtId="0" fontId="91" fillId="41" borderId="9" xfId="0" applyFont="1" applyFill="1" applyBorder="1" applyAlignment="1">
      <alignment horizontal="left" vertical="center"/>
    </xf>
    <xf numFmtId="0" fontId="93" fillId="41" borderId="4" xfId="0" applyFont="1" applyFill="1" applyBorder="1" applyAlignment="1">
      <alignment horizontal="left" vertical="center"/>
    </xf>
    <xf numFmtId="0" fontId="91" fillId="41" borderId="4" xfId="0" applyFont="1" applyFill="1" applyBorder="1" applyAlignment="1">
      <alignment horizontal="center" vertical="center"/>
    </xf>
    <xf numFmtId="0" fontId="62" fillId="37" borderId="7" xfId="0" applyFont="1" applyFill="1" applyBorder="1" applyAlignment="1">
      <alignment horizontal="left" vertical="center"/>
    </xf>
    <xf numFmtId="0" fontId="0" fillId="37" borderId="12" xfId="0" applyFill="1" applyBorder="1"/>
    <xf numFmtId="0" fontId="37" fillId="5" borderId="1" xfId="0" applyFont="1" applyFill="1" applyBorder="1" applyAlignment="1" applyProtection="1">
      <alignment horizontal="center" vertical="center"/>
      <protection locked="0"/>
    </xf>
    <xf numFmtId="171" fontId="62" fillId="37" borderId="13" xfId="0" applyNumberFormat="1" applyFont="1" applyFill="1" applyBorder="1" applyAlignment="1">
      <alignment horizontal="center" vertical="center"/>
    </xf>
    <xf numFmtId="171" fontId="62" fillId="37" borderId="8" xfId="0" applyNumberFormat="1" applyFont="1" applyFill="1" applyBorder="1" applyAlignment="1">
      <alignment horizontal="center" vertical="center"/>
    </xf>
    <xf numFmtId="0" fontId="15" fillId="37" borderId="4" xfId="0" applyFont="1" applyFill="1" applyBorder="1"/>
    <xf numFmtId="0" fontId="62" fillId="5" borderId="1" xfId="0" applyFont="1" applyFill="1" applyBorder="1" applyAlignment="1" applyProtection="1">
      <alignment horizontal="center" vertical="center"/>
      <protection locked="0"/>
    </xf>
    <xf numFmtId="0" fontId="33" fillId="38" borderId="0" xfId="0" applyFont="1" applyFill="1" applyAlignment="1">
      <alignment vertical="center"/>
    </xf>
    <xf numFmtId="166" fontId="67" fillId="37" borderId="1" xfId="0" applyNumberFormat="1" applyFont="1" applyFill="1" applyBorder="1" applyAlignment="1">
      <alignment horizontal="center"/>
    </xf>
    <xf numFmtId="0" fontId="36" fillId="37" borderId="0" xfId="0" applyFont="1" applyFill="1" applyAlignment="1">
      <alignment vertical="center"/>
    </xf>
    <xf numFmtId="0" fontId="37" fillId="37" borderId="27" xfId="0" applyFont="1" applyFill="1" applyBorder="1" applyAlignment="1">
      <alignment horizontal="center" vertical="center" wrapText="1"/>
    </xf>
    <xf numFmtId="0" fontId="37" fillId="37" borderId="37" xfId="0" applyFont="1" applyFill="1" applyBorder="1" applyAlignment="1">
      <alignment horizontal="center" vertical="center" wrapText="1"/>
    </xf>
    <xf numFmtId="0" fontId="37" fillId="37" borderId="38" xfId="0" applyFont="1" applyFill="1" applyBorder="1" applyAlignment="1">
      <alignment horizontal="center" vertical="center" wrapText="1"/>
    </xf>
    <xf numFmtId="170" fontId="50" fillId="40" borderId="71" xfId="0" applyNumberFormat="1" applyFont="1" applyFill="1" applyBorder="1" applyAlignment="1" applyProtection="1">
      <alignment horizontal="center" vertical="center"/>
      <protection locked="0"/>
    </xf>
    <xf numFmtId="170" fontId="50" fillId="4" borderId="71" xfId="0" applyNumberFormat="1" applyFont="1" applyFill="1" applyBorder="1" applyAlignment="1" applyProtection="1">
      <alignment horizontal="center" vertical="center"/>
      <protection locked="0"/>
    </xf>
    <xf numFmtId="170" fontId="33" fillId="40" borderId="71" xfId="0" applyNumberFormat="1" applyFont="1" applyFill="1" applyBorder="1" applyAlignment="1" applyProtection="1">
      <alignment horizontal="center" vertical="center"/>
      <protection locked="0"/>
    </xf>
    <xf numFmtId="165" fontId="62" fillId="37" borderId="0" xfId="0" applyNumberFormat="1" applyFont="1" applyFill="1" applyAlignment="1">
      <alignment horizontal="center" vertical="center"/>
    </xf>
    <xf numFmtId="165" fontId="62" fillId="37" borderId="8" xfId="0" applyNumberFormat="1" applyFont="1" applyFill="1" applyBorder="1" applyAlignment="1">
      <alignment horizontal="center" vertical="center"/>
    </xf>
    <xf numFmtId="0" fontId="37" fillId="37" borderId="0" xfId="0" applyFont="1" applyFill="1" applyAlignment="1">
      <alignment horizontal="left" vertical="center"/>
    </xf>
    <xf numFmtId="0" fontId="33" fillId="37" borderId="0" xfId="0" applyFont="1" applyFill="1" applyAlignment="1">
      <alignment horizontal="left" vertical="top" wrapText="1" indent="1"/>
    </xf>
    <xf numFmtId="0" fontId="33" fillId="37" borderId="0" xfId="0" applyFont="1" applyFill="1" applyAlignment="1">
      <alignment horizontal="left" vertical="top" wrapText="1"/>
    </xf>
    <xf numFmtId="0" fontId="37" fillId="37" borderId="0" xfId="0" applyFont="1" applyFill="1" applyAlignment="1">
      <alignment horizontal="left" vertical="top" wrapText="1"/>
    </xf>
    <xf numFmtId="0" fontId="37" fillId="37" borderId="0" xfId="0" applyFont="1" applyFill="1" applyAlignment="1">
      <alignment vertical="top" wrapText="1"/>
    </xf>
    <xf numFmtId="0" fontId="49" fillId="37" borderId="0" xfId="0" applyFont="1" applyFill="1" applyAlignment="1">
      <alignment horizontal="left" vertical="center" wrapText="1"/>
    </xf>
    <xf numFmtId="0" fontId="95" fillId="37" borderId="0" xfId="0" applyFont="1" applyFill="1" applyAlignment="1">
      <alignment vertical="center" wrapText="1"/>
    </xf>
    <xf numFmtId="0" fontId="35" fillId="39" borderId="7" xfId="0" applyFont="1" applyFill="1" applyBorder="1" applyAlignment="1">
      <alignment vertical="center"/>
    </xf>
    <xf numFmtId="0" fontId="0" fillId="0" borderId="0" xfId="0" applyAlignment="1">
      <alignment vertical="center"/>
    </xf>
    <xf numFmtId="172" fontId="50" fillId="40" borderId="69" xfId="0" applyNumberFormat="1" applyFont="1" applyFill="1" applyBorder="1" applyAlignment="1" applyProtection="1">
      <alignment horizontal="center" vertical="center"/>
      <protection locked="0"/>
    </xf>
    <xf numFmtId="172" fontId="50" fillId="5" borderId="69" xfId="0" applyNumberFormat="1" applyFont="1" applyFill="1" applyBorder="1" applyAlignment="1" applyProtection="1">
      <alignment horizontal="center" vertical="center"/>
      <protection locked="0"/>
    </xf>
    <xf numFmtId="172" fontId="33" fillId="40" borderId="69" xfId="0" applyNumberFormat="1" applyFont="1" applyFill="1" applyBorder="1" applyAlignment="1" applyProtection="1">
      <alignment horizontal="center" vertical="center"/>
      <protection locked="0"/>
    </xf>
    <xf numFmtId="168" fontId="50" fillId="5" borderId="1" xfId="0" applyNumberFormat="1" applyFont="1" applyFill="1" applyBorder="1" applyAlignment="1" applyProtection="1">
      <alignment horizontal="center" vertical="center"/>
      <protection locked="0"/>
    </xf>
    <xf numFmtId="168" fontId="33" fillId="5" borderId="1" xfId="0" applyNumberFormat="1" applyFont="1" applyFill="1" applyBorder="1" applyAlignment="1" applyProtection="1">
      <alignment horizontal="center" vertical="center"/>
      <protection locked="0"/>
    </xf>
    <xf numFmtId="168" fontId="33" fillId="4" borderId="1" xfId="0" applyNumberFormat="1" applyFont="1" applyFill="1" applyBorder="1" applyAlignment="1" applyProtection="1">
      <alignment horizontal="center" vertical="center"/>
      <protection locked="0"/>
    </xf>
    <xf numFmtId="168" fontId="50" fillId="40" borderId="70" xfId="0" applyNumberFormat="1" applyFont="1" applyFill="1" applyBorder="1" applyAlignment="1" applyProtection="1">
      <alignment horizontal="center" vertical="center"/>
      <protection locked="0"/>
    </xf>
    <xf numFmtId="168" fontId="50" fillId="5" borderId="70" xfId="0" applyNumberFormat="1" applyFont="1" applyFill="1" applyBorder="1" applyAlignment="1" applyProtection="1">
      <alignment horizontal="center" vertical="center"/>
      <protection locked="0"/>
    </xf>
    <xf numFmtId="168" fontId="33" fillId="40" borderId="70" xfId="0" applyNumberFormat="1" applyFont="1" applyFill="1" applyBorder="1" applyAlignment="1" applyProtection="1">
      <alignment horizontal="center" vertical="center"/>
      <protection locked="0"/>
    </xf>
    <xf numFmtId="0" fontId="85" fillId="37" borderId="0" xfId="0" applyFont="1" applyFill="1" applyAlignment="1">
      <alignment horizontal="left" vertical="center" indent="1"/>
    </xf>
    <xf numFmtId="0" fontId="102" fillId="38" borderId="11" xfId="0" applyFont="1" applyFill="1" applyBorder="1" applyAlignment="1">
      <alignment horizontal="center" vertical="center"/>
    </xf>
    <xf numFmtId="0" fontId="102" fillId="38" borderId="6" xfId="0" applyFont="1" applyFill="1" applyBorder="1" applyAlignment="1">
      <alignment horizontal="center" vertical="center"/>
    </xf>
    <xf numFmtId="0" fontId="32" fillId="37" borderId="0" xfId="0" applyFont="1" applyFill="1" applyAlignment="1">
      <alignment horizontal="left" vertical="center" indent="1"/>
    </xf>
    <xf numFmtId="0" fontId="67" fillId="37" borderId="1" xfId="0" applyFont="1" applyFill="1" applyBorder="1" applyAlignment="1">
      <alignment horizontal="center" vertical="center" wrapText="1"/>
    </xf>
    <xf numFmtId="11" fontId="67" fillId="37" borderId="1" xfId="0" applyNumberFormat="1" applyFont="1" applyFill="1" applyBorder="1" applyAlignment="1">
      <alignment horizontal="center" vertical="center"/>
    </xf>
    <xf numFmtId="169" fontId="50" fillId="5" borderId="73" xfId="0" applyNumberFormat="1" applyFont="1" applyFill="1" applyBorder="1" applyAlignment="1" applyProtection="1">
      <alignment horizontal="center" vertical="center"/>
      <protection locked="0"/>
    </xf>
    <xf numFmtId="0" fontId="32" fillId="37" borderId="14" xfId="0" applyFont="1" applyFill="1" applyBorder="1" applyAlignment="1">
      <alignment vertical="center"/>
    </xf>
    <xf numFmtId="0" fontId="32" fillId="37" borderId="7" xfId="0" applyFont="1" applyFill="1" applyBorder="1" applyAlignment="1">
      <alignment vertical="center"/>
    </xf>
    <xf numFmtId="0" fontId="39" fillId="37" borderId="0" xfId="0" applyFont="1" applyFill="1" applyAlignment="1">
      <alignment vertical="center" wrapText="1"/>
    </xf>
    <xf numFmtId="0" fontId="40" fillId="37" borderId="0" xfId="0" applyFont="1" applyFill="1" applyAlignment="1">
      <alignment vertical="top" wrapText="1"/>
    </xf>
    <xf numFmtId="0" fontId="40" fillId="37" borderId="0" xfId="0" applyFont="1" applyFill="1" applyAlignment="1">
      <alignment vertical="center" wrapText="1"/>
    </xf>
    <xf numFmtId="0" fontId="40" fillId="37" borderId="0" xfId="0" applyFont="1" applyFill="1" applyAlignment="1">
      <alignment horizontal="center" vertical="center" wrapText="1"/>
    </xf>
    <xf numFmtId="0" fontId="41" fillId="37" borderId="0" xfId="0" applyFont="1" applyFill="1" applyAlignment="1">
      <alignment vertical="top" wrapText="1"/>
    </xf>
    <xf numFmtId="0" fontId="33" fillId="38" borderId="14" xfId="0" applyFont="1" applyFill="1" applyBorder="1"/>
    <xf numFmtId="0" fontId="33" fillId="38" borderId="14" xfId="0" applyFont="1" applyFill="1" applyBorder="1" applyAlignment="1">
      <alignment horizontal="center"/>
    </xf>
    <xf numFmtId="0" fontId="44" fillId="38" borderId="14" xfId="0" applyFont="1" applyFill="1" applyBorder="1" applyAlignment="1">
      <alignment vertical="center"/>
    </xf>
    <xf numFmtId="0" fontId="44" fillId="38" borderId="13" xfId="0" applyFont="1" applyFill="1" applyBorder="1" applyAlignment="1">
      <alignment vertical="center"/>
    </xf>
    <xf numFmtId="0" fontId="33" fillId="37" borderId="0" xfId="0" applyFont="1" applyFill="1" applyAlignment="1">
      <alignment wrapText="1"/>
    </xf>
    <xf numFmtId="0" fontId="33" fillId="38" borderId="4" xfId="0" applyFont="1" applyFill="1" applyBorder="1"/>
    <xf numFmtId="0" fontId="33" fillId="38" borderId="4" xfId="0" applyFont="1" applyFill="1" applyBorder="1" applyAlignment="1">
      <alignment horizontal="center"/>
    </xf>
    <xf numFmtId="0" fontId="46" fillId="38" borderId="4" xfId="0" applyFont="1" applyFill="1" applyBorder="1" applyAlignment="1">
      <alignment horizontal="center" vertical="center" wrapText="1"/>
    </xf>
    <xf numFmtId="0" fontId="47" fillId="38" borderId="10" xfId="0" applyFont="1" applyFill="1" applyBorder="1" applyAlignment="1">
      <alignment horizontal="center" vertical="center" wrapText="1"/>
    </xf>
    <xf numFmtId="0" fontId="50" fillId="37" borderId="7" xfId="0" applyFont="1" applyFill="1" applyBorder="1" applyAlignment="1">
      <alignment horizontal="left" vertical="center" wrapText="1"/>
    </xf>
    <xf numFmtId="0" fontId="56" fillId="37" borderId="0" xfId="0" applyFont="1" applyFill="1" applyAlignment="1">
      <alignment horizontal="left" vertical="center"/>
    </xf>
    <xf numFmtId="0" fontId="50" fillId="37" borderId="0" xfId="0" applyFont="1" applyFill="1" applyAlignment="1">
      <alignment horizontal="center" vertical="center"/>
    </xf>
    <xf numFmtId="0" fontId="50" fillId="37" borderId="56" xfId="0" applyFont="1" applyFill="1" applyBorder="1"/>
    <xf numFmtId="0" fontId="33" fillId="37" borderId="0" xfId="0" applyFont="1" applyFill="1" applyAlignment="1">
      <alignment horizontal="center"/>
    </xf>
    <xf numFmtId="0" fontId="33" fillId="37" borderId="8" xfId="0" applyFont="1" applyFill="1" applyBorder="1" applyAlignment="1">
      <alignment horizontal="center" vertical="center"/>
    </xf>
    <xf numFmtId="0" fontId="40" fillId="37" borderId="12" xfId="0" applyFont="1" applyFill="1" applyBorder="1" applyAlignment="1">
      <alignment horizontal="center" vertical="center"/>
    </xf>
    <xf numFmtId="0" fontId="33" fillId="37" borderId="14" xfId="0" applyFont="1" applyFill="1" applyBorder="1"/>
    <xf numFmtId="0" fontId="33" fillId="37" borderId="14" xfId="0" applyFont="1" applyFill="1" applyBorder="1" applyAlignment="1">
      <alignment horizontal="center" vertical="center"/>
    </xf>
    <xf numFmtId="0" fontId="40" fillId="37" borderId="0" xfId="0" applyFont="1" applyFill="1" applyAlignment="1">
      <alignment horizontal="center" vertical="center"/>
    </xf>
    <xf numFmtId="0" fontId="82" fillId="37" borderId="0" xfId="0" applyFont="1" applyFill="1" applyAlignment="1">
      <alignment horizontal="center" vertical="center"/>
    </xf>
    <xf numFmtId="0" fontId="48" fillId="37" borderId="0" xfId="0" applyFont="1" applyFill="1" applyAlignment="1">
      <alignment horizontal="center" vertical="center"/>
    </xf>
    <xf numFmtId="164" fontId="33" fillId="37" borderId="8" xfId="0" applyNumberFormat="1" applyFont="1" applyFill="1" applyBorder="1" applyAlignment="1">
      <alignment horizontal="center" vertical="center"/>
    </xf>
    <xf numFmtId="0" fontId="33" fillId="37" borderId="7" xfId="0" applyFont="1" applyFill="1" applyBorder="1"/>
    <xf numFmtId="164" fontId="33" fillId="37" borderId="0" xfId="0" applyNumberFormat="1" applyFont="1" applyFill="1" applyAlignment="1">
      <alignment horizontal="center" vertical="center"/>
    </xf>
    <xf numFmtId="0" fontId="40" fillId="37" borderId="24" xfId="0" applyFont="1" applyFill="1" applyBorder="1" applyAlignment="1">
      <alignment horizontal="center" vertical="center"/>
    </xf>
    <xf numFmtId="11" fontId="40" fillId="37" borderId="52" xfId="0" applyNumberFormat="1" applyFont="1" applyFill="1" applyBorder="1" applyAlignment="1">
      <alignment horizontal="center" vertical="center"/>
    </xf>
    <xf numFmtId="0" fontId="43" fillId="37" borderId="0" xfId="0" applyFont="1" applyFill="1" applyAlignment="1">
      <alignment vertical="center"/>
    </xf>
    <xf numFmtId="0" fontId="74" fillId="37" borderId="56" xfId="0" applyFont="1" applyFill="1" applyBorder="1" applyAlignment="1">
      <alignment vertical="center" wrapText="1"/>
    </xf>
    <xf numFmtId="0" fontId="50" fillId="37" borderId="7" xfId="0" applyFont="1" applyFill="1" applyBorder="1" applyAlignment="1">
      <alignment horizontal="left" vertical="center"/>
    </xf>
    <xf numFmtId="0" fontId="43" fillId="37" borderId="0" xfId="0" applyFont="1" applyFill="1" applyAlignment="1">
      <alignment horizontal="center" vertical="center"/>
    </xf>
    <xf numFmtId="11" fontId="33" fillId="37" borderId="0" xfId="0" applyNumberFormat="1" applyFont="1" applyFill="1"/>
    <xf numFmtId="0" fontId="42" fillId="37" borderId="0" xfId="0" applyFont="1" applyFill="1"/>
    <xf numFmtId="0" fontId="56" fillId="37" borderId="0" xfId="0" applyFont="1" applyFill="1" applyAlignment="1">
      <alignment horizontal="left" vertical="center" wrapText="1"/>
    </xf>
    <xf numFmtId="0" fontId="33" fillId="37" borderId="8" xfId="0" applyFont="1" applyFill="1" applyBorder="1" applyAlignment="1">
      <alignment horizontal="center"/>
    </xf>
    <xf numFmtId="0" fontId="50" fillId="37" borderId="9" xfId="0" applyFont="1" applyFill="1" applyBorder="1" applyAlignment="1">
      <alignment horizontal="left" vertical="center" wrapText="1"/>
    </xf>
    <xf numFmtId="0" fontId="56" fillId="37" borderId="4" xfId="0" applyFont="1" applyFill="1" applyBorder="1" applyAlignment="1">
      <alignment horizontal="left" vertical="center"/>
    </xf>
    <xf numFmtId="0" fontId="50" fillId="37" borderId="4" xfId="0" applyFont="1" applyFill="1" applyBorder="1" applyAlignment="1">
      <alignment horizontal="center" vertical="center"/>
    </xf>
    <xf numFmtId="0" fontId="50" fillId="37" borderId="58" xfId="0" applyFont="1" applyFill="1" applyBorder="1"/>
    <xf numFmtId="0" fontId="33" fillId="37" borderId="4" xfId="0" applyFont="1" applyFill="1" applyBorder="1" applyAlignment="1">
      <alignment horizontal="center"/>
    </xf>
    <xf numFmtId="166" fontId="33" fillId="37" borderId="4" xfId="0" applyNumberFormat="1" applyFont="1" applyFill="1" applyBorder="1" applyAlignment="1">
      <alignment horizontal="center" vertical="center"/>
    </xf>
    <xf numFmtId="0" fontId="33" fillId="37" borderId="10" xfId="0" applyFont="1" applyFill="1" applyBorder="1" applyAlignment="1">
      <alignment horizontal="center" vertical="center"/>
    </xf>
    <xf numFmtId="0" fontId="33" fillId="37" borderId="0" xfId="0" applyFont="1" applyFill="1" applyAlignment="1">
      <alignment horizontal="left"/>
    </xf>
    <xf numFmtId="0" fontId="54" fillId="37" borderId="0" xfId="0" applyFont="1" applyFill="1"/>
    <xf numFmtId="0" fontId="43" fillId="37" borderId="39" xfId="0" applyFont="1" applyFill="1" applyBorder="1" applyAlignment="1">
      <alignment vertical="center"/>
    </xf>
    <xf numFmtId="11" fontId="33" fillId="37" borderId="0" xfId="0" applyNumberFormat="1" applyFont="1" applyFill="1" applyAlignment="1">
      <alignment horizontal="center" vertical="center"/>
    </xf>
    <xf numFmtId="0" fontId="90" fillId="37" borderId="7" xfId="0" applyFont="1" applyFill="1" applyBorder="1"/>
    <xf numFmtId="0" fontId="90" fillId="37" borderId="0" xfId="0" applyFont="1" applyFill="1"/>
    <xf numFmtId="0" fontId="60" fillId="37" borderId="0" xfId="0" applyFont="1" applyFill="1" applyAlignment="1">
      <alignment horizontal="left" vertical="center" wrapText="1"/>
    </xf>
    <xf numFmtId="0" fontId="33" fillId="37" borderId="39" xfId="0" applyFont="1" applyFill="1" applyBorder="1" applyAlignment="1">
      <alignment horizontal="center"/>
    </xf>
    <xf numFmtId="0" fontId="90" fillId="37" borderId="7" xfId="0" applyFont="1" applyFill="1" applyBorder="1" applyAlignment="1">
      <alignment horizontal="right"/>
    </xf>
    <xf numFmtId="0" fontId="50" fillId="37" borderId="30" xfId="0" applyFont="1" applyFill="1" applyBorder="1" applyAlignment="1">
      <alignment horizontal="left" vertical="center" wrapText="1"/>
    </xf>
    <xf numFmtId="0" fontId="56" fillId="37" borderId="28" xfId="0" applyFont="1" applyFill="1" applyBorder="1" applyAlignment="1">
      <alignment horizontal="left" vertical="center"/>
    </xf>
    <xf numFmtId="0" fontId="50" fillId="37" borderId="28" xfId="0" applyFont="1" applyFill="1" applyBorder="1" applyAlignment="1">
      <alignment horizontal="center" vertical="center"/>
    </xf>
    <xf numFmtId="0" fontId="50" fillId="37" borderId="31" xfId="0" applyFont="1" applyFill="1" applyBorder="1"/>
    <xf numFmtId="165" fontId="90" fillId="37" borderId="0" xfId="0" applyNumberFormat="1" applyFont="1" applyFill="1"/>
    <xf numFmtId="0" fontId="50" fillId="37" borderId="36" xfId="0" applyFont="1" applyFill="1" applyBorder="1" applyAlignment="1">
      <alignment horizontal="left" vertical="center" wrapText="1"/>
    </xf>
    <xf numFmtId="0" fontId="56" fillId="37" borderId="34" xfId="0" applyFont="1" applyFill="1" applyBorder="1" applyAlignment="1">
      <alignment horizontal="left" vertical="center"/>
    </xf>
    <xf numFmtId="0" fontId="50" fillId="37" borderId="34" xfId="0" applyFont="1" applyFill="1" applyBorder="1" applyAlignment="1">
      <alignment horizontal="center" vertical="center"/>
    </xf>
    <xf numFmtId="0" fontId="50" fillId="37" borderId="34" xfId="0" applyFont="1" applyFill="1" applyBorder="1"/>
    <xf numFmtId="0" fontId="56" fillId="37" borderId="4" xfId="0" applyFont="1" applyFill="1" applyBorder="1" applyAlignment="1">
      <alignment horizontal="left"/>
    </xf>
    <xf numFmtId="0" fontId="50" fillId="37" borderId="4" xfId="0" applyFont="1" applyFill="1" applyBorder="1"/>
    <xf numFmtId="164" fontId="33" fillId="37" borderId="4" xfId="0" applyNumberFormat="1" applyFont="1" applyFill="1" applyBorder="1" applyAlignment="1">
      <alignment horizontal="center" vertical="center"/>
    </xf>
    <xf numFmtId="0" fontId="54" fillId="37" borderId="9" xfId="0" applyFont="1" applyFill="1" applyBorder="1"/>
    <xf numFmtId="0" fontId="54" fillId="37" borderId="4" xfId="0" applyFont="1" applyFill="1" applyBorder="1"/>
    <xf numFmtId="0" fontId="33" fillId="37" borderId="4" xfId="0" applyFont="1" applyFill="1" applyBorder="1"/>
    <xf numFmtId="0" fontId="50" fillId="37" borderId="12" xfId="0" applyFont="1" applyFill="1" applyBorder="1" applyAlignment="1">
      <alignment horizontal="left" vertical="center" wrapText="1"/>
    </xf>
    <xf numFmtId="0" fontId="56" fillId="37" borderId="14" xfId="0" applyFont="1" applyFill="1" applyBorder="1" applyAlignment="1">
      <alignment horizontal="left" vertical="center"/>
    </xf>
    <xf numFmtId="0" fontId="50" fillId="37" borderId="14" xfId="0" applyFont="1" applyFill="1" applyBorder="1" applyAlignment="1">
      <alignment horizontal="center" vertical="center"/>
    </xf>
    <xf numFmtId="0" fontId="50" fillId="37" borderId="57" xfId="0" applyFont="1" applyFill="1" applyBorder="1"/>
    <xf numFmtId="0" fontId="33" fillId="37" borderId="12" xfId="0" applyFont="1" applyFill="1" applyBorder="1" applyAlignment="1">
      <alignment horizontal="center"/>
    </xf>
    <xf numFmtId="0" fontId="42" fillId="37" borderId="14" xfId="0" applyFont="1" applyFill="1" applyBorder="1"/>
    <xf numFmtId="0" fontId="33" fillId="37" borderId="13" xfId="0" applyFont="1" applyFill="1" applyBorder="1"/>
    <xf numFmtId="0" fontId="33" fillId="37" borderId="7" xfId="0" applyFont="1" applyFill="1" applyBorder="1" applyAlignment="1">
      <alignment horizontal="left" vertical="center" wrapText="1"/>
    </xf>
    <xf numFmtId="0" fontId="53" fillId="37" borderId="0" xfId="0" applyFont="1" applyFill="1" applyAlignment="1">
      <alignment horizontal="left" vertical="center"/>
    </xf>
    <xf numFmtId="0" fontId="33" fillId="37" borderId="56" xfId="0" applyFont="1" applyFill="1" applyBorder="1"/>
    <xf numFmtId="0" fontId="33" fillId="37" borderId="7" xfId="0" applyFont="1" applyFill="1" applyBorder="1" applyAlignment="1">
      <alignment horizontal="center"/>
    </xf>
    <xf numFmtId="0" fontId="33" fillId="37" borderId="8" xfId="0" applyFont="1" applyFill="1" applyBorder="1"/>
    <xf numFmtId="0" fontId="33" fillId="37" borderId="54" xfId="0" applyFont="1" applyFill="1" applyBorder="1" applyAlignment="1">
      <alignment horizontal="center"/>
    </xf>
    <xf numFmtId="2" fontId="33" fillId="37" borderId="4" xfId="0" applyNumberFormat="1" applyFont="1" applyFill="1" applyBorder="1" applyAlignment="1">
      <alignment horizontal="center" vertical="center"/>
    </xf>
    <xf numFmtId="0" fontId="46" fillId="37" borderId="0" xfId="0" applyFont="1" applyFill="1" applyAlignment="1">
      <alignment horizontal="center" wrapText="1"/>
    </xf>
    <xf numFmtId="0" fontId="46" fillId="37" borderId="0" xfId="0" applyFont="1" applyFill="1"/>
    <xf numFmtId="0" fontId="32" fillId="39" borderId="7" xfId="0" applyFont="1" applyFill="1" applyBorder="1" applyAlignment="1">
      <alignment vertical="center"/>
    </xf>
    <xf numFmtId="0" fontId="32" fillId="39" borderId="0" xfId="0" applyFont="1" applyFill="1" applyAlignment="1">
      <alignment vertical="center"/>
    </xf>
    <xf numFmtId="0" fontId="42" fillId="37" borderId="0" xfId="0" applyFont="1" applyFill="1" applyAlignment="1">
      <alignment vertical="center" wrapText="1"/>
    </xf>
    <xf numFmtId="0" fontId="89" fillId="37" borderId="0" xfId="0" applyFont="1" applyFill="1" applyAlignment="1">
      <alignment vertical="top" wrapText="1"/>
    </xf>
    <xf numFmtId="0" fontId="40" fillId="37" borderId="0" xfId="0" applyFont="1" applyFill="1" applyAlignment="1">
      <alignment vertical="top"/>
    </xf>
    <xf numFmtId="0" fontId="33" fillId="38" borderId="16" xfId="0" applyFont="1" applyFill="1" applyBorder="1" applyAlignment="1">
      <alignment horizontal="center" vertical="center"/>
    </xf>
    <xf numFmtId="0" fontId="33" fillId="38" borderId="13" xfId="0" applyFont="1" applyFill="1" applyBorder="1"/>
    <xf numFmtId="0" fontId="55" fillId="38" borderId="4" xfId="0" applyFont="1" applyFill="1" applyBorder="1" applyAlignment="1">
      <alignment horizontal="center" vertical="top" wrapText="1"/>
    </xf>
    <xf numFmtId="0" fontId="40" fillId="38" borderId="4" xfId="0" applyFont="1" applyFill="1" applyBorder="1" applyAlignment="1">
      <alignment horizontal="center" vertical="center" wrapText="1"/>
    </xf>
    <xf numFmtId="0" fontId="40" fillId="38" borderId="4" xfId="0" applyFont="1" applyFill="1" applyBorder="1" applyAlignment="1">
      <alignment horizontal="center" vertical="center"/>
    </xf>
    <xf numFmtId="0" fontId="43" fillId="38" borderId="4" xfId="0" applyFont="1" applyFill="1" applyBorder="1"/>
    <xf numFmtId="0" fontId="43" fillId="38" borderId="10" xfId="0" applyFont="1" applyFill="1" applyBorder="1"/>
    <xf numFmtId="0" fontId="33" fillId="37" borderId="72" xfId="0" applyFont="1" applyFill="1" applyBorder="1"/>
    <xf numFmtId="0" fontId="33" fillId="37" borderId="74" xfId="0" applyFont="1" applyFill="1" applyBorder="1"/>
    <xf numFmtId="11" fontId="33" fillId="37" borderId="14" xfId="0" applyNumberFormat="1" applyFont="1" applyFill="1" applyBorder="1"/>
    <xf numFmtId="0" fontId="33" fillId="37" borderId="66" xfId="0" applyFont="1" applyFill="1" applyBorder="1"/>
    <xf numFmtId="0" fontId="33" fillId="37" borderId="63" xfId="0" applyFont="1" applyFill="1" applyBorder="1"/>
    <xf numFmtId="0" fontId="33" fillId="37" borderId="62" xfId="0" applyFont="1" applyFill="1" applyBorder="1" applyAlignment="1">
      <alignment horizontal="center" vertical="center"/>
    </xf>
    <xf numFmtId="0" fontId="33" fillId="37" borderId="21" xfId="0" applyFont="1" applyFill="1" applyBorder="1" applyAlignment="1">
      <alignment horizontal="center" vertical="center"/>
    </xf>
    <xf numFmtId="11" fontId="77" fillId="37" borderId="0" xfId="0" applyNumberFormat="1" applyFont="1" applyFill="1" applyAlignment="1">
      <alignment vertical="center" wrapText="1"/>
    </xf>
    <xf numFmtId="11" fontId="77" fillId="37" borderId="8" xfId="0" applyNumberFormat="1" applyFont="1" applyFill="1" applyBorder="1" applyAlignment="1">
      <alignment vertical="center" wrapText="1"/>
    </xf>
    <xf numFmtId="11" fontId="75" fillId="37" borderId="0" xfId="0" applyNumberFormat="1" applyFont="1" applyFill="1" applyAlignment="1">
      <alignment vertical="center" wrapText="1"/>
    </xf>
    <xf numFmtId="11" fontId="75" fillId="37" borderId="8" xfId="0" applyNumberFormat="1" applyFont="1" applyFill="1" applyBorder="1" applyAlignment="1">
      <alignment vertical="center" wrapText="1"/>
    </xf>
    <xf numFmtId="0" fontId="33" fillId="37" borderId="10" xfId="0" applyFont="1" applyFill="1" applyBorder="1"/>
    <xf numFmtId="0" fontId="50" fillId="37" borderId="0" xfId="0" applyFont="1" applyFill="1"/>
    <xf numFmtId="0" fontId="50" fillId="37" borderId="0" xfId="0" applyFont="1" applyFill="1" applyAlignment="1">
      <alignment horizontal="left" vertical="center" wrapText="1"/>
    </xf>
    <xf numFmtId="0" fontId="50" fillId="37" borderId="0" xfId="0" applyFont="1" applyFill="1" applyAlignment="1">
      <alignment horizontal="center"/>
    </xf>
    <xf numFmtId="0" fontId="50" fillId="38" borderId="16" xfId="0" applyFont="1" applyFill="1" applyBorder="1" applyAlignment="1">
      <alignment horizontal="center" vertical="center"/>
    </xf>
    <xf numFmtId="0" fontId="65" fillId="38" borderId="4" xfId="0" applyFont="1" applyFill="1" applyBorder="1" applyAlignment="1">
      <alignment horizontal="center" vertical="top" wrapText="1"/>
    </xf>
    <xf numFmtId="0" fontId="48" fillId="38" borderId="4" xfId="0" applyFont="1" applyFill="1" applyBorder="1" applyAlignment="1">
      <alignment horizontal="center" vertical="center" wrapText="1"/>
    </xf>
    <xf numFmtId="0" fontId="48" fillId="38" borderId="4" xfId="0" applyFont="1" applyFill="1" applyBorder="1" applyAlignment="1">
      <alignment horizontal="center" vertical="center"/>
    </xf>
    <xf numFmtId="0" fontId="43" fillId="38" borderId="10" xfId="0" quotePrefix="1" applyFont="1" applyFill="1" applyBorder="1"/>
    <xf numFmtId="0" fontId="33" fillId="37" borderId="8" xfId="0" applyFont="1" applyFill="1" applyBorder="1" applyAlignment="1">
      <alignment vertical="top" wrapText="1"/>
    </xf>
    <xf numFmtId="0" fontId="64" fillId="37" borderId="0" xfId="0" applyFont="1" applyFill="1" applyAlignment="1">
      <alignment horizontal="left" vertical="center" wrapText="1"/>
    </xf>
    <xf numFmtId="164" fontId="50" fillId="37" borderId="0" xfId="0" applyNumberFormat="1" applyFont="1" applyFill="1" applyAlignment="1">
      <alignment horizontal="center" vertical="center"/>
    </xf>
    <xf numFmtId="164" fontId="51" fillId="37" borderId="0" xfId="0" applyNumberFormat="1" applyFont="1" applyFill="1" applyAlignment="1">
      <alignment horizontal="center" vertical="center"/>
    </xf>
    <xf numFmtId="0" fontId="33" fillId="38" borderId="10" xfId="0" applyFont="1" applyFill="1" applyBorder="1"/>
    <xf numFmtId="0" fontId="33" fillId="37" borderId="9" xfId="0" applyFont="1" applyFill="1" applyBorder="1"/>
    <xf numFmtId="11" fontId="33" fillId="37" borderId="4" xfId="0" applyNumberFormat="1" applyFont="1" applyFill="1" applyBorder="1"/>
    <xf numFmtId="0" fontId="43" fillId="37" borderId="4" xfId="0" applyFont="1" applyFill="1" applyBorder="1" applyAlignment="1">
      <alignment horizontal="center" vertical="center"/>
    </xf>
    <xf numFmtId="0" fontId="45" fillId="38" borderId="14" xfId="0" applyFont="1" applyFill="1" applyBorder="1" applyAlignment="1">
      <alignment horizontal="left" vertical="center" indent="4"/>
    </xf>
    <xf numFmtId="0" fontId="45" fillId="38" borderId="4" xfId="0" applyFont="1" applyFill="1" applyBorder="1" applyAlignment="1">
      <alignment horizontal="left" vertical="center" indent="4"/>
    </xf>
    <xf numFmtId="0" fontId="48" fillId="37" borderId="7" xfId="0" applyFont="1" applyFill="1" applyBorder="1" applyAlignment="1">
      <alignment horizontal="left" vertical="center" wrapText="1"/>
    </xf>
    <xf numFmtId="0" fontId="56" fillId="37" borderId="0" xfId="0" applyFont="1" applyFill="1" applyAlignment="1">
      <alignment horizontal="center" vertical="center"/>
    </xf>
    <xf numFmtId="0" fontId="50" fillId="37" borderId="56" xfId="0" applyFont="1" applyFill="1" applyBorder="1" applyAlignment="1">
      <alignment horizontal="center" vertical="center"/>
    </xf>
    <xf numFmtId="0" fontId="48" fillId="37" borderId="9" xfId="0" applyFont="1" applyFill="1" applyBorder="1" applyAlignment="1">
      <alignment horizontal="left" vertical="center" wrapText="1"/>
    </xf>
    <xf numFmtId="0" fontId="56" fillId="37" borderId="4" xfId="0" applyFont="1" applyFill="1" applyBorder="1" applyAlignment="1">
      <alignment horizontal="center" vertical="center"/>
    </xf>
    <xf numFmtId="0" fontId="50" fillId="37" borderId="58" xfId="0" applyFont="1" applyFill="1" applyBorder="1" applyAlignment="1">
      <alignment horizontal="center" vertical="center"/>
    </xf>
    <xf numFmtId="0" fontId="50" fillId="37" borderId="0" xfId="0" applyFont="1" applyFill="1" applyAlignment="1">
      <alignment horizontal="left"/>
    </xf>
    <xf numFmtId="0" fontId="63" fillId="37" borderId="0" xfId="0" applyFont="1" applyFill="1"/>
    <xf numFmtId="0" fontId="40" fillId="37" borderId="0" xfId="0" applyFont="1" applyFill="1" applyAlignment="1">
      <alignment horizontal="left" wrapText="1"/>
    </xf>
    <xf numFmtId="0" fontId="40" fillId="37" borderId="0" xfId="0" applyFont="1" applyFill="1" applyAlignment="1">
      <alignment horizontal="left"/>
    </xf>
    <xf numFmtId="0" fontId="63" fillId="37" borderId="0" xfId="0" applyFont="1" applyFill="1" applyAlignment="1">
      <alignment horizontal="left"/>
    </xf>
    <xf numFmtId="0" fontId="63" fillId="37" borderId="0" xfId="0" applyFont="1" applyFill="1" applyAlignment="1">
      <alignment horizontal="center" vertical="center"/>
    </xf>
    <xf numFmtId="0" fontId="0" fillId="0" borderId="0" xfId="0" applyProtection="1">
      <protection locked="0"/>
    </xf>
    <xf numFmtId="0" fontId="105" fillId="37" borderId="7" xfId="0" applyFont="1" applyFill="1" applyBorder="1"/>
    <xf numFmtId="0" fontId="105" fillId="37" borderId="0" xfId="0" applyFont="1" applyFill="1"/>
    <xf numFmtId="11" fontId="105" fillId="37" borderId="0" xfId="0" applyNumberFormat="1" applyFont="1" applyFill="1"/>
    <xf numFmtId="11" fontId="90" fillId="37" borderId="0" xfId="0" applyNumberFormat="1" applyFont="1" applyFill="1"/>
    <xf numFmtId="0" fontId="107" fillId="0" borderId="0" xfId="0" applyFont="1"/>
    <xf numFmtId="0" fontId="106" fillId="0" borderId="0" xfId="0" applyFont="1"/>
    <xf numFmtId="2" fontId="67" fillId="37" borderId="1" xfId="0" applyNumberFormat="1" applyFont="1" applyFill="1" applyBorder="1" applyAlignment="1">
      <alignment horizontal="center"/>
    </xf>
    <xf numFmtId="165" fontId="62" fillId="37" borderId="13" xfId="0" applyNumberFormat="1" applyFont="1" applyFill="1" applyBorder="1" applyAlignment="1">
      <alignment horizontal="center" vertical="center"/>
    </xf>
    <xf numFmtId="165" fontId="91" fillId="41" borderId="10" xfId="0" applyNumberFormat="1" applyFont="1" applyFill="1" applyBorder="1" applyAlignment="1">
      <alignment horizontal="center" vertical="center"/>
    </xf>
    <xf numFmtId="170" fontId="62" fillId="37" borderId="14" xfId="0" applyNumberFormat="1" applyFont="1" applyFill="1" applyBorder="1" applyAlignment="1">
      <alignment horizontal="center" vertical="center"/>
    </xf>
    <xf numFmtId="170" fontId="62" fillId="37" borderId="13" xfId="0" applyNumberFormat="1" applyFont="1" applyFill="1" applyBorder="1" applyAlignment="1">
      <alignment horizontal="center" vertical="center"/>
    </xf>
    <xf numFmtId="170" fontId="62" fillId="37" borderId="0" xfId="0" applyNumberFormat="1" applyFont="1" applyFill="1" applyAlignment="1">
      <alignment horizontal="center" vertical="center"/>
    </xf>
    <xf numFmtId="170" fontId="62" fillId="37" borderId="8" xfId="0" applyNumberFormat="1" applyFont="1" applyFill="1" applyBorder="1" applyAlignment="1">
      <alignment horizontal="center" vertical="center"/>
    </xf>
    <xf numFmtId="170" fontId="62" fillId="37" borderId="4" xfId="0" applyNumberFormat="1" applyFont="1" applyFill="1" applyBorder="1" applyAlignment="1">
      <alignment horizontal="center" vertical="center"/>
    </xf>
    <xf numFmtId="170" fontId="62" fillId="37" borderId="10" xfId="0" applyNumberFormat="1" applyFont="1" applyFill="1" applyBorder="1" applyAlignment="1">
      <alignment horizontal="center" vertical="center"/>
    </xf>
    <xf numFmtId="165" fontId="67" fillId="37" borderId="1" xfId="0" applyNumberFormat="1" applyFont="1" applyFill="1" applyBorder="1" applyAlignment="1">
      <alignment horizontal="center" vertical="center"/>
    </xf>
    <xf numFmtId="165" fontId="67" fillId="37" borderId="1" xfId="0" applyNumberFormat="1" applyFont="1" applyFill="1" applyBorder="1" applyAlignment="1">
      <alignment horizontal="center"/>
    </xf>
    <xf numFmtId="170" fontId="62" fillId="37" borderId="1" xfId="0" applyNumberFormat="1" applyFont="1" applyFill="1" applyBorder="1" applyAlignment="1">
      <alignment horizontal="center" vertical="center"/>
    </xf>
    <xf numFmtId="170" fontId="62" fillId="37" borderId="1" xfId="0" applyNumberFormat="1" applyFont="1" applyFill="1" applyBorder="1" applyAlignment="1">
      <alignment horizontal="center" wrapText="1"/>
    </xf>
    <xf numFmtId="170" fontId="62" fillId="37" borderId="1" xfId="0" applyNumberFormat="1" applyFont="1" applyFill="1" applyBorder="1" applyAlignment="1">
      <alignment horizontal="center"/>
    </xf>
    <xf numFmtId="0" fontId="67" fillId="37" borderId="1" xfId="0" applyFont="1" applyFill="1" applyBorder="1" applyAlignment="1">
      <alignment horizontal="center"/>
    </xf>
    <xf numFmtId="0" fontId="95" fillId="37" borderId="0" xfId="0" applyFont="1" applyFill="1" applyAlignment="1">
      <alignment horizontal="left" vertical="center" indent="1"/>
    </xf>
    <xf numFmtId="0" fontId="33" fillId="37" borderId="0" xfId="0" applyFont="1" applyFill="1" applyAlignment="1">
      <alignment horizontal="left" vertical="center" indent="1"/>
    </xf>
    <xf numFmtId="0" fontId="97" fillId="39" borderId="0" xfId="0" applyFont="1" applyFill="1" applyAlignment="1">
      <alignment horizontal="center"/>
    </xf>
    <xf numFmtId="0" fontId="49" fillId="37" borderId="0" xfId="0" applyFont="1" applyFill="1" applyAlignment="1">
      <alignment horizontal="left" vertical="top" wrapText="1" indent="1"/>
    </xf>
    <xf numFmtId="0" fontId="37" fillId="37" borderId="0" xfId="0" applyFont="1" applyFill="1" applyAlignment="1">
      <alignment horizontal="left" vertical="top" wrapText="1"/>
    </xf>
    <xf numFmtId="0" fontId="37" fillId="37" borderId="0" xfId="0" applyFont="1" applyFill="1" applyAlignment="1">
      <alignment horizontal="left" vertical="center" wrapText="1" indent="1"/>
    </xf>
    <xf numFmtId="0" fontId="35" fillId="39" borderId="0" xfId="0" applyFont="1" applyFill="1" applyAlignment="1">
      <alignment horizontal="right" vertical="center"/>
    </xf>
    <xf numFmtId="0" fontId="37" fillId="37" borderId="0" xfId="0" applyFont="1" applyFill="1" applyAlignment="1">
      <alignment horizontal="left" indent="1"/>
    </xf>
    <xf numFmtId="0" fontId="33" fillId="37" borderId="0" xfId="0" applyFont="1" applyFill="1" applyAlignment="1">
      <alignment horizontal="left" indent="1"/>
    </xf>
    <xf numFmtId="0" fontId="37" fillId="37" borderId="0" xfId="0" applyFont="1" applyFill="1" applyAlignment="1">
      <alignment horizontal="left" vertical="center" indent="1"/>
    </xf>
    <xf numFmtId="0" fontId="49" fillId="37" borderId="0" xfId="0" applyFont="1" applyFill="1" applyAlignment="1">
      <alignment horizontal="left" vertical="center" wrapText="1" indent="1"/>
    </xf>
    <xf numFmtId="0" fontId="95" fillId="37" borderId="0" xfId="0" applyFont="1" applyFill="1" applyAlignment="1">
      <alignment horizontal="left" vertical="center" wrapText="1"/>
    </xf>
    <xf numFmtId="0" fontId="40" fillId="37" borderId="0" xfId="0" applyFont="1" applyFill="1" applyAlignment="1">
      <alignment horizontal="left" vertical="center" wrapText="1" indent="1"/>
    </xf>
    <xf numFmtId="0" fontId="40" fillId="37" borderId="4" xfId="0" applyFont="1" applyFill="1" applyBorder="1" applyAlignment="1">
      <alignment horizontal="left" vertical="center" wrapText="1" indent="1"/>
    </xf>
    <xf numFmtId="0" fontId="101" fillId="37" borderId="0" xfId="0" applyFont="1" applyFill="1" applyAlignment="1">
      <alignment horizontal="left" wrapText="1"/>
    </xf>
    <xf numFmtId="0" fontId="33" fillId="37" borderId="0" xfId="0" applyFont="1" applyFill="1" applyAlignment="1">
      <alignment horizontal="left" vertical="top" wrapText="1"/>
    </xf>
    <xf numFmtId="0" fontId="42" fillId="38" borderId="12" xfId="0" applyFont="1" applyFill="1" applyBorder="1" applyAlignment="1">
      <alignment horizontal="left" vertical="center" indent="1"/>
    </xf>
    <xf numFmtId="0" fontId="42" fillId="38" borderId="14" xfId="0" applyFont="1" applyFill="1" applyBorder="1" applyAlignment="1">
      <alignment horizontal="left" vertical="center" indent="1"/>
    </xf>
    <xf numFmtId="0" fontId="42" fillId="38" borderId="9" xfId="0" applyFont="1" applyFill="1" applyBorder="1" applyAlignment="1">
      <alignment horizontal="left" vertical="center" indent="1"/>
    </xf>
    <xf numFmtId="0" fontId="42" fillId="38" borderId="4" xfId="0" applyFont="1" applyFill="1" applyBorder="1" applyAlignment="1">
      <alignment horizontal="left" vertical="center" indent="1"/>
    </xf>
    <xf numFmtId="0" fontId="33" fillId="38" borderId="14" xfId="0" applyFont="1" applyFill="1" applyBorder="1" applyAlignment="1">
      <alignment horizontal="center" vertical="center" wrapText="1"/>
    </xf>
    <xf numFmtId="0" fontId="33" fillId="38" borderId="4" xfId="0" applyFont="1" applyFill="1" applyBorder="1" applyAlignment="1">
      <alignment horizontal="center" vertical="center" wrapText="1"/>
    </xf>
    <xf numFmtId="0" fontId="33" fillId="37" borderId="0" xfId="0" applyFont="1" applyFill="1" applyAlignment="1">
      <alignment horizontal="center"/>
    </xf>
    <xf numFmtId="0" fontId="55" fillId="37" borderId="7" xfId="0" applyFont="1" applyFill="1" applyBorder="1" applyAlignment="1">
      <alignment horizontal="center" vertical="center" wrapText="1"/>
    </xf>
    <xf numFmtId="0" fontId="55" fillId="37" borderId="0" xfId="0" applyFont="1" applyFill="1" applyAlignment="1">
      <alignment horizontal="center" vertical="center" wrapText="1"/>
    </xf>
    <xf numFmtId="0" fontId="55" fillId="37" borderId="8" xfId="0" applyFont="1" applyFill="1" applyBorder="1" applyAlignment="1">
      <alignment horizontal="center" vertical="center" wrapText="1"/>
    </xf>
    <xf numFmtId="0" fontId="55" fillId="37" borderId="9" xfId="0" applyFont="1" applyFill="1" applyBorder="1" applyAlignment="1">
      <alignment horizontal="center" vertical="center" wrapText="1"/>
    </xf>
    <xf numFmtId="0" fontId="55" fillId="37" borderId="4" xfId="0" applyFont="1" applyFill="1" applyBorder="1" applyAlignment="1">
      <alignment horizontal="center" vertical="center" wrapText="1"/>
    </xf>
    <xf numFmtId="0" fontId="55" fillId="37" borderId="10" xfId="0" applyFont="1" applyFill="1" applyBorder="1" applyAlignment="1">
      <alignment horizontal="center" vertical="center" wrapText="1"/>
    </xf>
    <xf numFmtId="0" fontId="48" fillId="37" borderId="30" xfId="0" applyFont="1" applyFill="1" applyBorder="1" applyAlignment="1">
      <alignment horizontal="left" wrapText="1"/>
    </xf>
    <xf numFmtId="0" fontId="48" fillId="37" borderId="28" xfId="0" applyFont="1" applyFill="1" applyBorder="1" applyAlignment="1">
      <alignment horizontal="left" wrapText="1"/>
    </xf>
    <xf numFmtId="0" fontId="48" fillId="37" borderId="2" xfId="0" applyFont="1" applyFill="1" applyBorder="1" applyAlignment="1">
      <alignment horizontal="left" wrapText="1"/>
    </xf>
    <xf numFmtId="0" fontId="33" fillId="37" borderId="64" xfId="0" applyFont="1" applyFill="1" applyBorder="1" applyAlignment="1">
      <alignment horizontal="center" vertical="center" wrapText="1"/>
    </xf>
    <xf numFmtId="0" fontId="33" fillId="37" borderId="59" xfId="0" applyFont="1" applyFill="1" applyBorder="1" applyAlignment="1">
      <alignment horizontal="center" vertical="center" wrapText="1"/>
    </xf>
    <xf numFmtId="0" fontId="33" fillId="37" borderId="65" xfId="0" applyFont="1" applyFill="1" applyBorder="1" applyAlignment="1">
      <alignment horizontal="center" vertical="center" wrapText="1"/>
    </xf>
    <xf numFmtId="0" fontId="33" fillId="37" borderId="60" xfId="0" applyFont="1" applyFill="1" applyBorder="1" applyAlignment="1">
      <alignment horizontal="center" vertical="center" wrapText="1"/>
    </xf>
    <xf numFmtId="0" fontId="45" fillId="38" borderId="12" xfId="0" applyFont="1" applyFill="1" applyBorder="1" applyAlignment="1">
      <alignment horizontal="left" vertical="center" indent="1"/>
    </xf>
    <xf numFmtId="0" fontId="45" fillId="38" borderId="14" xfId="0" applyFont="1" applyFill="1" applyBorder="1" applyAlignment="1">
      <alignment horizontal="left" vertical="center" indent="1"/>
    </xf>
    <xf numFmtId="0" fontId="45" fillId="38" borderId="13" xfId="0" applyFont="1" applyFill="1" applyBorder="1" applyAlignment="1">
      <alignment horizontal="left" vertical="center" indent="1"/>
    </xf>
    <xf numFmtId="0" fontId="45" fillId="38" borderId="9" xfId="0" applyFont="1" applyFill="1" applyBorder="1" applyAlignment="1">
      <alignment horizontal="left" vertical="center" indent="1"/>
    </xf>
    <xf numFmtId="0" fontId="45" fillId="38" borderId="4" xfId="0" applyFont="1" applyFill="1" applyBorder="1" applyAlignment="1">
      <alignment horizontal="left" vertical="center" indent="1"/>
    </xf>
    <xf numFmtId="0" fontId="45" fillId="38" borderId="10" xfId="0" applyFont="1" applyFill="1" applyBorder="1" applyAlignment="1">
      <alignment horizontal="left" vertical="center" indent="1"/>
    </xf>
    <xf numFmtId="0" fontId="85" fillId="38" borderId="5" xfId="0" applyFont="1" applyFill="1" applyBorder="1" applyAlignment="1">
      <alignment horizontal="center" vertical="center"/>
    </xf>
    <xf numFmtId="0" fontId="85" fillId="38" borderId="11" xfId="0" applyFont="1" applyFill="1" applyBorder="1" applyAlignment="1">
      <alignment horizontal="center" vertical="center"/>
    </xf>
    <xf numFmtId="0" fontId="85" fillId="38" borderId="6" xfId="0" applyFont="1" applyFill="1" applyBorder="1" applyAlignment="1">
      <alignment horizontal="center" vertical="center"/>
    </xf>
    <xf numFmtId="0" fontId="32" fillId="39" borderId="0" xfId="0" applyFont="1" applyFill="1" applyAlignment="1">
      <alignment horizontal="left" vertical="center" indent="1"/>
    </xf>
    <xf numFmtId="0" fontId="92" fillId="42" borderId="5" xfId="0" applyFont="1" applyFill="1" applyBorder="1" applyAlignment="1">
      <alignment horizontal="center" vertical="center"/>
    </xf>
    <xf numFmtId="0" fontId="92" fillId="42" borderId="11" xfId="0" applyFont="1" applyFill="1" applyBorder="1" applyAlignment="1">
      <alignment horizontal="center" vertical="center"/>
    </xf>
    <xf numFmtId="0" fontId="92" fillId="42" borderId="6" xfId="0" applyFont="1" applyFill="1" applyBorder="1" applyAlignment="1">
      <alignment horizontal="center" vertical="center"/>
    </xf>
    <xf numFmtId="0" fontId="78" fillId="38" borderId="28" xfId="0" applyFont="1" applyFill="1" applyBorder="1" applyAlignment="1" applyProtection="1">
      <alignment horizontal="left" vertical="center"/>
      <protection locked="0"/>
    </xf>
    <xf numFmtId="0" fontId="50" fillId="38" borderId="40" xfId="0" applyFont="1" applyFill="1" applyBorder="1" applyAlignment="1">
      <alignment horizontal="center" vertical="center"/>
    </xf>
    <xf numFmtId="0" fontId="50" fillId="38" borderId="67" xfId="0" applyFont="1" applyFill="1" applyBorder="1" applyAlignment="1">
      <alignment horizontal="center" vertical="center"/>
    </xf>
    <xf numFmtId="0" fontId="33" fillId="38" borderId="40" xfId="0" applyFont="1" applyFill="1" applyBorder="1" applyAlignment="1">
      <alignment horizontal="center" vertical="center"/>
    </xf>
    <xf numFmtId="0" fontId="33" fillId="38" borderId="67" xfId="0" applyFont="1" applyFill="1" applyBorder="1" applyAlignment="1">
      <alignment horizontal="center" vertical="center"/>
    </xf>
    <xf numFmtId="0" fontId="68" fillId="37" borderId="0" xfId="0" applyFont="1" applyFill="1" applyAlignment="1">
      <alignment horizontal="center" vertical="center"/>
    </xf>
    <xf numFmtId="0" fontId="68" fillId="37" borderId="8" xfId="0" applyFont="1" applyFill="1" applyBorder="1" applyAlignment="1">
      <alignment horizontal="center" vertical="center"/>
    </xf>
    <xf numFmtId="0" fontId="68" fillId="37" borderId="7" xfId="0" applyFont="1" applyFill="1" applyBorder="1" applyAlignment="1">
      <alignment horizontal="center" vertical="center"/>
    </xf>
    <xf numFmtId="0" fontId="98" fillId="37" borderId="0" xfId="0" applyFont="1" applyFill="1" applyAlignment="1">
      <alignment horizontal="left" wrapText="1"/>
    </xf>
    <xf numFmtId="0" fontId="33" fillId="37" borderId="0" xfId="0" applyFont="1" applyFill="1" applyAlignment="1">
      <alignment horizontal="left" vertical="center" wrapText="1" indent="1"/>
    </xf>
    <xf numFmtId="0" fontId="33" fillId="37" borderId="4" xfId="0" applyFont="1" applyFill="1" applyBorder="1" applyAlignment="1">
      <alignment horizontal="left" vertical="center" wrapText="1" indent="1"/>
    </xf>
    <xf numFmtId="0" fontId="68" fillId="37" borderId="9" xfId="0" applyFont="1" applyFill="1" applyBorder="1" applyAlignment="1">
      <alignment horizontal="center" vertical="center"/>
    </xf>
    <xf numFmtId="0" fontId="68" fillId="37" borderId="4" xfId="0" applyFont="1" applyFill="1" applyBorder="1" applyAlignment="1">
      <alignment horizontal="center" vertical="center"/>
    </xf>
    <xf numFmtId="0" fontId="68" fillId="37" borderId="10" xfId="0" applyFont="1" applyFill="1" applyBorder="1" applyAlignment="1">
      <alignment horizontal="center" vertical="center"/>
    </xf>
    <xf numFmtId="0" fontId="48" fillId="37" borderId="15" xfId="0" applyFont="1" applyFill="1" applyBorder="1" applyAlignment="1">
      <alignment horizontal="left" wrapText="1"/>
    </xf>
    <xf numFmtId="0" fontId="48" fillId="37" borderId="0" xfId="0" applyFont="1" applyFill="1" applyAlignment="1">
      <alignment horizontal="left" wrapText="1"/>
    </xf>
    <xf numFmtId="0" fontId="50" fillId="38" borderId="13" xfId="0" applyFont="1" applyFill="1" applyBorder="1" applyAlignment="1">
      <alignment horizontal="center" vertical="center"/>
    </xf>
    <xf numFmtId="0" fontId="50" fillId="38" borderId="10" xfId="0" applyFont="1" applyFill="1" applyBorder="1" applyAlignment="1">
      <alignment horizontal="center" vertical="center"/>
    </xf>
    <xf numFmtId="0" fontId="42" fillId="38" borderId="13" xfId="0" applyFont="1" applyFill="1" applyBorder="1" applyAlignment="1">
      <alignment horizontal="left" vertical="center" indent="1"/>
    </xf>
    <xf numFmtId="0" fontId="42" fillId="38" borderId="10" xfId="0" applyFont="1" applyFill="1" applyBorder="1" applyAlignment="1">
      <alignment horizontal="left" vertical="center" indent="1"/>
    </xf>
    <xf numFmtId="0" fontId="33" fillId="38" borderId="16" xfId="0" applyFont="1" applyFill="1" applyBorder="1" applyAlignment="1">
      <alignment horizontal="center" vertical="center"/>
    </xf>
    <xf numFmtId="0" fontId="33" fillId="37" borderId="61" xfId="0" applyFont="1" applyFill="1" applyBorder="1" applyAlignment="1">
      <alignment horizontal="center" vertical="center" wrapText="1"/>
    </xf>
    <xf numFmtId="0" fontId="33" fillId="37" borderId="42" xfId="0" applyFont="1" applyFill="1" applyBorder="1" applyAlignment="1">
      <alignment horizontal="center" vertical="center" wrapText="1"/>
    </xf>
    <xf numFmtId="0" fontId="85" fillId="37" borderId="0" xfId="0" applyFont="1" applyFill="1" applyAlignment="1">
      <alignment horizontal="center" vertical="center"/>
    </xf>
    <xf numFmtId="0" fontId="78" fillId="38" borderId="4" xfId="0" applyFont="1" applyFill="1" applyBorder="1" applyAlignment="1">
      <alignment horizontal="left" vertical="center"/>
    </xf>
    <xf numFmtId="0" fontId="3" fillId="3" borderId="7" xfId="0" applyFont="1" applyFill="1" applyBorder="1" applyAlignment="1">
      <alignment horizontal="left" vertical="center"/>
    </xf>
    <xf numFmtId="0" fontId="3" fillId="3" borderId="0" xfId="0" applyFont="1" applyFill="1" applyAlignment="1">
      <alignment horizontal="left" vertical="center"/>
    </xf>
  </cellXfs>
  <cellStyles count="42">
    <cellStyle name="20% - 着色 1 2" xfId="19" xr:uid="{6C4C60F6-18C1-44AE-B90C-C4E8D2F2005E}"/>
    <cellStyle name="20% - 着色 2 2" xfId="23" xr:uid="{02E22467-D268-463F-9786-8CAB0364306F}"/>
    <cellStyle name="20% - 着色 3 2" xfId="27" xr:uid="{604A2185-AD3C-4016-B4DA-F8BC185D9AE2}"/>
    <cellStyle name="20% - 着色 4 2" xfId="31" xr:uid="{5D2189DD-DC2F-4839-9993-D07971840097}"/>
    <cellStyle name="20% - 着色 5 2" xfId="35" xr:uid="{CC26EA87-4458-491D-8944-7F6CA9841159}"/>
    <cellStyle name="20% - 着色 6 2" xfId="39" xr:uid="{30143F61-9783-4AF8-A803-6D0A8BDF2967}"/>
    <cellStyle name="40% - 着色 1 2" xfId="20" xr:uid="{4D4FE3F3-464C-4337-8F9B-06A03B0D3913}"/>
    <cellStyle name="40% - 着色 2 2" xfId="24" xr:uid="{E5901A65-DDAF-4B4E-83B0-820364A6D221}"/>
    <cellStyle name="40% - 着色 3 2" xfId="28" xr:uid="{35733C2E-F29A-4CCD-A738-1A857120254F}"/>
    <cellStyle name="40% - 着色 4 2" xfId="32" xr:uid="{48382E02-1CB7-40AF-8D0B-5EC6DA6D634C}"/>
    <cellStyle name="40% - 着色 5 2" xfId="36" xr:uid="{C554C481-22A2-4AFA-B7F0-AA466E91B125}"/>
    <cellStyle name="40% - 着色 6 2" xfId="40" xr:uid="{BA6F3129-686B-4B84-AB04-9F091B37DF55}"/>
    <cellStyle name="60% - 着色 1 2" xfId="21" xr:uid="{77E26A0D-4446-4F2F-BD13-4D6CB49A5339}"/>
    <cellStyle name="60% - 着色 2 2" xfId="25" xr:uid="{63609679-C9CB-4677-BEED-F3301223979E}"/>
    <cellStyle name="60% - 着色 3 2" xfId="29" xr:uid="{7049A6E4-5B0F-4910-980C-0A85FF387FA8}"/>
    <cellStyle name="60% - 着色 4 2" xfId="33" xr:uid="{A2FCAB05-21F9-4EC4-9F75-DD071D422D66}"/>
    <cellStyle name="60% - 着色 5 2" xfId="37" xr:uid="{85D86F2A-EB1A-4B86-9D61-134BD5B20F74}"/>
    <cellStyle name="60% - 着色 6 2" xfId="41" xr:uid="{6CB6EBD2-3C06-4FAF-9165-9F2378DEF2F9}"/>
    <cellStyle name="Normal" xfId="0" builtinId="0"/>
    <cellStyle name="好 2" xfId="6" xr:uid="{741B51A2-3A57-4377-9D73-8C4A14A84497}"/>
    <cellStyle name="差 2" xfId="7" xr:uid="{A6D84F5B-C181-44E8-9F48-E047B4ECD454}"/>
    <cellStyle name="标题 1 2" xfId="2" xr:uid="{AED12832-D6AC-4BD4-BB0B-4840897AA00A}"/>
    <cellStyle name="标题 2 2" xfId="3" xr:uid="{0364EE36-171F-42C4-A2F8-754130B96D5E}"/>
    <cellStyle name="标题 3 2" xfId="4" xr:uid="{0E537A36-E427-484F-BE67-18FA1640F023}"/>
    <cellStyle name="标题 4 2" xfId="5" xr:uid="{D81CCB07-8263-40AD-8E27-D029045FBFD4}"/>
    <cellStyle name="标题 5" xfId="1" xr:uid="{6F4B1979-BB59-4A46-B635-5DC3142DAFF1}"/>
    <cellStyle name="检查单元格 2" xfId="13" xr:uid="{B6A4F9A0-E9B6-49BA-95DE-943BE11E1AE5}"/>
    <cellStyle name="汇总 2" xfId="17" xr:uid="{251CFFD6-C147-4605-BDE9-4B2D2C339BE7}"/>
    <cellStyle name="注释 2" xfId="15" xr:uid="{03DE52F1-99EF-47E9-A108-0E1AA0BA46C0}"/>
    <cellStyle name="着色 1 2" xfId="18" xr:uid="{BDFDFCDF-4BE7-4F80-A425-74147AC5FF8A}"/>
    <cellStyle name="着色 2 2" xfId="22" xr:uid="{BF1AECDC-29CF-4126-A528-218B95A1E1A2}"/>
    <cellStyle name="着色 3 2" xfId="26" xr:uid="{467E1C10-DF9D-42DE-B840-65ECE48B71AE}"/>
    <cellStyle name="着色 4 2" xfId="30" xr:uid="{62C6F683-2112-4F84-9AD1-B70C8622B609}"/>
    <cellStyle name="着色 5 2" xfId="34" xr:uid="{AE92EDDA-DEFB-4D6A-B8F9-46852FD3A112}"/>
    <cellStyle name="着色 6 2" xfId="38" xr:uid="{CE51B030-E41E-4747-9C3B-2ECB42FDB697}"/>
    <cellStyle name="解释性文本 2" xfId="16" xr:uid="{F76010EC-8E24-4960-AE26-CE3BAF0959F0}"/>
    <cellStyle name="警告文本 2" xfId="14" xr:uid="{49D23AE7-26A3-41DE-B8FE-83FCB02D18D8}"/>
    <cellStyle name="计算 2" xfId="11" xr:uid="{5F596628-4ECD-4871-928A-3A15D6A131A0}"/>
    <cellStyle name="输入 2" xfId="9" xr:uid="{1CE76844-03FD-4249-8A48-713DC900F7CA}"/>
    <cellStyle name="输出 2" xfId="10" xr:uid="{F8E433EB-E29C-4CD4-BCFD-8E0802E6C5FF}"/>
    <cellStyle name="适中 2" xfId="8" xr:uid="{A6244D8C-DF2B-4FAC-8BEA-4EC7DE055BE6}"/>
    <cellStyle name="链接单元格 2" xfId="12" xr:uid="{12CB70D2-831F-4921-B61B-205FA219030D}"/>
  </cellStyles>
  <dxfs count="21">
    <dxf>
      <font>
        <strike val="0"/>
        <outline val="0"/>
        <shadow val="0"/>
        <u val="none"/>
        <vertAlign val="baseline"/>
        <sz val="11"/>
        <color auto="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numFmt numFmtId="15" formatCode="0.00E+00"/>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s>
  <tableStyles count="0" defaultTableStyle="TableStyleMedium2" defaultPivotStyle="PivotStyleLight16"/>
  <colors>
    <mruColors>
      <color rgb="FFEEEEEE"/>
      <color rgb="FFAE0202"/>
      <color rgb="FFFDFAD7"/>
      <color rgb="FFF7EFC8"/>
      <color rgb="FFF7F2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Interpolation</c:v>
          </c:tx>
          <c:spPr>
            <a:ln w="25400">
              <a:solidFill>
                <a:srgbClr val="8B0000"/>
              </a:solidFill>
            </a:ln>
          </c:spPr>
          <c:marker>
            <c:symbol val="none"/>
          </c:marker>
          <c:xVal>
            <c:numLit>
              <c:formatCode>General</c:formatCode>
              <c:ptCount val="300"/>
              <c:pt idx="0">
                <c:v>100</c:v>
              </c:pt>
              <c:pt idx="1">
                <c:v>100</c:v>
              </c:pt>
              <c:pt idx="2">
                <c:v>100</c:v>
              </c:pt>
              <c:pt idx="3">
                <c:v>100</c:v>
              </c:pt>
              <c:pt idx="4">
                <c:v>100</c:v>
              </c:pt>
              <c:pt idx="5">
                <c:v>100</c:v>
              </c:pt>
              <c:pt idx="6">
                <c:v>100</c:v>
              </c:pt>
              <c:pt idx="7">
                <c:v>100</c:v>
              </c:pt>
              <c:pt idx="8">
                <c:v>100</c:v>
              </c:pt>
              <c:pt idx="9">
                <c:v>100</c:v>
              </c:pt>
              <c:pt idx="10">
                <c:v>98.25</c:v>
              </c:pt>
              <c:pt idx="11">
                <c:v>96.5</c:v>
              </c:pt>
              <c:pt idx="12">
                <c:v>94.75</c:v>
              </c:pt>
              <c:pt idx="13">
                <c:v>93</c:v>
              </c:pt>
              <c:pt idx="14">
                <c:v>91.25</c:v>
              </c:pt>
              <c:pt idx="15">
                <c:v>89.5</c:v>
              </c:pt>
              <c:pt idx="16">
                <c:v>87.75</c:v>
              </c:pt>
              <c:pt idx="17">
                <c:v>86</c:v>
              </c:pt>
              <c:pt idx="18">
                <c:v>84.25</c:v>
              </c:pt>
              <c:pt idx="19">
                <c:v>82.5</c:v>
              </c:pt>
              <c:pt idx="20">
                <c:v>80.75</c:v>
              </c:pt>
              <c:pt idx="21">
                <c:v>79</c:v>
              </c:pt>
              <c:pt idx="22">
                <c:v>77.25</c:v>
              </c:pt>
              <c:pt idx="23">
                <c:v>75.5</c:v>
              </c:pt>
              <c:pt idx="24">
                <c:v>73.75</c:v>
              </c:pt>
              <c:pt idx="25">
                <c:v>72</c:v>
              </c:pt>
              <c:pt idx="26">
                <c:v>70.25</c:v>
              </c:pt>
              <c:pt idx="27">
                <c:v>68.5</c:v>
              </c:pt>
              <c:pt idx="28">
                <c:v>66.75</c:v>
              </c:pt>
              <c:pt idx="29">
                <c:v>65</c:v>
              </c:pt>
              <c:pt idx="30">
                <c:v>63.25</c:v>
              </c:pt>
              <c:pt idx="31">
                <c:v>61.5</c:v>
              </c:pt>
              <c:pt idx="32">
                <c:v>59.75</c:v>
              </c:pt>
              <c:pt idx="33">
                <c:v>58</c:v>
              </c:pt>
              <c:pt idx="34">
                <c:v>56.25</c:v>
              </c:pt>
              <c:pt idx="35">
                <c:v>54.5</c:v>
              </c:pt>
              <c:pt idx="36">
                <c:v>52.75</c:v>
              </c:pt>
              <c:pt idx="37">
                <c:v>51</c:v>
              </c:pt>
              <c:pt idx="38">
                <c:v>49.25</c:v>
              </c:pt>
              <c:pt idx="39">
                <c:v>47.5</c:v>
              </c:pt>
              <c:pt idx="40">
                <c:v>45.75</c:v>
              </c:pt>
              <c:pt idx="41">
                <c:v>44</c:v>
              </c:pt>
              <c:pt idx="42">
                <c:v>42.25</c:v>
              </c:pt>
              <c:pt idx="43">
                <c:v>40.5</c:v>
              </c:pt>
              <c:pt idx="44">
                <c:v>38.75</c:v>
              </c:pt>
              <c:pt idx="45">
                <c:v>37</c:v>
              </c:pt>
              <c:pt idx="46">
                <c:v>35.25</c:v>
              </c:pt>
              <c:pt idx="47">
                <c:v>33.5</c:v>
              </c:pt>
              <c:pt idx="48">
                <c:v>31.75</c:v>
              </c:pt>
              <c:pt idx="49">
                <c:v>30</c:v>
              </c:pt>
              <c:pt idx="50">
                <c:v>29.6</c:v>
              </c:pt>
              <c:pt idx="51">
                <c:v>29.2</c:v>
              </c:pt>
              <c:pt idx="52">
                <c:v>28.8</c:v>
              </c:pt>
              <c:pt idx="53">
                <c:v>28.4</c:v>
              </c:pt>
              <c:pt idx="54">
                <c:v>28</c:v>
              </c:pt>
              <c:pt idx="55">
                <c:v>27.6</c:v>
              </c:pt>
              <c:pt idx="56">
                <c:v>27.2</c:v>
              </c:pt>
              <c:pt idx="57">
                <c:v>26.8</c:v>
              </c:pt>
              <c:pt idx="58">
                <c:v>26.4</c:v>
              </c:pt>
              <c:pt idx="59">
                <c:v>26</c:v>
              </c:pt>
              <c:pt idx="60">
                <c:v>25.6</c:v>
              </c:pt>
              <c:pt idx="61">
                <c:v>25.2</c:v>
              </c:pt>
              <c:pt idx="62">
                <c:v>24.8</c:v>
              </c:pt>
              <c:pt idx="63">
                <c:v>24.4</c:v>
              </c:pt>
              <c:pt idx="64">
                <c:v>24</c:v>
              </c:pt>
              <c:pt idx="65">
                <c:v>23.6</c:v>
              </c:pt>
              <c:pt idx="66">
                <c:v>23.2</c:v>
              </c:pt>
              <c:pt idx="67">
                <c:v>22.8</c:v>
              </c:pt>
              <c:pt idx="68">
                <c:v>22.4</c:v>
              </c:pt>
              <c:pt idx="69">
                <c:v>22</c:v>
              </c:pt>
              <c:pt idx="70">
                <c:v>21.6</c:v>
              </c:pt>
              <c:pt idx="71">
                <c:v>21.2</c:v>
              </c:pt>
              <c:pt idx="72">
                <c:v>20.8</c:v>
              </c:pt>
              <c:pt idx="73">
                <c:v>20.399999999999999</c:v>
              </c:pt>
              <c:pt idx="74">
                <c:v>20</c:v>
              </c:pt>
              <c:pt idx="75">
                <c:v>19.600000000000001</c:v>
              </c:pt>
              <c:pt idx="76">
                <c:v>19.2</c:v>
              </c:pt>
              <c:pt idx="77">
                <c:v>18.8</c:v>
              </c:pt>
              <c:pt idx="78">
                <c:v>18.399999999999999</c:v>
              </c:pt>
              <c:pt idx="79">
                <c:v>18</c:v>
              </c:pt>
              <c:pt idx="80">
                <c:v>17.600000000000001</c:v>
              </c:pt>
              <c:pt idx="81">
                <c:v>17.2</c:v>
              </c:pt>
              <c:pt idx="82">
                <c:v>16.8</c:v>
              </c:pt>
              <c:pt idx="83">
                <c:v>16.399999999999999</c:v>
              </c:pt>
              <c:pt idx="84">
                <c:v>16</c:v>
              </c:pt>
              <c:pt idx="85">
                <c:v>15.6</c:v>
              </c:pt>
              <c:pt idx="86">
                <c:v>15.2</c:v>
              </c:pt>
              <c:pt idx="87">
                <c:v>14.8</c:v>
              </c:pt>
              <c:pt idx="88">
                <c:v>14.4</c:v>
              </c:pt>
              <c:pt idx="89">
                <c:v>14</c:v>
              </c:pt>
              <c:pt idx="90">
                <c:v>13.6</c:v>
              </c:pt>
              <c:pt idx="91">
                <c:v>13.2</c:v>
              </c:pt>
              <c:pt idx="92">
                <c:v>12.8</c:v>
              </c:pt>
              <c:pt idx="93">
                <c:v>12.4</c:v>
              </c:pt>
              <c:pt idx="94">
                <c:v>12</c:v>
              </c:pt>
              <c:pt idx="95">
                <c:v>11.6</c:v>
              </c:pt>
              <c:pt idx="96">
                <c:v>11.2</c:v>
              </c:pt>
              <c:pt idx="97">
                <c:v>10.8</c:v>
              </c:pt>
              <c:pt idx="98">
                <c:v>10.4</c:v>
              </c:pt>
              <c:pt idx="99">
                <c:v>10</c:v>
              </c:pt>
              <c:pt idx="100">
                <c:v>9.84</c:v>
              </c:pt>
              <c:pt idx="101">
                <c:v>9.68</c:v>
              </c:pt>
              <c:pt idx="102">
                <c:v>9.52</c:v>
              </c:pt>
              <c:pt idx="103">
                <c:v>9.36</c:v>
              </c:pt>
              <c:pt idx="104">
                <c:v>9.1999999999999993</c:v>
              </c:pt>
              <c:pt idx="105">
                <c:v>9.0399999999999991</c:v>
              </c:pt>
              <c:pt idx="106">
                <c:v>8.8800000000000008</c:v>
              </c:pt>
              <c:pt idx="107">
                <c:v>8.7200000000000006</c:v>
              </c:pt>
              <c:pt idx="108">
                <c:v>8.56</c:v>
              </c:pt>
              <c:pt idx="109">
                <c:v>8.4</c:v>
              </c:pt>
              <c:pt idx="110">
                <c:v>8.24</c:v>
              </c:pt>
              <c:pt idx="111">
                <c:v>8.08</c:v>
              </c:pt>
              <c:pt idx="112">
                <c:v>7.92</c:v>
              </c:pt>
              <c:pt idx="113">
                <c:v>7.76</c:v>
              </c:pt>
              <c:pt idx="114">
                <c:v>7.6</c:v>
              </c:pt>
              <c:pt idx="115">
                <c:v>7.44</c:v>
              </c:pt>
              <c:pt idx="116">
                <c:v>7.28</c:v>
              </c:pt>
              <c:pt idx="117">
                <c:v>7.12</c:v>
              </c:pt>
              <c:pt idx="118">
                <c:v>6.96</c:v>
              </c:pt>
              <c:pt idx="119">
                <c:v>6.8</c:v>
              </c:pt>
              <c:pt idx="120">
                <c:v>6.64</c:v>
              </c:pt>
              <c:pt idx="121">
                <c:v>6.48</c:v>
              </c:pt>
              <c:pt idx="122">
                <c:v>6.32</c:v>
              </c:pt>
              <c:pt idx="123">
                <c:v>6.16</c:v>
              </c:pt>
              <c:pt idx="124">
                <c:v>6</c:v>
              </c:pt>
              <c:pt idx="125">
                <c:v>5.84</c:v>
              </c:pt>
              <c:pt idx="126">
                <c:v>5.68</c:v>
              </c:pt>
              <c:pt idx="127">
                <c:v>5.52</c:v>
              </c:pt>
              <c:pt idx="128">
                <c:v>5.36</c:v>
              </c:pt>
              <c:pt idx="129">
                <c:v>5.2</c:v>
              </c:pt>
              <c:pt idx="130">
                <c:v>5.04</c:v>
              </c:pt>
              <c:pt idx="131">
                <c:v>4.88</c:v>
              </c:pt>
              <c:pt idx="132">
                <c:v>4.72</c:v>
              </c:pt>
              <c:pt idx="133">
                <c:v>4.5599999999999996</c:v>
              </c:pt>
              <c:pt idx="134">
                <c:v>4.4000000000000004</c:v>
              </c:pt>
              <c:pt idx="135">
                <c:v>4.24</c:v>
              </c:pt>
              <c:pt idx="136">
                <c:v>4.08</c:v>
              </c:pt>
              <c:pt idx="137">
                <c:v>3.92</c:v>
              </c:pt>
              <c:pt idx="138">
                <c:v>3.76</c:v>
              </c:pt>
              <c:pt idx="139">
                <c:v>3.6</c:v>
              </c:pt>
              <c:pt idx="140">
                <c:v>3.44</c:v>
              </c:pt>
              <c:pt idx="141">
                <c:v>3.28</c:v>
              </c:pt>
              <c:pt idx="142">
                <c:v>3.12</c:v>
              </c:pt>
              <c:pt idx="143">
                <c:v>2.96</c:v>
              </c:pt>
              <c:pt idx="144">
                <c:v>2.8</c:v>
              </c:pt>
              <c:pt idx="145">
                <c:v>2.64</c:v>
              </c:pt>
              <c:pt idx="146">
                <c:v>2.48</c:v>
              </c:pt>
              <c:pt idx="147">
                <c:v>2.3199999999999998</c:v>
              </c:pt>
              <c:pt idx="148">
                <c:v>2.16</c:v>
              </c:pt>
              <c:pt idx="149">
                <c:v>2</c:v>
              </c:pt>
              <c:pt idx="150">
                <c:v>1.99</c:v>
              </c:pt>
              <c:pt idx="151">
                <c:v>1.98</c:v>
              </c:pt>
              <c:pt idx="152">
                <c:v>1.97</c:v>
              </c:pt>
              <c:pt idx="153">
                <c:v>1.96</c:v>
              </c:pt>
              <c:pt idx="154">
                <c:v>1.95</c:v>
              </c:pt>
              <c:pt idx="155">
                <c:v>1.94</c:v>
              </c:pt>
              <c:pt idx="156">
                <c:v>1.93</c:v>
              </c:pt>
              <c:pt idx="157">
                <c:v>1.92</c:v>
              </c:pt>
              <c:pt idx="158">
                <c:v>1.91</c:v>
              </c:pt>
              <c:pt idx="159">
                <c:v>1.9</c:v>
              </c:pt>
              <c:pt idx="160">
                <c:v>1.89</c:v>
              </c:pt>
              <c:pt idx="161">
                <c:v>1.88</c:v>
              </c:pt>
              <c:pt idx="162">
                <c:v>1.87</c:v>
              </c:pt>
              <c:pt idx="163">
                <c:v>1.86</c:v>
              </c:pt>
              <c:pt idx="164">
                <c:v>1.85</c:v>
              </c:pt>
              <c:pt idx="165">
                <c:v>1.84</c:v>
              </c:pt>
              <c:pt idx="166">
                <c:v>1.83</c:v>
              </c:pt>
              <c:pt idx="167">
                <c:v>1.82</c:v>
              </c:pt>
              <c:pt idx="168">
                <c:v>1.81</c:v>
              </c:pt>
              <c:pt idx="169">
                <c:v>1.8</c:v>
              </c:pt>
              <c:pt idx="170">
                <c:v>1.79</c:v>
              </c:pt>
              <c:pt idx="171">
                <c:v>1.78</c:v>
              </c:pt>
              <c:pt idx="172">
                <c:v>1.77</c:v>
              </c:pt>
              <c:pt idx="173">
                <c:v>1.76</c:v>
              </c:pt>
              <c:pt idx="174">
                <c:v>1.75</c:v>
              </c:pt>
              <c:pt idx="175">
                <c:v>1.74</c:v>
              </c:pt>
              <c:pt idx="176">
                <c:v>1.73</c:v>
              </c:pt>
              <c:pt idx="177">
                <c:v>1.72</c:v>
              </c:pt>
              <c:pt idx="178">
                <c:v>1.71</c:v>
              </c:pt>
              <c:pt idx="179">
                <c:v>1.7</c:v>
              </c:pt>
              <c:pt idx="180">
                <c:v>1.69</c:v>
              </c:pt>
              <c:pt idx="181">
                <c:v>1.68</c:v>
              </c:pt>
              <c:pt idx="182">
                <c:v>1.67</c:v>
              </c:pt>
              <c:pt idx="183">
                <c:v>1.66</c:v>
              </c:pt>
              <c:pt idx="184">
                <c:v>1.65</c:v>
              </c:pt>
              <c:pt idx="185">
                <c:v>1.64</c:v>
              </c:pt>
              <c:pt idx="186">
                <c:v>1.63</c:v>
              </c:pt>
              <c:pt idx="187">
                <c:v>1.62</c:v>
              </c:pt>
              <c:pt idx="188">
                <c:v>1.61</c:v>
              </c:pt>
              <c:pt idx="189">
                <c:v>1.6</c:v>
              </c:pt>
              <c:pt idx="190">
                <c:v>1.59</c:v>
              </c:pt>
              <c:pt idx="191">
                <c:v>1.58</c:v>
              </c:pt>
              <c:pt idx="192">
                <c:v>1.57</c:v>
              </c:pt>
              <c:pt idx="193">
                <c:v>1.56</c:v>
              </c:pt>
              <c:pt idx="194">
                <c:v>1.55</c:v>
              </c:pt>
              <c:pt idx="195">
                <c:v>1.54</c:v>
              </c:pt>
              <c:pt idx="196">
                <c:v>1.53</c:v>
              </c:pt>
              <c:pt idx="197">
                <c:v>1.52</c:v>
              </c:pt>
              <c:pt idx="198">
                <c:v>1.51</c:v>
              </c:pt>
              <c:pt idx="199">
                <c:v>1.5</c:v>
              </c:pt>
              <c:pt idx="200">
                <c:v>1.49</c:v>
              </c:pt>
              <c:pt idx="201">
                <c:v>1.48</c:v>
              </c:pt>
              <c:pt idx="202">
                <c:v>1.47</c:v>
              </c:pt>
              <c:pt idx="203">
                <c:v>1.46</c:v>
              </c:pt>
              <c:pt idx="204">
                <c:v>1.45</c:v>
              </c:pt>
              <c:pt idx="205">
                <c:v>1.44</c:v>
              </c:pt>
              <c:pt idx="206">
                <c:v>1.43</c:v>
              </c:pt>
              <c:pt idx="207">
                <c:v>1.42</c:v>
              </c:pt>
              <c:pt idx="208">
                <c:v>1.41</c:v>
              </c:pt>
              <c:pt idx="209">
                <c:v>1.4</c:v>
              </c:pt>
              <c:pt idx="210">
                <c:v>1.39</c:v>
              </c:pt>
              <c:pt idx="211">
                <c:v>1.38</c:v>
              </c:pt>
              <c:pt idx="212">
                <c:v>1.37</c:v>
              </c:pt>
              <c:pt idx="213">
                <c:v>1.36</c:v>
              </c:pt>
              <c:pt idx="214">
                <c:v>1.35</c:v>
              </c:pt>
              <c:pt idx="215">
                <c:v>1.34</c:v>
              </c:pt>
              <c:pt idx="216">
                <c:v>1.33</c:v>
              </c:pt>
              <c:pt idx="217">
                <c:v>1.32</c:v>
              </c:pt>
              <c:pt idx="218">
                <c:v>1.31</c:v>
              </c:pt>
              <c:pt idx="219">
                <c:v>1.3</c:v>
              </c:pt>
              <c:pt idx="220">
                <c:v>1.29</c:v>
              </c:pt>
              <c:pt idx="221">
                <c:v>1.28</c:v>
              </c:pt>
              <c:pt idx="222">
                <c:v>1.27</c:v>
              </c:pt>
              <c:pt idx="223">
                <c:v>1.26</c:v>
              </c:pt>
              <c:pt idx="224">
                <c:v>1.25</c:v>
              </c:pt>
              <c:pt idx="225">
                <c:v>1.24</c:v>
              </c:pt>
              <c:pt idx="226">
                <c:v>1.23</c:v>
              </c:pt>
              <c:pt idx="227">
                <c:v>1.22</c:v>
              </c:pt>
              <c:pt idx="228">
                <c:v>1.21</c:v>
              </c:pt>
              <c:pt idx="229">
                <c:v>1.2</c:v>
              </c:pt>
              <c:pt idx="230">
                <c:v>1.19</c:v>
              </c:pt>
              <c:pt idx="231">
                <c:v>1.18</c:v>
              </c:pt>
              <c:pt idx="232">
                <c:v>1.17</c:v>
              </c:pt>
              <c:pt idx="233">
                <c:v>1.1599999999999999</c:v>
              </c:pt>
              <c:pt idx="234">
                <c:v>1.1499999999999999</c:v>
              </c:pt>
              <c:pt idx="235">
                <c:v>1.1399999999999999</c:v>
              </c:pt>
              <c:pt idx="236">
                <c:v>1.1299999999999999</c:v>
              </c:pt>
              <c:pt idx="237">
                <c:v>1.1200000000000001</c:v>
              </c:pt>
              <c:pt idx="238">
                <c:v>1.1100000000000001</c:v>
              </c:pt>
              <c:pt idx="239">
                <c:v>1.1000000000000001</c:v>
              </c:pt>
              <c:pt idx="240">
                <c:v>1.0900000000000001</c:v>
              </c:pt>
              <c:pt idx="241">
                <c:v>1.08</c:v>
              </c:pt>
              <c:pt idx="242">
                <c:v>1.07</c:v>
              </c:pt>
              <c:pt idx="243">
                <c:v>1.06</c:v>
              </c:pt>
              <c:pt idx="244">
                <c:v>1.05</c:v>
              </c:pt>
              <c:pt idx="245">
                <c:v>1.04</c:v>
              </c:pt>
              <c:pt idx="246">
                <c:v>1.03</c:v>
              </c:pt>
              <c:pt idx="247">
                <c:v>1.02</c:v>
              </c:pt>
              <c:pt idx="248">
                <c:v>1.01</c:v>
              </c:pt>
              <c:pt idx="249">
                <c:v>1</c:v>
              </c:pt>
              <c:pt idx="250">
                <c:v>0.99</c:v>
              </c:pt>
              <c:pt idx="251">
                <c:v>0.98</c:v>
              </c:pt>
              <c:pt idx="252">
                <c:v>0.97</c:v>
              </c:pt>
              <c:pt idx="253">
                <c:v>0.96</c:v>
              </c:pt>
              <c:pt idx="254">
                <c:v>0.95</c:v>
              </c:pt>
              <c:pt idx="255">
                <c:v>0.94</c:v>
              </c:pt>
              <c:pt idx="256">
                <c:v>0.93</c:v>
              </c:pt>
              <c:pt idx="257">
                <c:v>0.92</c:v>
              </c:pt>
              <c:pt idx="258">
                <c:v>0.91</c:v>
              </c:pt>
              <c:pt idx="259">
                <c:v>0.9</c:v>
              </c:pt>
              <c:pt idx="260">
                <c:v>0.89</c:v>
              </c:pt>
              <c:pt idx="261">
                <c:v>0.88</c:v>
              </c:pt>
              <c:pt idx="262">
                <c:v>0.87</c:v>
              </c:pt>
              <c:pt idx="263">
                <c:v>0.86</c:v>
              </c:pt>
              <c:pt idx="264">
                <c:v>0.85</c:v>
              </c:pt>
              <c:pt idx="265">
                <c:v>0.84</c:v>
              </c:pt>
              <c:pt idx="266">
                <c:v>0.83</c:v>
              </c:pt>
              <c:pt idx="267">
                <c:v>0.82</c:v>
              </c:pt>
              <c:pt idx="268">
                <c:v>0.81</c:v>
              </c:pt>
              <c:pt idx="269">
                <c:v>0.8</c:v>
              </c:pt>
              <c:pt idx="270">
                <c:v>0.79</c:v>
              </c:pt>
              <c:pt idx="271">
                <c:v>0.78</c:v>
              </c:pt>
              <c:pt idx="272">
                <c:v>0.77</c:v>
              </c:pt>
              <c:pt idx="273">
                <c:v>0.76</c:v>
              </c:pt>
              <c:pt idx="274">
                <c:v>0.75</c:v>
              </c:pt>
              <c:pt idx="275">
                <c:v>0.74</c:v>
              </c:pt>
              <c:pt idx="276">
                <c:v>0.73</c:v>
              </c:pt>
              <c:pt idx="277">
                <c:v>0.72</c:v>
              </c:pt>
              <c:pt idx="278">
                <c:v>0.71</c:v>
              </c:pt>
              <c:pt idx="279">
                <c:v>0.7</c:v>
              </c:pt>
              <c:pt idx="280">
                <c:v>0.69</c:v>
              </c:pt>
              <c:pt idx="281">
                <c:v>0.68</c:v>
              </c:pt>
              <c:pt idx="282">
                <c:v>0.67</c:v>
              </c:pt>
              <c:pt idx="283">
                <c:v>0.66</c:v>
              </c:pt>
              <c:pt idx="284">
                <c:v>0.65</c:v>
              </c:pt>
              <c:pt idx="285">
                <c:v>0.64</c:v>
              </c:pt>
              <c:pt idx="286">
                <c:v>0.63</c:v>
              </c:pt>
              <c:pt idx="287">
                <c:v>0.62</c:v>
              </c:pt>
              <c:pt idx="288">
                <c:v>0.61</c:v>
              </c:pt>
              <c:pt idx="289">
                <c:v>0.6</c:v>
              </c:pt>
              <c:pt idx="290">
                <c:v>0.59</c:v>
              </c:pt>
              <c:pt idx="291">
                <c:v>0.57999999999999996</c:v>
              </c:pt>
              <c:pt idx="292">
                <c:v>0.56999999999999995</c:v>
              </c:pt>
              <c:pt idx="293">
                <c:v>0.56000000000000005</c:v>
              </c:pt>
              <c:pt idx="294">
                <c:v>0.55000000000000004</c:v>
              </c:pt>
              <c:pt idx="295">
                <c:v>0.54</c:v>
              </c:pt>
              <c:pt idx="296">
                <c:v>0.53</c:v>
              </c:pt>
              <c:pt idx="297">
                <c:v>0.52</c:v>
              </c:pt>
              <c:pt idx="298">
                <c:v>0.51</c:v>
              </c:pt>
              <c:pt idx="299">
                <c:v>0.5</c:v>
              </c:pt>
            </c:numLit>
          </c:xVal>
          <c:yVal>
            <c:numLit>
              <c:formatCode>General</c:formatCode>
              <c:ptCount val="3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numLit>
          </c:yVal>
          <c:smooth val="0"/>
          <c:extLst>
            <c:ext xmlns:c16="http://schemas.microsoft.com/office/drawing/2014/chart" uri="{C3380CC4-5D6E-409C-BE32-E72D297353CC}">
              <c16:uniqueId val="{00000007-7EDE-41E1-BC00-0092132B4A32}"/>
            </c:ext>
          </c:extLst>
        </c:ser>
        <c:ser>
          <c:idx val="1"/>
          <c:order val="1"/>
          <c:tx>
            <c:v>RawData</c:v>
          </c:tx>
          <c:spPr>
            <a:ln w="19050">
              <a:noFill/>
            </a:ln>
          </c:spPr>
          <c:marker>
            <c:symbol val="diamond"/>
            <c:size val="8"/>
            <c:spPr>
              <a:solidFill>
                <a:srgbClr val="FFFFFF"/>
              </a:solidFill>
              <a:ln>
                <a:solidFill>
                  <a:srgbClr val="000000"/>
                </a:solidFill>
                <a:prstDash val="solid"/>
              </a:ln>
            </c:spPr>
          </c:marker>
          <c:xVal>
            <c:numLit>
              <c:formatCode>General</c:formatCode>
              <c:ptCount val="7"/>
              <c:pt idx="0">
                <c:v>100</c:v>
              </c:pt>
              <c:pt idx="1">
                <c:v>100</c:v>
              </c:pt>
              <c:pt idx="2">
                <c:v>30</c:v>
              </c:pt>
              <c:pt idx="3">
                <c:v>10</c:v>
              </c:pt>
              <c:pt idx="4">
                <c:v>2</c:v>
              </c:pt>
              <c:pt idx="5">
                <c:v>1</c:v>
              </c:pt>
              <c:pt idx="6">
                <c:v>0.5</c:v>
              </c:pt>
            </c:numLit>
          </c:xVal>
          <c:yVal>
            <c:numLit>
              <c:formatCode>General</c:formatCode>
              <c:ptCount val="7"/>
              <c:pt idx="0">
                <c:v>0</c:v>
              </c:pt>
              <c:pt idx="1">
                <c:v>10</c:v>
              </c:pt>
              <c:pt idx="2">
                <c:v>50</c:v>
              </c:pt>
              <c:pt idx="3">
                <c:v>100</c:v>
              </c:pt>
              <c:pt idx="4">
                <c:v>150</c:v>
              </c:pt>
              <c:pt idx="5">
                <c:v>250</c:v>
              </c:pt>
              <c:pt idx="6">
                <c:v>300</c:v>
              </c:pt>
            </c:numLit>
          </c:yVal>
          <c:smooth val="0"/>
          <c:extLst>
            <c:ext xmlns:c16="http://schemas.microsoft.com/office/drawing/2014/chart" uri="{C3380CC4-5D6E-409C-BE32-E72D297353CC}">
              <c16:uniqueId val="{00000008-7EDE-41E1-BC00-0092132B4A32}"/>
            </c:ext>
          </c:extLst>
        </c:ser>
        <c:dLbls>
          <c:showLegendKey val="0"/>
          <c:showVal val="0"/>
          <c:showCatName val="0"/>
          <c:showSerName val="0"/>
          <c:showPercent val="0"/>
          <c:showBubbleSize val="0"/>
        </c:dLbls>
        <c:axId val="1935553839"/>
        <c:axId val="1935538959"/>
      </c:scatterChart>
      <c:valAx>
        <c:axId val="1935553839"/>
        <c:scaling>
          <c:orientation val="minMax"/>
          <c:max val="100"/>
          <c:min val="0"/>
        </c:scaling>
        <c:delete val="0"/>
        <c:axPos val="t"/>
        <c:title>
          <c:tx>
            <c:rich>
              <a:bodyPr/>
              <a:lstStyle/>
              <a:p>
                <a:pPr>
                  <a:defRPr b="0">
                    <a:latin typeface="Arial" panose="020B0604020202020204" pitchFamily="34" charset="0"/>
                  </a:defRPr>
                </a:pPr>
                <a:r>
                  <a:rPr lang="en-US" altLang="zh-CN" b="0">
                    <a:latin typeface="Arial" panose="020B0604020202020204" pitchFamily="34" charset="0"/>
                  </a:rPr>
                  <a:t>Soil concentration (ug/kg)</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zh-CN"/>
          </a:p>
        </c:txPr>
        <c:crossAx val="1935538959"/>
        <c:crosses val="autoZero"/>
        <c:crossBetween val="midCat"/>
      </c:valAx>
      <c:valAx>
        <c:axId val="1935538959"/>
        <c:scaling>
          <c:orientation val="maxMin"/>
          <c:max val="300"/>
          <c:min val="0"/>
        </c:scaling>
        <c:delete val="0"/>
        <c:axPos val="l"/>
        <c:title>
          <c:tx>
            <c:rich>
              <a:bodyPr/>
              <a:lstStyle/>
              <a:p>
                <a:pPr>
                  <a:defRPr b="0">
                    <a:latin typeface="Arial" panose="020B0604020202020204" pitchFamily="34" charset="0"/>
                  </a:defRPr>
                </a:pPr>
                <a:r>
                  <a:rPr lang="en-US" altLang="zh-CN" b="0">
                    <a:latin typeface="Arial" panose="020B0604020202020204" pitchFamily="34" charset="0"/>
                  </a:rPr>
                  <a:t>Depth (cm)</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zh-CN"/>
          </a:p>
        </c:txPr>
        <c:crossAx val="1935553839"/>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ltLang="zh-CN"/>
              <a:t>PFAS concentration in receptor well</a:t>
            </a:r>
          </a:p>
        </c:rich>
      </c:tx>
      <c:overlay val="0"/>
    </c:title>
    <c:autoTitleDeleted val="0"/>
    <c:plotArea>
      <c:layout>
        <c:manualLayout>
          <c:xMode val="edge"/>
          <c:yMode val="edge"/>
          <c:x val="5.5935657103102707E-2"/>
          <c:y val="0.11009081735620586"/>
          <c:w val="0.89287721147627674"/>
          <c:h val="0.83774686463889281"/>
        </c:manualLayout>
      </c:layout>
      <c:scatterChart>
        <c:scatterStyle val="lineMarker"/>
        <c:varyColors val="0"/>
        <c:ser>
          <c:idx val="0"/>
          <c:order val="0"/>
          <c:tx>
            <c:v>Receptor well concentration (ug/L)</c:v>
          </c:tx>
          <c:spPr>
            <a:ln w="25400"/>
          </c:spPr>
          <c:marker>
            <c:symbol val="none"/>
          </c:marker>
          <c:xVal>
            <c:numRef>
              <c:f>Module0_Output_Data!$A$3:$A$102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Module0_Output_Data!$C$3:$C$102</c:f>
              <c:numCache>
                <c:formatCode>0.00E+00</c:formatCode>
                <c:ptCount val="100"/>
                <c:pt idx="0">
                  <c:v>1.1555118032206134E-3</c:v>
                </c:pt>
                <c:pt idx="1">
                  <c:v>1.4232460455742245E-3</c:v>
                </c:pt>
                <c:pt idx="2">
                  <c:v>1.6560460810755076E-3</c:v>
                </c:pt>
                <c:pt idx="3">
                  <c:v>1.8719036317650165E-3</c:v>
                </c:pt>
                <c:pt idx="4">
                  <c:v>2.077804285835632E-3</c:v>
                </c:pt>
                <c:pt idx="5">
                  <c:v>2.2784078623885669E-3</c:v>
                </c:pt>
                <c:pt idx="6">
                  <c:v>2.4799933729435023E-3</c:v>
                </c:pt>
                <c:pt idx="7">
                  <c:v>2.6931290838261021E-3</c:v>
                </c:pt>
                <c:pt idx="8">
                  <c:v>2.933746341119699E-3</c:v>
                </c:pt>
                <c:pt idx="9">
                  <c:v>3.2229092468001345E-3</c:v>
                </c:pt>
                <c:pt idx="10">
                  <c:v>3.5861143733433775E-3</c:v>
                </c:pt>
                <c:pt idx="11">
                  <c:v>4.0527461782253081E-3</c:v>
                </c:pt>
                <c:pt idx="12">
                  <c:v>4.6557798370257973E-3</c:v>
                </c:pt>
                <c:pt idx="13">
                  <c:v>5.4313461873029441E-3</c:v>
                </c:pt>
                <c:pt idx="14">
                  <c:v>6.417583251372678E-3</c:v>
                </c:pt>
                <c:pt idx="15">
                  <c:v>7.6523664645973604E-3</c:v>
                </c:pt>
                <c:pt idx="16">
                  <c:v>9.1699221574562048E-3</c:v>
                </c:pt>
                <c:pt idx="17">
                  <c:v>1.0996767357453301E-2</c:v>
                </c:pt>
                <c:pt idx="18">
                  <c:v>1.3147693250334219E-2</c:v>
                </c:pt>
                <c:pt idx="19">
                  <c:v>1.5622541172078569E-2</c:v>
                </c:pt>
                <c:pt idx="20">
                  <c:v>1.8404342193086079E-2</c:v>
                </c:pt>
                <c:pt idx="21">
                  <c:v>2.1459099325086252E-2</c:v>
                </c:pt>
                <c:pt idx="22">
                  <c:v>2.4737186811088142E-2</c:v>
                </c:pt>
                <c:pt idx="23">
                  <c:v>2.817609739142167E-2</c:v>
                </c:pt>
                <c:pt idx="24">
                  <c:v>3.1704120669350605E-2</c:v>
                </c:pt>
                <c:pt idx="25">
                  <c:v>3.5244485478295312E-2</c:v>
                </c:pt>
                <c:pt idx="26">
                  <c:v>3.8719527568601718E-2</c:v>
                </c:pt>
                <c:pt idx="27">
                  <c:v>4.2054523650990203E-2</c:v>
                </c:pt>
                <c:pt idx="28">
                  <c:v>4.5180936967281711E-2</c:v>
                </c:pt>
                <c:pt idx="29">
                  <c:v>4.803892656421356E-2</c:v>
                </c:pt>
                <c:pt idx="30">
                  <c:v>5.0579067815828258E-2</c:v>
                </c:pt>
                <c:pt idx="31">
                  <c:v>5.2763307632800037E-2</c:v>
                </c:pt>
                <c:pt idx="32">
                  <c:v>5.4565231650715078E-2</c:v>
                </c:pt>
                <c:pt idx="33">
                  <c:v>5.5969753550257621E-2</c:v>
                </c:pt>
                <c:pt idx="34">
                  <c:v>5.6972351660194868E-2</c:v>
                </c:pt>
                <c:pt idx="35">
                  <c:v>5.7577979149619346E-2</c:v>
                </c:pt>
                <c:pt idx="36">
                  <c:v>5.7799765519567003E-2</c:v>
                </c:pt>
                <c:pt idx="37">
                  <c:v>5.7657612423261013E-2</c:v>
                </c:pt>
                <c:pt idx="38">
                  <c:v>5.7176769083167892E-2</c:v>
                </c:pt>
                <c:pt idx="39">
                  <c:v>5.6386454007989521E-2</c:v>
                </c:pt>
                <c:pt idx="40">
                  <c:v>5.5318571934226832E-2</c:v>
                </c:pt>
                <c:pt idx="41">
                  <c:v>5.4006558929158593E-2</c:v>
                </c:pt>
                <c:pt idx="42">
                  <c:v>5.2484374932980069E-2</c:v>
                </c:pt>
                <c:pt idx="43">
                  <c:v>5.0785651878695263E-2</c:v>
                </c:pt>
                <c:pt idx="44">
                  <c:v>4.8942996859863121E-2</c:v>
                </c:pt>
                <c:pt idx="45">
                  <c:v>4.6987443416196616E-2</c:v>
                </c:pt>
                <c:pt idx="46">
                  <c:v>4.4948039588033763E-2</c:v>
                </c:pt>
                <c:pt idx="47">
                  <c:v>4.2851558630417202E-2</c:v>
                </c:pt>
                <c:pt idx="48">
                  <c:v>4.0722316852669603E-2</c:v>
                </c:pt>
                <c:pt idx="49">
                  <c:v>3.8582082657902667E-2</c:v>
                </c:pt>
                <c:pt idx="50">
                  <c:v>3.6450061230431458E-2</c:v>
                </c:pt>
                <c:pt idx="51">
                  <c:v>3.4342940228649463E-2</c:v>
                </c:pt>
                <c:pt idx="52">
                  <c:v>3.2274983097916252E-2</c:v>
                </c:pt>
                <c:pt idx="53">
                  <c:v>3.0258158072189453E-2</c:v>
                </c:pt>
                <c:pt idx="54">
                  <c:v>2.8302292468818126E-2</c:v>
                </c:pt>
                <c:pt idx="55">
                  <c:v>2.6415243412354777E-2</c:v>
                </c:pt>
                <c:pt idx="56">
                  <c:v>2.4603077589789968E-2</c:v>
                </c:pt>
                <c:pt idx="57">
                  <c:v>2.2870254000977152E-2</c:v>
                </c:pt>
                <c:pt idx="58">
                  <c:v>2.1219804900032668E-2</c:v>
                </c:pt>
                <c:pt idx="59">
                  <c:v>1.9653511214328932E-2</c:v>
                </c:pt>
                <c:pt idx="60">
                  <c:v>1.8172069674687447E-2</c:v>
                </c:pt>
                <c:pt idx="61">
                  <c:v>1.6775249697364499E-2</c:v>
                </c:pt>
                <c:pt idx="62">
                  <c:v>1.5462038733686371E-2</c:v>
                </c:pt>
                <c:pt idx="63">
                  <c:v>1.4230775357722292E-2</c:v>
                </c:pt>
                <c:pt idx="64">
                  <c:v>1.3079269808688281E-2</c:v>
                </c:pt>
                <c:pt idx="65">
                  <c:v>1.2004912055857936E-2</c:v>
                </c:pt>
                <c:pt idx="66">
                  <c:v>1.1004767722509842E-2</c:v>
                </c:pt>
                <c:pt idx="67">
                  <c:v>1.0075662404135967E-2</c:v>
                </c:pt>
                <c:pt idx="68">
                  <c:v>9.2142550561534198E-3</c:v>
                </c:pt>
                <c:pt idx="69">
                  <c:v>8.4171012180114836E-3</c:v>
                </c:pt>
                <c:pt idx="70">
                  <c:v>7.6807068930360139E-3</c:v>
                </c:pt>
                <c:pt idx="71">
                  <c:v>7.0015739246203704E-3</c:v>
                </c:pt>
                <c:pt idx="72">
                  <c:v>6.3762377063607623E-3</c:v>
                </c:pt>
                <c:pt idx="73">
                  <c:v>5.8012980423122586E-3</c:v>
                </c:pt>
                <c:pt idx="74">
                  <c:v>5.2734439386197957E-3</c:v>
                </c:pt>
                <c:pt idx="75">
                  <c:v>4.7894730634203009E-3</c:v>
                </c:pt>
                <c:pt idx="76">
                  <c:v>4.3463065614165108E-3</c:v>
                </c:pt>
                <c:pt idx="77">
                  <c:v>3.9409998555473818E-3</c:v>
                </c:pt>
                <c:pt idx="78">
                  <c:v>3.5707500128035856E-3</c:v>
                </c:pt>
                <c:pt idx="79">
                  <c:v>3.2329001960738979E-3</c:v>
                </c:pt>
                <c:pt idx="80">
                  <c:v>2.9249416701658303E-3</c:v>
                </c:pt>
                <c:pt idx="81">
                  <c:v>2.6445137787018758E-3</c:v>
                </c:pt>
                <c:pt idx="82">
                  <c:v>2.3894022600597165E-3</c:v>
                </c:pt>
                <c:pt idx="83">
                  <c:v>2.1575362252911389E-3</c:v>
                </c:pt>
                <c:pt idx="84">
                  <c:v>1.9469840792384705E-3</c:v>
                </c:pt>
                <c:pt idx="85">
                  <c:v>1.7559486279522343E-3</c:v>
                </c:pt>
                <c:pt idx="86">
                  <c:v>1.5827615809795859E-3</c:v>
                </c:pt>
                <c:pt idx="87">
                  <c:v>1.4258776260413952E-3</c:v>
                </c:pt>
                <c:pt idx="88">
                  <c:v>1.2838682258964572E-3</c:v>
                </c:pt>
                <c:pt idx="89">
                  <c:v>1.1554152626122554E-3</c:v>
                </c:pt>
                <c:pt idx="90">
                  <c:v>1.0393046328092644E-3</c:v>
                </c:pt>
                <c:pt idx="91">
                  <c:v>9.3441987849317862E-4</c:v>
                </c:pt>
                <c:pt idx="92">
                  <c:v>8.3973592160455741E-4</c:v>
                </c:pt>
                <c:pt idx="93">
                  <c:v>7.5431295616854585E-4</c:v>
                </c:pt>
                <c:pt idx="94">
                  <c:v>6.7729053969583976E-4</c:v>
                </c:pt>
                <c:pt idx="95">
                  <c:v>6.0788191505665144E-4</c:v>
                </c:pt>
                <c:pt idx="96">
                  <c:v>5.4536858522205285E-4</c:v>
                </c:pt>
                <c:pt idx="97">
                  <c:v>4.8909515585457354E-4</c:v>
                </c:pt>
                <c:pt idx="98">
                  <c:v>4.3846445456058899E-4</c:v>
                </c:pt>
                <c:pt idx="99">
                  <c:v>3.9293293053337033E-4</c:v>
                </c:pt>
              </c:numCache>
            </c:numRef>
          </c:yVal>
          <c:smooth val="0"/>
          <c:extLst>
            <c:ext xmlns:c16="http://schemas.microsoft.com/office/drawing/2014/chart" uri="{C3380CC4-5D6E-409C-BE32-E72D297353CC}">
              <c16:uniqueId val="{00000003-76A0-4A02-AA76-DEDFB548F7F8}"/>
            </c:ext>
          </c:extLst>
        </c:ser>
        <c:ser>
          <c:idx val="1"/>
          <c:order val="1"/>
          <c:tx>
            <c:v>Acceptable groundwater concentration (ug/L)</c:v>
          </c:tx>
          <c:spPr>
            <a:ln w="25400">
              <a:solidFill>
                <a:srgbClr val="8B0000"/>
              </a:solidFill>
            </a:ln>
          </c:spPr>
          <c:marker>
            <c:symbol val="none"/>
          </c:marker>
          <c:xVal>
            <c:numRef>
              <c:f>Module0_Output_Data!$A$3:$A$102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Lit>
              <c:formatCode>General</c:formatCode>
              <c:ptCount val="100"/>
              <c:pt idx="0">
                <c:v>4.0000000000000001E-3</c:v>
              </c:pt>
              <c:pt idx="1">
                <c:v>4.0000000000000001E-3</c:v>
              </c:pt>
              <c:pt idx="2">
                <c:v>4.0000000000000001E-3</c:v>
              </c:pt>
              <c:pt idx="3">
                <c:v>4.0000000000000001E-3</c:v>
              </c:pt>
              <c:pt idx="4">
                <c:v>4.0000000000000001E-3</c:v>
              </c:pt>
              <c:pt idx="5">
                <c:v>4.0000000000000001E-3</c:v>
              </c:pt>
              <c:pt idx="6">
                <c:v>4.0000000000000001E-3</c:v>
              </c:pt>
              <c:pt idx="7">
                <c:v>4.0000000000000001E-3</c:v>
              </c:pt>
              <c:pt idx="8">
                <c:v>4.0000000000000001E-3</c:v>
              </c:pt>
              <c:pt idx="9">
                <c:v>4.0000000000000001E-3</c:v>
              </c:pt>
              <c:pt idx="10">
                <c:v>4.0000000000000001E-3</c:v>
              </c:pt>
              <c:pt idx="11">
                <c:v>4.0000000000000001E-3</c:v>
              </c:pt>
              <c:pt idx="12">
                <c:v>4.0000000000000001E-3</c:v>
              </c:pt>
              <c:pt idx="13">
                <c:v>4.0000000000000001E-3</c:v>
              </c:pt>
              <c:pt idx="14">
                <c:v>4.0000000000000001E-3</c:v>
              </c:pt>
              <c:pt idx="15">
                <c:v>4.0000000000000001E-3</c:v>
              </c:pt>
              <c:pt idx="16">
                <c:v>4.0000000000000001E-3</c:v>
              </c:pt>
              <c:pt idx="17">
                <c:v>4.0000000000000001E-3</c:v>
              </c:pt>
              <c:pt idx="18">
                <c:v>4.0000000000000001E-3</c:v>
              </c:pt>
              <c:pt idx="19">
                <c:v>4.0000000000000001E-3</c:v>
              </c:pt>
              <c:pt idx="20">
                <c:v>4.0000000000000001E-3</c:v>
              </c:pt>
              <c:pt idx="21">
                <c:v>4.0000000000000001E-3</c:v>
              </c:pt>
              <c:pt idx="22">
                <c:v>4.0000000000000001E-3</c:v>
              </c:pt>
              <c:pt idx="23">
                <c:v>4.0000000000000001E-3</c:v>
              </c:pt>
              <c:pt idx="24">
                <c:v>4.0000000000000001E-3</c:v>
              </c:pt>
              <c:pt idx="25">
                <c:v>4.0000000000000001E-3</c:v>
              </c:pt>
              <c:pt idx="26">
                <c:v>4.0000000000000001E-3</c:v>
              </c:pt>
              <c:pt idx="27">
                <c:v>4.0000000000000001E-3</c:v>
              </c:pt>
              <c:pt idx="28">
                <c:v>4.0000000000000001E-3</c:v>
              </c:pt>
              <c:pt idx="29">
                <c:v>4.0000000000000001E-3</c:v>
              </c:pt>
              <c:pt idx="30">
                <c:v>4.0000000000000001E-3</c:v>
              </c:pt>
              <c:pt idx="31">
                <c:v>4.0000000000000001E-3</c:v>
              </c:pt>
              <c:pt idx="32">
                <c:v>4.0000000000000001E-3</c:v>
              </c:pt>
              <c:pt idx="33">
                <c:v>4.0000000000000001E-3</c:v>
              </c:pt>
              <c:pt idx="34">
                <c:v>4.0000000000000001E-3</c:v>
              </c:pt>
              <c:pt idx="35">
                <c:v>4.0000000000000001E-3</c:v>
              </c:pt>
              <c:pt idx="36">
                <c:v>4.0000000000000001E-3</c:v>
              </c:pt>
              <c:pt idx="37">
                <c:v>4.0000000000000001E-3</c:v>
              </c:pt>
              <c:pt idx="38">
                <c:v>4.0000000000000001E-3</c:v>
              </c:pt>
              <c:pt idx="39">
                <c:v>4.0000000000000001E-3</c:v>
              </c:pt>
              <c:pt idx="40">
                <c:v>4.0000000000000001E-3</c:v>
              </c:pt>
              <c:pt idx="41">
                <c:v>4.0000000000000001E-3</c:v>
              </c:pt>
              <c:pt idx="42">
                <c:v>4.0000000000000001E-3</c:v>
              </c:pt>
              <c:pt idx="43">
                <c:v>4.0000000000000001E-3</c:v>
              </c:pt>
              <c:pt idx="44">
                <c:v>4.0000000000000001E-3</c:v>
              </c:pt>
              <c:pt idx="45">
                <c:v>4.0000000000000001E-3</c:v>
              </c:pt>
              <c:pt idx="46">
                <c:v>4.0000000000000001E-3</c:v>
              </c:pt>
              <c:pt idx="47">
                <c:v>4.0000000000000001E-3</c:v>
              </c:pt>
              <c:pt idx="48">
                <c:v>4.0000000000000001E-3</c:v>
              </c:pt>
              <c:pt idx="49">
                <c:v>4.0000000000000001E-3</c:v>
              </c:pt>
              <c:pt idx="50">
                <c:v>4.0000000000000001E-3</c:v>
              </c:pt>
              <c:pt idx="51">
                <c:v>4.0000000000000001E-3</c:v>
              </c:pt>
              <c:pt idx="52">
                <c:v>4.0000000000000001E-3</c:v>
              </c:pt>
              <c:pt idx="53">
                <c:v>4.0000000000000001E-3</c:v>
              </c:pt>
              <c:pt idx="54">
                <c:v>4.0000000000000001E-3</c:v>
              </c:pt>
              <c:pt idx="55">
                <c:v>4.0000000000000001E-3</c:v>
              </c:pt>
              <c:pt idx="56">
                <c:v>4.0000000000000001E-3</c:v>
              </c:pt>
              <c:pt idx="57">
                <c:v>4.0000000000000001E-3</c:v>
              </c:pt>
              <c:pt idx="58">
                <c:v>4.0000000000000001E-3</c:v>
              </c:pt>
              <c:pt idx="59">
                <c:v>4.0000000000000001E-3</c:v>
              </c:pt>
              <c:pt idx="60">
                <c:v>4.0000000000000001E-3</c:v>
              </c:pt>
              <c:pt idx="61">
                <c:v>4.0000000000000001E-3</c:v>
              </c:pt>
              <c:pt idx="62">
                <c:v>4.0000000000000001E-3</c:v>
              </c:pt>
              <c:pt idx="63">
                <c:v>4.0000000000000001E-3</c:v>
              </c:pt>
              <c:pt idx="64">
                <c:v>4.0000000000000001E-3</c:v>
              </c:pt>
              <c:pt idx="65">
                <c:v>4.0000000000000001E-3</c:v>
              </c:pt>
              <c:pt idx="66">
                <c:v>4.0000000000000001E-3</c:v>
              </c:pt>
              <c:pt idx="67">
                <c:v>4.0000000000000001E-3</c:v>
              </c:pt>
              <c:pt idx="68">
                <c:v>4.0000000000000001E-3</c:v>
              </c:pt>
              <c:pt idx="69">
                <c:v>4.0000000000000001E-3</c:v>
              </c:pt>
              <c:pt idx="70">
                <c:v>4.0000000000000001E-3</c:v>
              </c:pt>
              <c:pt idx="71">
                <c:v>4.0000000000000001E-3</c:v>
              </c:pt>
              <c:pt idx="72">
                <c:v>4.0000000000000001E-3</c:v>
              </c:pt>
              <c:pt idx="73">
                <c:v>4.0000000000000001E-3</c:v>
              </c:pt>
              <c:pt idx="74">
                <c:v>4.0000000000000001E-3</c:v>
              </c:pt>
              <c:pt idx="75">
                <c:v>4.0000000000000001E-3</c:v>
              </c:pt>
              <c:pt idx="76">
                <c:v>4.0000000000000001E-3</c:v>
              </c:pt>
              <c:pt idx="77">
                <c:v>4.0000000000000001E-3</c:v>
              </c:pt>
              <c:pt idx="78">
                <c:v>4.0000000000000001E-3</c:v>
              </c:pt>
              <c:pt idx="79">
                <c:v>4.0000000000000001E-3</c:v>
              </c:pt>
              <c:pt idx="80">
                <c:v>4.0000000000000001E-3</c:v>
              </c:pt>
              <c:pt idx="81">
                <c:v>4.0000000000000001E-3</c:v>
              </c:pt>
              <c:pt idx="82">
                <c:v>4.0000000000000001E-3</c:v>
              </c:pt>
              <c:pt idx="83">
                <c:v>4.0000000000000001E-3</c:v>
              </c:pt>
              <c:pt idx="84">
                <c:v>4.0000000000000001E-3</c:v>
              </c:pt>
              <c:pt idx="85">
                <c:v>4.0000000000000001E-3</c:v>
              </c:pt>
              <c:pt idx="86">
                <c:v>4.0000000000000001E-3</c:v>
              </c:pt>
              <c:pt idx="87">
                <c:v>4.0000000000000001E-3</c:v>
              </c:pt>
              <c:pt idx="88">
                <c:v>4.0000000000000001E-3</c:v>
              </c:pt>
              <c:pt idx="89">
                <c:v>4.0000000000000001E-3</c:v>
              </c:pt>
              <c:pt idx="90">
                <c:v>4.0000000000000001E-3</c:v>
              </c:pt>
              <c:pt idx="91">
                <c:v>4.0000000000000001E-3</c:v>
              </c:pt>
              <c:pt idx="92">
                <c:v>4.0000000000000001E-3</c:v>
              </c:pt>
              <c:pt idx="93">
                <c:v>4.0000000000000001E-3</c:v>
              </c:pt>
              <c:pt idx="94">
                <c:v>4.0000000000000001E-3</c:v>
              </c:pt>
              <c:pt idx="95">
                <c:v>4.0000000000000001E-3</c:v>
              </c:pt>
              <c:pt idx="96">
                <c:v>4.0000000000000001E-3</c:v>
              </c:pt>
              <c:pt idx="97">
                <c:v>4.0000000000000001E-3</c:v>
              </c:pt>
              <c:pt idx="98">
                <c:v>4.0000000000000001E-3</c:v>
              </c:pt>
              <c:pt idx="99">
                <c:v>4.0000000000000001E-3</c:v>
              </c:pt>
            </c:numLit>
          </c:yVal>
          <c:smooth val="0"/>
          <c:extLst>
            <c:ext xmlns:c16="http://schemas.microsoft.com/office/drawing/2014/chart" uri="{C3380CC4-5D6E-409C-BE32-E72D297353CC}">
              <c16:uniqueId val="{00000004-76A0-4A02-AA76-DEDFB548F7F8}"/>
            </c:ext>
          </c:extLst>
        </c:ser>
        <c:dLbls>
          <c:showLegendKey val="0"/>
          <c:showVal val="0"/>
          <c:showCatName val="0"/>
          <c:showSerName val="0"/>
          <c:showPercent val="0"/>
          <c:showBubbleSize val="0"/>
        </c:dLbls>
        <c:axId val="118337247"/>
        <c:axId val="118340607"/>
      </c:scatterChart>
      <c:valAx>
        <c:axId val="118337247"/>
        <c:scaling>
          <c:orientation val="minMax"/>
          <c:max val="105"/>
          <c:min val="0"/>
        </c:scaling>
        <c:delete val="0"/>
        <c:axPos val="b"/>
        <c:title>
          <c:tx>
            <c:rich>
              <a:bodyPr/>
              <a:lstStyle/>
              <a:p>
                <a:pPr>
                  <a:defRPr altLang="zh-CN" sz="1500" b="0"/>
                </a:pPr>
                <a:r>
                  <a:rPr lang="en-US"/>
                  <a:t>Time (year)</a:t>
                </a:r>
              </a:p>
            </c:rich>
          </c:tx>
          <c:overlay val="0"/>
        </c:title>
        <c:numFmt formatCode="General" sourceLinked="1"/>
        <c:majorTickMark val="none"/>
        <c:minorTickMark val="none"/>
        <c:tickLblPos val="nextTo"/>
        <c:spPr>
          <a:ln w="25400"/>
        </c:spPr>
        <c:txPr>
          <a:bodyPr/>
          <a:lstStyle/>
          <a:p>
            <a:pPr>
              <a:defRPr sz="1200"/>
            </a:pPr>
            <a:endParaRPr lang="zh-CN"/>
          </a:p>
        </c:txPr>
        <c:crossAx val="118340607"/>
        <c:crosses val="autoZero"/>
        <c:crossBetween val="midCat"/>
      </c:valAx>
      <c:valAx>
        <c:axId val="118340607"/>
        <c:scaling>
          <c:orientation val="minMax"/>
        </c:scaling>
        <c:delete val="0"/>
        <c:axPos val="l"/>
        <c:majorGridlines>
          <c:spPr>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majorGridlines>
        <c:title>
          <c:tx>
            <c:rich>
              <a:bodyPr/>
              <a:lstStyle/>
              <a:p>
                <a:pPr>
                  <a:defRPr altLang="zh-CN" sz="1500" b="0"/>
                </a:pPr>
                <a:r>
                  <a:rPr lang="en-US"/>
                  <a:t>Groundwater concentration (ug/l)</a:t>
                </a:r>
              </a:p>
            </c:rich>
          </c:tx>
          <c:overlay val="0"/>
        </c:title>
        <c:numFmt formatCode="0.00E+00" sourceLinked="1"/>
        <c:majorTickMark val="none"/>
        <c:minorTickMark val="none"/>
        <c:tickLblPos val="nextTo"/>
        <c:spPr>
          <a:ln w="25400"/>
        </c:spPr>
        <c:txPr>
          <a:bodyPr/>
          <a:lstStyle/>
          <a:p>
            <a:pPr>
              <a:defRPr sz="1200"/>
            </a:pPr>
            <a:endParaRPr lang="zh-CN"/>
          </a:p>
        </c:txPr>
        <c:crossAx val="118337247"/>
        <c:crosses val="autoZero"/>
        <c:crossBetween val="midCat"/>
      </c:valAx>
    </c:plotArea>
    <c:legend>
      <c:legendPos val="r"/>
      <c:layout>
        <c:manualLayout>
          <c:xMode val="edge"/>
          <c:yMode val="edge"/>
          <c:x val="0.64069551319161633"/>
          <c:y val="0.12450638422972103"/>
          <c:w val="0.30020316461194263"/>
          <c:h val="0.17394162762954327"/>
        </c:manualLayout>
      </c:layou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Interpolation</c:v>
          </c:tx>
          <c:spPr>
            <a:ln w="25400">
              <a:solidFill>
                <a:srgbClr val="8B0000"/>
              </a:solidFill>
            </a:ln>
          </c:spPr>
          <c:marker>
            <c:symbol val="none"/>
          </c:marker>
          <c:xVal>
            <c:numLit>
              <c:formatCode>General</c:formatCode>
              <c:ptCount val="300"/>
              <c:pt idx="0">
                <c:v>100</c:v>
              </c:pt>
              <c:pt idx="1">
                <c:v>100</c:v>
              </c:pt>
              <c:pt idx="2">
                <c:v>100</c:v>
              </c:pt>
              <c:pt idx="3">
                <c:v>100</c:v>
              </c:pt>
              <c:pt idx="4">
                <c:v>100</c:v>
              </c:pt>
              <c:pt idx="5">
                <c:v>100</c:v>
              </c:pt>
              <c:pt idx="6">
                <c:v>100</c:v>
              </c:pt>
              <c:pt idx="7">
                <c:v>100</c:v>
              </c:pt>
              <c:pt idx="8">
                <c:v>100</c:v>
              </c:pt>
              <c:pt idx="9">
                <c:v>100</c:v>
              </c:pt>
              <c:pt idx="10">
                <c:v>98.25</c:v>
              </c:pt>
              <c:pt idx="11">
                <c:v>96.5</c:v>
              </c:pt>
              <c:pt idx="12">
                <c:v>94.75</c:v>
              </c:pt>
              <c:pt idx="13">
                <c:v>93</c:v>
              </c:pt>
              <c:pt idx="14">
                <c:v>91.25</c:v>
              </c:pt>
              <c:pt idx="15">
                <c:v>89.5</c:v>
              </c:pt>
              <c:pt idx="16">
                <c:v>87.75</c:v>
              </c:pt>
              <c:pt idx="17">
                <c:v>86</c:v>
              </c:pt>
              <c:pt idx="18">
                <c:v>84.25</c:v>
              </c:pt>
              <c:pt idx="19">
                <c:v>82.5</c:v>
              </c:pt>
              <c:pt idx="20">
                <c:v>80.75</c:v>
              </c:pt>
              <c:pt idx="21">
                <c:v>79</c:v>
              </c:pt>
              <c:pt idx="22">
                <c:v>77.25</c:v>
              </c:pt>
              <c:pt idx="23">
                <c:v>75.5</c:v>
              </c:pt>
              <c:pt idx="24">
                <c:v>73.75</c:v>
              </c:pt>
              <c:pt idx="25">
                <c:v>72</c:v>
              </c:pt>
              <c:pt idx="26">
                <c:v>70.25</c:v>
              </c:pt>
              <c:pt idx="27">
                <c:v>68.5</c:v>
              </c:pt>
              <c:pt idx="28">
                <c:v>66.75</c:v>
              </c:pt>
              <c:pt idx="29">
                <c:v>65</c:v>
              </c:pt>
              <c:pt idx="30">
                <c:v>63.25</c:v>
              </c:pt>
              <c:pt idx="31">
                <c:v>61.5</c:v>
              </c:pt>
              <c:pt idx="32">
                <c:v>59.75</c:v>
              </c:pt>
              <c:pt idx="33">
                <c:v>58</c:v>
              </c:pt>
              <c:pt idx="34">
                <c:v>56.25</c:v>
              </c:pt>
              <c:pt idx="35">
                <c:v>54.5</c:v>
              </c:pt>
              <c:pt idx="36">
                <c:v>52.75</c:v>
              </c:pt>
              <c:pt idx="37">
                <c:v>51</c:v>
              </c:pt>
              <c:pt idx="38">
                <c:v>49.25</c:v>
              </c:pt>
              <c:pt idx="39">
                <c:v>47.5</c:v>
              </c:pt>
              <c:pt idx="40">
                <c:v>45.75</c:v>
              </c:pt>
              <c:pt idx="41">
                <c:v>44</c:v>
              </c:pt>
              <c:pt idx="42">
                <c:v>42.25</c:v>
              </c:pt>
              <c:pt idx="43">
                <c:v>40.5</c:v>
              </c:pt>
              <c:pt idx="44">
                <c:v>38.75</c:v>
              </c:pt>
              <c:pt idx="45">
                <c:v>37</c:v>
              </c:pt>
              <c:pt idx="46">
                <c:v>35.25</c:v>
              </c:pt>
              <c:pt idx="47">
                <c:v>33.5</c:v>
              </c:pt>
              <c:pt idx="48">
                <c:v>31.75</c:v>
              </c:pt>
              <c:pt idx="49">
                <c:v>30</c:v>
              </c:pt>
              <c:pt idx="50">
                <c:v>29.6</c:v>
              </c:pt>
              <c:pt idx="51">
                <c:v>29.2</c:v>
              </c:pt>
              <c:pt idx="52">
                <c:v>28.8</c:v>
              </c:pt>
              <c:pt idx="53">
                <c:v>28.4</c:v>
              </c:pt>
              <c:pt idx="54">
                <c:v>28</c:v>
              </c:pt>
              <c:pt idx="55">
                <c:v>27.6</c:v>
              </c:pt>
              <c:pt idx="56">
                <c:v>27.2</c:v>
              </c:pt>
              <c:pt idx="57">
                <c:v>26.8</c:v>
              </c:pt>
              <c:pt idx="58">
                <c:v>26.4</c:v>
              </c:pt>
              <c:pt idx="59">
                <c:v>26</c:v>
              </c:pt>
              <c:pt idx="60">
                <c:v>25.6</c:v>
              </c:pt>
              <c:pt idx="61">
                <c:v>25.2</c:v>
              </c:pt>
              <c:pt idx="62">
                <c:v>24.8</c:v>
              </c:pt>
              <c:pt idx="63">
                <c:v>24.4</c:v>
              </c:pt>
              <c:pt idx="64">
                <c:v>24</c:v>
              </c:pt>
              <c:pt idx="65">
                <c:v>23.6</c:v>
              </c:pt>
              <c:pt idx="66">
                <c:v>23.2</c:v>
              </c:pt>
              <c:pt idx="67">
                <c:v>22.8</c:v>
              </c:pt>
              <c:pt idx="68">
                <c:v>22.4</c:v>
              </c:pt>
              <c:pt idx="69">
                <c:v>22</c:v>
              </c:pt>
              <c:pt idx="70">
                <c:v>21.6</c:v>
              </c:pt>
              <c:pt idx="71">
                <c:v>21.2</c:v>
              </c:pt>
              <c:pt idx="72">
                <c:v>20.8</c:v>
              </c:pt>
              <c:pt idx="73">
                <c:v>20.399999999999999</c:v>
              </c:pt>
              <c:pt idx="74">
                <c:v>20</c:v>
              </c:pt>
              <c:pt idx="75">
                <c:v>19.600000000000001</c:v>
              </c:pt>
              <c:pt idx="76">
                <c:v>19.2</c:v>
              </c:pt>
              <c:pt idx="77">
                <c:v>18.8</c:v>
              </c:pt>
              <c:pt idx="78">
                <c:v>18.399999999999999</c:v>
              </c:pt>
              <c:pt idx="79">
                <c:v>18</c:v>
              </c:pt>
              <c:pt idx="80">
                <c:v>17.600000000000001</c:v>
              </c:pt>
              <c:pt idx="81">
                <c:v>17.2</c:v>
              </c:pt>
              <c:pt idx="82">
                <c:v>16.8</c:v>
              </c:pt>
              <c:pt idx="83">
                <c:v>16.399999999999999</c:v>
              </c:pt>
              <c:pt idx="84">
                <c:v>16</c:v>
              </c:pt>
              <c:pt idx="85">
                <c:v>15.6</c:v>
              </c:pt>
              <c:pt idx="86">
                <c:v>15.2</c:v>
              </c:pt>
              <c:pt idx="87">
                <c:v>14.8</c:v>
              </c:pt>
              <c:pt idx="88">
                <c:v>14.4</c:v>
              </c:pt>
              <c:pt idx="89">
                <c:v>14</c:v>
              </c:pt>
              <c:pt idx="90">
                <c:v>13.6</c:v>
              </c:pt>
              <c:pt idx="91">
                <c:v>13.2</c:v>
              </c:pt>
              <c:pt idx="92">
                <c:v>12.8</c:v>
              </c:pt>
              <c:pt idx="93">
                <c:v>12.4</c:v>
              </c:pt>
              <c:pt idx="94">
                <c:v>12</c:v>
              </c:pt>
              <c:pt idx="95">
                <c:v>11.6</c:v>
              </c:pt>
              <c:pt idx="96">
                <c:v>11.2</c:v>
              </c:pt>
              <c:pt idx="97">
                <c:v>10.8</c:v>
              </c:pt>
              <c:pt idx="98">
                <c:v>10.4</c:v>
              </c:pt>
              <c:pt idx="99">
                <c:v>10</c:v>
              </c:pt>
              <c:pt idx="100">
                <c:v>9.84</c:v>
              </c:pt>
              <c:pt idx="101">
                <c:v>9.68</c:v>
              </c:pt>
              <c:pt idx="102">
                <c:v>9.52</c:v>
              </c:pt>
              <c:pt idx="103">
                <c:v>9.36</c:v>
              </c:pt>
              <c:pt idx="104">
                <c:v>9.1999999999999993</c:v>
              </c:pt>
              <c:pt idx="105">
                <c:v>9.0399999999999991</c:v>
              </c:pt>
              <c:pt idx="106">
                <c:v>8.8800000000000008</c:v>
              </c:pt>
              <c:pt idx="107">
                <c:v>8.7200000000000006</c:v>
              </c:pt>
              <c:pt idx="108">
                <c:v>8.56</c:v>
              </c:pt>
              <c:pt idx="109">
                <c:v>8.4</c:v>
              </c:pt>
              <c:pt idx="110">
                <c:v>8.24</c:v>
              </c:pt>
              <c:pt idx="111">
                <c:v>8.08</c:v>
              </c:pt>
              <c:pt idx="112">
                <c:v>7.92</c:v>
              </c:pt>
              <c:pt idx="113">
                <c:v>7.76</c:v>
              </c:pt>
              <c:pt idx="114">
                <c:v>7.6</c:v>
              </c:pt>
              <c:pt idx="115">
                <c:v>7.44</c:v>
              </c:pt>
              <c:pt idx="116">
                <c:v>7.28</c:v>
              </c:pt>
              <c:pt idx="117">
                <c:v>7.12</c:v>
              </c:pt>
              <c:pt idx="118">
                <c:v>6.96</c:v>
              </c:pt>
              <c:pt idx="119">
                <c:v>6.8</c:v>
              </c:pt>
              <c:pt idx="120">
                <c:v>6.64</c:v>
              </c:pt>
              <c:pt idx="121">
                <c:v>6.48</c:v>
              </c:pt>
              <c:pt idx="122">
                <c:v>6.32</c:v>
              </c:pt>
              <c:pt idx="123">
                <c:v>6.16</c:v>
              </c:pt>
              <c:pt idx="124">
                <c:v>6</c:v>
              </c:pt>
              <c:pt idx="125">
                <c:v>5.84</c:v>
              </c:pt>
              <c:pt idx="126">
                <c:v>5.68</c:v>
              </c:pt>
              <c:pt idx="127">
                <c:v>5.52</c:v>
              </c:pt>
              <c:pt idx="128">
                <c:v>5.36</c:v>
              </c:pt>
              <c:pt idx="129">
                <c:v>5.2</c:v>
              </c:pt>
              <c:pt idx="130">
                <c:v>5.04</c:v>
              </c:pt>
              <c:pt idx="131">
                <c:v>4.88</c:v>
              </c:pt>
              <c:pt idx="132">
                <c:v>4.72</c:v>
              </c:pt>
              <c:pt idx="133">
                <c:v>4.5599999999999996</c:v>
              </c:pt>
              <c:pt idx="134">
                <c:v>4.4000000000000004</c:v>
              </c:pt>
              <c:pt idx="135">
                <c:v>4.24</c:v>
              </c:pt>
              <c:pt idx="136">
                <c:v>4.08</c:v>
              </c:pt>
              <c:pt idx="137">
                <c:v>3.92</c:v>
              </c:pt>
              <c:pt idx="138">
                <c:v>3.76</c:v>
              </c:pt>
              <c:pt idx="139">
                <c:v>3.6</c:v>
              </c:pt>
              <c:pt idx="140">
                <c:v>3.44</c:v>
              </c:pt>
              <c:pt idx="141">
                <c:v>3.28</c:v>
              </c:pt>
              <c:pt idx="142">
                <c:v>3.12</c:v>
              </c:pt>
              <c:pt idx="143">
                <c:v>2.96</c:v>
              </c:pt>
              <c:pt idx="144">
                <c:v>2.8</c:v>
              </c:pt>
              <c:pt idx="145">
                <c:v>2.64</c:v>
              </c:pt>
              <c:pt idx="146">
                <c:v>2.48</c:v>
              </c:pt>
              <c:pt idx="147">
                <c:v>2.3199999999999998</c:v>
              </c:pt>
              <c:pt idx="148">
                <c:v>2.16</c:v>
              </c:pt>
              <c:pt idx="149">
                <c:v>2</c:v>
              </c:pt>
              <c:pt idx="150">
                <c:v>1.99</c:v>
              </c:pt>
              <c:pt idx="151">
                <c:v>1.98</c:v>
              </c:pt>
              <c:pt idx="152">
                <c:v>1.97</c:v>
              </c:pt>
              <c:pt idx="153">
                <c:v>1.96</c:v>
              </c:pt>
              <c:pt idx="154">
                <c:v>1.95</c:v>
              </c:pt>
              <c:pt idx="155">
                <c:v>1.94</c:v>
              </c:pt>
              <c:pt idx="156">
                <c:v>1.93</c:v>
              </c:pt>
              <c:pt idx="157">
                <c:v>1.92</c:v>
              </c:pt>
              <c:pt idx="158">
                <c:v>1.91</c:v>
              </c:pt>
              <c:pt idx="159">
                <c:v>1.9</c:v>
              </c:pt>
              <c:pt idx="160">
                <c:v>1.89</c:v>
              </c:pt>
              <c:pt idx="161">
                <c:v>1.88</c:v>
              </c:pt>
              <c:pt idx="162">
                <c:v>1.87</c:v>
              </c:pt>
              <c:pt idx="163">
                <c:v>1.86</c:v>
              </c:pt>
              <c:pt idx="164">
                <c:v>1.85</c:v>
              </c:pt>
              <c:pt idx="165">
                <c:v>1.84</c:v>
              </c:pt>
              <c:pt idx="166">
                <c:v>1.83</c:v>
              </c:pt>
              <c:pt idx="167">
                <c:v>1.82</c:v>
              </c:pt>
              <c:pt idx="168">
                <c:v>1.81</c:v>
              </c:pt>
              <c:pt idx="169">
                <c:v>1.8</c:v>
              </c:pt>
              <c:pt idx="170">
                <c:v>1.79</c:v>
              </c:pt>
              <c:pt idx="171">
                <c:v>1.78</c:v>
              </c:pt>
              <c:pt idx="172">
                <c:v>1.77</c:v>
              </c:pt>
              <c:pt idx="173">
                <c:v>1.76</c:v>
              </c:pt>
              <c:pt idx="174">
                <c:v>1.75</c:v>
              </c:pt>
              <c:pt idx="175">
                <c:v>1.74</c:v>
              </c:pt>
              <c:pt idx="176">
                <c:v>1.73</c:v>
              </c:pt>
              <c:pt idx="177">
                <c:v>1.72</c:v>
              </c:pt>
              <c:pt idx="178">
                <c:v>1.71</c:v>
              </c:pt>
              <c:pt idx="179">
                <c:v>1.7</c:v>
              </c:pt>
              <c:pt idx="180">
                <c:v>1.69</c:v>
              </c:pt>
              <c:pt idx="181">
                <c:v>1.68</c:v>
              </c:pt>
              <c:pt idx="182">
                <c:v>1.67</c:v>
              </c:pt>
              <c:pt idx="183">
                <c:v>1.66</c:v>
              </c:pt>
              <c:pt idx="184">
                <c:v>1.65</c:v>
              </c:pt>
              <c:pt idx="185">
                <c:v>1.64</c:v>
              </c:pt>
              <c:pt idx="186">
                <c:v>1.63</c:v>
              </c:pt>
              <c:pt idx="187">
                <c:v>1.62</c:v>
              </c:pt>
              <c:pt idx="188">
                <c:v>1.61</c:v>
              </c:pt>
              <c:pt idx="189">
                <c:v>1.6</c:v>
              </c:pt>
              <c:pt idx="190">
                <c:v>1.59</c:v>
              </c:pt>
              <c:pt idx="191">
                <c:v>1.58</c:v>
              </c:pt>
              <c:pt idx="192">
                <c:v>1.57</c:v>
              </c:pt>
              <c:pt idx="193">
                <c:v>1.56</c:v>
              </c:pt>
              <c:pt idx="194">
                <c:v>1.55</c:v>
              </c:pt>
              <c:pt idx="195">
                <c:v>1.54</c:v>
              </c:pt>
              <c:pt idx="196">
                <c:v>1.53</c:v>
              </c:pt>
              <c:pt idx="197">
                <c:v>1.52</c:v>
              </c:pt>
              <c:pt idx="198">
                <c:v>1.51</c:v>
              </c:pt>
              <c:pt idx="199">
                <c:v>1.5</c:v>
              </c:pt>
              <c:pt idx="200">
                <c:v>1.49</c:v>
              </c:pt>
              <c:pt idx="201">
                <c:v>1.48</c:v>
              </c:pt>
              <c:pt idx="202">
                <c:v>1.47</c:v>
              </c:pt>
              <c:pt idx="203">
                <c:v>1.46</c:v>
              </c:pt>
              <c:pt idx="204">
                <c:v>1.45</c:v>
              </c:pt>
              <c:pt idx="205">
                <c:v>1.44</c:v>
              </c:pt>
              <c:pt idx="206">
                <c:v>1.43</c:v>
              </c:pt>
              <c:pt idx="207">
                <c:v>1.42</c:v>
              </c:pt>
              <c:pt idx="208">
                <c:v>1.41</c:v>
              </c:pt>
              <c:pt idx="209">
                <c:v>1.4</c:v>
              </c:pt>
              <c:pt idx="210">
                <c:v>1.39</c:v>
              </c:pt>
              <c:pt idx="211">
                <c:v>1.38</c:v>
              </c:pt>
              <c:pt idx="212">
                <c:v>1.37</c:v>
              </c:pt>
              <c:pt idx="213">
                <c:v>1.36</c:v>
              </c:pt>
              <c:pt idx="214">
                <c:v>1.35</c:v>
              </c:pt>
              <c:pt idx="215">
                <c:v>1.34</c:v>
              </c:pt>
              <c:pt idx="216">
                <c:v>1.33</c:v>
              </c:pt>
              <c:pt idx="217">
                <c:v>1.32</c:v>
              </c:pt>
              <c:pt idx="218">
                <c:v>1.31</c:v>
              </c:pt>
              <c:pt idx="219">
                <c:v>1.3</c:v>
              </c:pt>
              <c:pt idx="220">
                <c:v>1.29</c:v>
              </c:pt>
              <c:pt idx="221">
                <c:v>1.28</c:v>
              </c:pt>
              <c:pt idx="222">
                <c:v>1.27</c:v>
              </c:pt>
              <c:pt idx="223">
                <c:v>1.26</c:v>
              </c:pt>
              <c:pt idx="224">
                <c:v>1.25</c:v>
              </c:pt>
              <c:pt idx="225">
                <c:v>1.24</c:v>
              </c:pt>
              <c:pt idx="226">
                <c:v>1.23</c:v>
              </c:pt>
              <c:pt idx="227">
                <c:v>1.22</c:v>
              </c:pt>
              <c:pt idx="228">
                <c:v>1.21</c:v>
              </c:pt>
              <c:pt idx="229">
                <c:v>1.2</c:v>
              </c:pt>
              <c:pt idx="230">
                <c:v>1.19</c:v>
              </c:pt>
              <c:pt idx="231">
                <c:v>1.18</c:v>
              </c:pt>
              <c:pt idx="232">
                <c:v>1.17</c:v>
              </c:pt>
              <c:pt idx="233">
                <c:v>1.1599999999999999</c:v>
              </c:pt>
              <c:pt idx="234">
                <c:v>1.1499999999999999</c:v>
              </c:pt>
              <c:pt idx="235">
                <c:v>1.1399999999999999</c:v>
              </c:pt>
              <c:pt idx="236">
                <c:v>1.1299999999999999</c:v>
              </c:pt>
              <c:pt idx="237">
                <c:v>1.1200000000000001</c:v>
              </c:pt>
              <c:pt idx="238">
                <c:v>1.1100000000000001</c:v>
              </c:pt>
              <c:pt idx="239">
                <c:v>1.1000000000000001</c:v>
              </c:pt>
              <c:pt idx="240">
                <c:v>1.0900000000000001</c:v>
              </c:pt>
              <c:pt idx="241">
                <c:v>1.08</c:v>
              </c:pt>
              <c:pt idx="242">
                <c:v>1.07</c:v>
              </c:pt>
              <c:pt idx="243">
                <c:v>1.06</c:v>
              </c:pt>
              <c:pt idx="244">
                <c:v>1.05</c:v>
              </c:pt>
              <c:pt idx="245">
                <c:v>1.04</c:v>
              </c:pt>
              <c:pt idx="246">
                <c:v>1.03</c:v>
              </c:pt>
              <c:pt idx="247">
                <c:v>1.02</c:v>
              </c:pt>
              <c:pt idx="248">
                <c:v>1.01</c:v>
              </c:pt>
              <c:pt idx="249">
                <c:v>1</c:v>
              </c:pt>
              <c:pt idx="250">
                <c:v>0.99</c:v>
              </c:pt>
              <c:pt idx="251">
                <c:v>0.98</c:v>
              </c:pt>
              <c:pt idx="252">
                <c:v>0.97</c:v>
              </c:pt>
              <c:pt idx="253">
                <c:v>0.96</c:v>
              </c:pt>
              <c:pt idx="254">
                <c:v>0.95</c:v>
              </c:pt>
              <c:pt idx="255">
                <c:v>0.94</c:v>
              </c:pt>
              <c:pt idx="256">
                <c:v>0.93</c:v>
              </c:pt>
              <c:pt idx="257">
                <c:v>0.92</c:v>
              </c:pt>
              <c:pt idx="258">
                <c:v>0.91</c:v>
              </c:pt>
              <c:pt idx="259">
                <c:v>0.9</c:v>
              </c:pt>
              <c:pt idx="260">
                <c:v>0.89</c:v>
              </c:pt>
              <c:pt idx="261">
                <c:v>0.88</c:v>
              </c:pt>
              <c:pt idx="262">
                <c:v>0.87</c:v>
              </c:pt>
              <c:pt idx="263">
                <c:v>0.86</c:v>
              </c:pt>
              <c:pt idx="264">
                <c:v>0.85</c:v>
              </c:pt>
              <c:pt idx="265">
                <c:v>0.84</c:v>
              </c:pt>
              <c:pt idx="266">
                <c:v>0.83</c:v>
              </c:pt>
              <c:pt idx="267">
                <c:v>0.82</c:v>
              </c:pt>
              <c:pt idx="268">
                <c:v>0.81</c:v>
              </c:pt>
              <c:pt idx="269">
                <c:v>0.8</c:v>
              </c:pt>
              <c:pt idx="270">
                <c:v>0.79</c:v>
              </c:pt>
              <c:pt idx="271">
                <c:v>0.78</c:v>
              </c:pt>
              <c:pt idx="272">
                <c:v>0.77</c:v>
              </c:pt>
              <c:pt idx="273">
                <c:v>0.76</c:v>
              </c:pt>
              <c:pt idx="274">
                <c:v>0.75</c:v>
              </c:pt>
              <c:pt idx="275">
                <c:v>0.74</c:v>
              </c:pt>
              <c:pt idx="276">
                <c:v>0.73</c:v>
              </c:pt>
              <c:pt idx="277">
                <c:v>0.72</c:v>
              </c:pt>
              <c:pt idx="278">
                <c:v>0.71</c:v>
              </c:pt>
              <c:pt idx="279">
                <c:v>0.7</c:v>
              </c:pt>
              <c:pt idx="280">
                <c:v>0.69</c:v>
              </c:pt>
              <c:pt idx="281">
                <c:v>0.68</c:v>
              </c:pt>
              <c:pt idx="282">
                <c:v>0.67</c:v>
              </c:pt>
              <c:pt idx="283">
                <c:v>0.66</c:v>
              </c:pt>
              <c:pt idx="284">
                <c:v>0.65</c:v>
              </c:pt>
              <c:pt idx="285">
                <c:v>0.64</c:v>
              </c:pt>
              <c:pt idx="286">
                <c:v>0.63</c:v>
              </c:pt>
              <c:pt idx="287">
                <c:v>0.62</c:v>
              </c:pt>
              <c:pt idx="288">
                <c:v>0.61</c:v>
              </c:pt>
              <c:pt idx="289">
                <c:v>0.6</c:v>
              </c:pt>
              <c:pt idx="290">
                <c:v>0.59</c:v>
              </c:pt>
              <c:pt idx="291">
                <c:v>0.57999999999999996</c:v>
              </c:pt>
              <c:pt idx="292">
                <c:v>0.56999999999999995</c:v>
              </c:pt>
              <c:pt idx="293">
                <c:v>0.56000000000000005</c:v>
              </c:pt>
              <c:pt idx="294">
                <c:v>0.55000000000000004</c:v>
              </c:pt>
              <c:pt idx="295">
                <c:v>0.54</c:v>
              </c:pt>
              <c:pt idx="296">
                <c:v>0.53</c:v>
              </c:pt>
              <c:pt idx="297">
                <c:v>0.52</c:v>
              </c:pt>
              <c:pt idx="298">
                <c:v>0.51</c:v>
              </c:pt>
              <c:pt idx="299">
                <c:v>0.5</c:v>
              </c:pt>
            </c:numLit>
          </c:xVal>
          <c:yVal>
            <c:numLit>
              <c:formatCode>General</c:formatCode>
              <c:ptCount val="3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numLit>
          </c:yVal>
          <c:smooth val="0"/>
          <c:extLst>
            <c:ext xmlns:c16="http://schemas.microsoft.com/office/drawing/2014/chart" uri="{C3380CC4-5D6E-409C-BE32-E72D297353CC}">
              <c16:uniqueId val="{00000007-A3DF-4638-ABD5-D6D10ED40A7C}"/>
            </c:ext>
          </c:extLst>
        </c:ser>
        <c:ser>
          <c:idx val="1"/>
          <c:order val="1"/>
          <c:tx>
            <c:v>RawData</c:v>
          </c:tx>
          <c:spPr>
            <a:ln w="19050">
              <a:noFill/>
            </a:ln>
          </c:spPr>
          <c:marker>
            <c:symbol val="diamond"/>
            <c:size val="8"/>
            <c:spPr>
              <a:solidFill>
                <a:srgbClr val="FFFFFF"/>
              </a:solidFill>
              <a:ln>
                <a:solidFill>
                  <a:srgbClr val="000000"/>
                </a:solidFill>
                <a:prstDash val="solid"/>
              </a:ln>
            </c:spPr>
          </c:marker>
          <c:xVal>
            <c:numLit>
              <c:formatCode>General</c:formatCode>
              <c:ptCount val="7"/>
              <c:pt idx="0">
                <c:v>100</c:v>
              </c:pt>
              <c:pt idx="1">
                <c:v>100</c:v>
              </c:pt>
              <c:pt idx="2">
                <c:v>30</c:v>
              </c:pt>
              <c:pt idx="3">
                <c:v>10</c:v>
              </c:pt>
              <c:pt idx="4">
                <c:v>2</c:v>
              </c:pt>
              <c:pt idx="5">
                <c:v>1</c:v>
              </c:pt>
              <c:pt idx="6">
                <c:v>0.5</c:v>
              </c:pt>
            </c:numLit>
          </c:xVal>
          <c:yVal>
            <c:numLit>
              <c:formatCode>General</c:formatCode>
              <c:ptCount val="7"/>
              <c:pt idx="0">
                <c:v>0</c:v>
              </c:pt>
              <c:pt idx="1">
                <c:v>10</c:v>
              </c:pt>
              <c:pt idx="2">
                <c:v>50</c:v>
              </c:pt>
              <c:pt idx="3">
                <c:v>100</c:v>
              </c:pt>
              <c:pt idx="4">
                <c:v>150</c:v>
              </c:pt>
              <c:pt idx="5">
                <c:v>250</c:v>
              </c:pt>
              <c:pt idx="6">
                <c:v>300</c:v>
              </c:pt>
            </c:numLit>
          </c:yVal>
          <c:smooth val="0"/>
          <c:extLst>
            <c:ext xmlns:c16="http://schemas.microsoft.com/office/drawing/2014/chart" uri="{C3380CC4-5D6E-409C-BE32-E72D297353CC}">
              <c16:uniqueId val="{00000008-A3DF-4638-ABD5-D6D10ED40A7C}"/>
            </c:ext>
          </c:extLst>
        </c:ser>
        <c:dLbls>
          <c:showLegendKey val="0"/>
          <c:showVal val="0"/>
          <c:showCatName val="0"/>
          <c:showSerName val="0"/>
          <c:showPercent val="0"/>
          <c:showBubbleSize val="0"/>
        </c:dLbls>
        <c:axId val="653402815"/>
        <c:axId val="653403295"/>
      </c:scatterChart>
      <c:valAx>
        <c:axId val="653402815"/>
        <c:scaling>
          <c:orientation val="minMax"/>
          <c:max val="100"/>
          <c:min val="0"/>
        </c:scaling>
        <c:delete val="0"/>
        <c:axPos val="t"/>
        <c:title>
          <c:tx>
            <c:rich>
              <a:bodyPr/>
              <a:lstStyle/>
              <a:p>
                <a:pPr>
                  <a:defRPr b="0">
                    <a:latin typeface="Arial" panose="020B0604020202020204" pitchFamily="34" charset="0"/>
                  </a:defRPr>
                </a:pPr>
                <a:r>
                  <a:rPr lang="en-US" altLang="zh-CN" b="0">
                    <a:latin typeface="Arial" panose="020B0604020202020204" pitchFamily="34" charset="0"/>
                  </a:rPr>
                  <a:t>Soil concentration (ug/kg)</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zh-CN"/>
          </a:p>
        </c:txPr>
        <c:crossAx val="653403295"/>
        <c:crosses val="autoZero"/>
        <c:crossBetween val="midCat"/>
      </c:valAx>
      <c:valAx>
        <c:axId val="653403295"/>
        <c:scaling>
          <c:orientation val="maxMin"/>
          <c:max val="300"/>
          <c:min val="0"/>
        </c:scaling>
        <c:delete val="0"/>
        <c:axPos val="l"/>
        <c:title>
          <c:tx>
            <c:rich>
              <a:bodyPr/>
              <a:lstStyle/>
              <a:p>
                <a:pPr>
                  <a:defRPr b="0">
                    <a:latin typeface="Arial" panose="020B0604020202020204" pitchFamily="34" charset="0"/>
                  </a:defRPr>
                </a:pPr>
                <a:r>
                  <a:rPr lang="en-US" altLang="zh-CN" b="0">
                    <a:latin typeface="Arial" panose="020B0604020202020204" pitchFamily="34" charset="0"/>
                  </a:rPr>
                  <a:t>Depth (cm)</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zh-CN"/>
          </a:p>
        </c:txPr>
        <c:crossAx val="653402815"/>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ltLang="zh-CN"/>
              <a:t>PFAS concentration in receptor well</a:t>
            </a:r>
          </a:p>
        </c:rich>
      </c:tx>
      <c:overlay val="0"/>
    </c:title>
    <c:autoTitleDeleted val="0"/>
    <c:plotArea>
      <c:layout>
        <c:manualLayout>
          <c:xMode val="edge"/>
          <c:yMode val="edge"/>
          <c:x val="5.5653124293359474E-2"/>
          <c:y val="0.11000965160107135"/>
          <c:w val="0.89321625084796852"/>
          <c:h val="0.83784542305584175"/>
        </c:manualLayout>
      </c:layout>
      <c:scatterChart>
        <c:scatterStyle val="lineMarker"/>
        <c:varyColors val="0"/>
        <c:ser>
          <c:idx val="0"/>
          <c:order val="0"/>
          <c:tx>
            <c:v>Mean groundwater concentrations  (ug/L)</c:v>
          </c:tx>
          <c:spPr>
            <a:ln w="25400">
              <a:prstDash val="solid"/>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Module1_Output_Data!$F$3:$F$102</c:f>
              <c:numCache>
                <c:formatCode>0.00E+00</c:formatCode>
                <c:ptCount val="100"/>
                <c:pt idx="0">
                  <c:v>1.1555811270842012E-3</c:v>
                </c:pt>
                <c:pt idx="1">
                  <c:v>1.423337214161956E-3</c:v>
                </c:pt>
                <c:pt idx="2">
                  <c:v>1.6561567846761546E-3</c:v>
                </c:pt>
                <c:pt idx="3">
                  <c:v>1.8720328143580097E-3</c:v>
                </c:pt>
                <c:pt idx="4">
                  <c:v>2.0779514691052002E-3</c:v>
                </c:pt>
                <c:pt idx="5">
                  <c:v>2.2785734729357607E-3</c:v>
                </c:pt>
                <c:pt idx="6">
                  <c:v>2.4801799031514116E-3</c:v>
                </c:pt>
                <c:pt idx="7">
                  <c:v>2.693342631407481E-3</c:v>
                </c:pt>
                <c:pt idx="8">
                  <c:v>2.9339979644143017E-3</c:v>
                </c:pt>
                <c:pt idx="9">
                  <c:v>3.2232159492686565E-3</c:v>
                </c:pt>
                <c:pt idx="10">
                  <c:v>3.58649986881652E-3</c:v>
                </c:pt>
                <c:pt idx="11">
                  <c:v>4.0532416359864848E-3</c:v>
                </c:pt>
                <c:pt idx="12">
                  <c:v>4.6564245915739219E-3</c:v>
                </c:pt>
                <c:pt idx="13">
                  <c:v>5.4321880788384905E-3</c:v>
                </c:pt>
                <c:pt idx="14">
                  <c:v>6.4186780503578825E-3</c:v>
                </c:pt>
                <c:pt idx="15">
                  <c:v>7.6537758773118705E-3</c:v>
                </c:pt>
                <c:pt idx="16">
                  <c:v>9.1717102101328742E-3</c:v>
                </c:pt>
                <c:pt idx="17">
                  <c:v>1.0998995383090779E-2</c:v>
                </c:pt>
                <c:pt idx="18">
                  <c:v>1.3150414083337924E-2</c:v>
                </c:pt>
                <c:pt idx="19">
                  <c:v>1.5625793367708345E-2</c:v>
                </c:pt>
                <c:pt idx="20">
                  <c:v>1.8408145092215729E-2</c:v>
                </c:pt>
                <c:pt idx="21">
                  <c:v>2.1463449614399995E-2</c:v>
                </c:pt>
                <c:pt idx="22">
                  <c:v>2.4742056957898335E-2</c:v>
                </c:pt>
                <c:pt idx="23">
                  <c:v>2.8181436038791082E-2</c:v>
                </c:pt>
                <c:pt idx="24">
                  <c:v>3.1709854821654448E-2</c:v>
                </c:pt>
                <c:pt idx="25">
                  <c:v>3.5250524124427356E-2</c:v>
                </c:pt>
                <c:pt idx="26">
                  <c:v>3.8725766290156539E-2</c:v>
                </c:pt>
                <c:pt idx="27">
                  <c:v>4.2060849738769959E-2</c:v>
                </c:pt>
                <c:pt idx="28">
                  <c:v>4.5187234604358653E-2</c:v>
                </c:pt>
                <c:pt idx="29">
                  <c:v>4.8045081707164393E-2</c:v>
                </c:pt>
                <c:pt idx="30">
                  <c:v>5.0584972498459849E-2</c:v>
                </c:pt>
                <c:pt idx="31">
                  <c:v>5.2768863513172566E-2</c:v>
                </c:pt>
                <c:pt idx="32">
                  <c:v>5.457035271150254E-2</c:v>
                </c:pt>
                <c:pt idx="33">
                  <c:v>5.5974367937810042E-2</c:v>
                </c:pt>
                <c:pt idx="34">
                  <c:v>5.6976402706040152E-2</c:v>
                </c:pt>
                <c:pt idx="35">
                  <c:v>5.7581425659215077E-2</c:v>
                </c:pt>
                <c:pt idx="36">
                  <c:v>5.7802581438326117E-2</c:v>
                </c:pt>
                <c:pt idx="37">
                  <c:v>5.7659786001665277E-2</c:v>
                </c:pt>
                <c:pt idx="38">
                  <c:v>5.7178301663991488E-2</c:v>
                </c:pt>
                <c:pt idx="39">
                  <c:v>5.638735855213188E-2</c:v>
                </c:pt>
                <c:pt idx="40">
                  <c:v>5.531887138995939E-2</c:v>
                </c:pt>
                <c:pt idx="41">
                  <c:v>5.4006284534918431E-2</c:v>
                </c:pt>
                <c:pt idx="42">
                  <c:v>5.2483564527910039E-2</c:v>
                </c:pt>
                <c:pt idx="43">
                  <c:v>5.0784348279240756E-2</c:v>
                </c:pt>
                <c:pt idx="44">
                  <c:v>4.8941246345786366E-2</c:v>
                </c:pt>
                <c:pt idx="45">
                  <c:v>4.6985294355939233E-2</c:v>
                </c:pt>
                <c:pt idx="46">
                  <c:v>4.4945541221755973E-2</c:v>
                </c:pt>
                <c:pt idx="47">
                  <c:v>4.284876001937761E-2</c:v>
                </c:pt>
                <c:pt idx="48">
                  <c:v>4.0719265995860322E-2</c:v>
                </c:pt>
                <c:pt idx="49">
                  <c:v>3.8578825770872294E-2</c:v>
                </c:pt>
                <c:pt idx="50">
                  <c:v>3.6446642176858404E-2</c:v>
                </c:pt>
                <c:pt idx="51">
                  <c:v>3.4339400092216324E-2</c:v>
                </c:pt>
                <c:pt idx="52">
                  <c:v>3.2271359880198205E-2</c:v>
                </c:pt>
                <c:pt idx="53">
                  <c:v>3.02544865013568E-2</c:v>
                </c:pt>
                <c:pt idx="54">
                  <c:v>2.829860390378652E-2</c:v>
                </c:pt>
                <c:pt idx="55">
                  <c:v>2.6411565827406811E-2</c:v>
                </c:pt>
                <c:pt idx="56">
                  <c:v>2.4599435625483869E-2</c:v>
                </c:pt>
                <c:pt idx="57">
                  <c:v>2.2866669068233696E-2</c:v>
                </c:pt>
                <c:pt idx="58">
                  <c:v>2.1216295325526272E-2</c:v>
                </c:pt>
                <c:pt idx="59">
                  <c:v>1.9650092416634079E-2</c:v>
                </c:pt>
                <c:pt idx="60">
                  <c:v>1.8168754361969887E-2</c:v>
                </c:pt>
                <c:pt idx="61">
                  <c:v>1.677204807872168E-2</c:v>
                </c:pt>
                <c:pt idx="62">
                  <c:v>1.54589587374805E-2</c:v>
                </c:pt>
                <c:pt idx="63">
                  <c:v>1.4227822851409066E-2</c:v>
                </c:pt>
                <c:pt idx="64">
                  <c:v>1.3076448815691534E-2</c:v>
                </c:pt>
                <c:pt idx="65">
                  <c:v>1.2002224965982456E-2</c:v>
                </c:pt>
                <c:pt idx="66">
                  <c:v>1.1002215493211774E-2</c:v>
                </c:pt>
                <c:pt idx="67">
                  <c:v>1.0073244750685622E-2</c:v>
                </c:pt>
                <c:pt idx="68">
                  <c:v>9.211970629339079E-3</c:v>
                </c:pt>
                <c:pt idx="69">
                  <c:v>8.4149477685471468E-3</c:v>
                </c:pt>
                <c:pt idx="70">
                  <c:v>7.6786814222613202E-3</c:v>
                </c:pt>
                <c:pt idx="71">
                  <c:v>6.9996728214275234E-3</c:v>
                </c:pt>
                <c:pt idx="72">
                  <c:v>6.3744568705575771E-3</c:v>
                </c:pt>
                <c:pt idx="73">
                  <c:v>5.799632994845102E-3</c:v>
                </c:pt>
                <c:pt idx="74">
                  <c:v>5.2718899192396159E-3</c:v>
                </c:pt>
                <c:pt idx="75">
                  <c:v>4.7880251164899605E-3</c:v>
                </c:pt>
                <c:pt idx="76">
                  <c:v>4.3449596106355497E-3</c:v>
                </c:pt>
                <c:pt idx="77">
                  <c:v>3.9397487684153841E-3</c:v>
                </c:pt>
                <c:pt idx="78">
                  <c:v>3.5695896556642236E-3</c:v>
                </c:pt>
                <c:pt idx="79">
                  <c:v>3.2318254805807794E-3</c:v>
                </c:pt>
                <c:pt idx="80">
                  <c:v>2.9239475919959831E-3</c:v>
                </c:pt>
                <c:pt idx="81">
                  <c:v>2.6435954493137007E-3</c:v>
                </c:pt>
                <c:pt idx="82">
                  <c:v>2.3885549322551483E-3</c:v>
                </c:pt>
                <c:pt idx="83">
                  <c:v>2.1567553132980101E-3</c:v>
                </c:pt>
                <c:pt idx="84">
                  <c:v>1.9462651739814182E-3</c:v>
                </c:pt>
                <c:pt idx="85">
                  <c:v>1.7552875081305397E-3</c:v>
                </c:pt>
                <c:pt idx="86">
                  <c:v>1.5821542205194021E-3</c:v>
                </c:pt>
                <c:pt idx="87">
                  <c:v>1.4253201984395286E-3</c:v>
                </c:pt>
                <c:pt idx="88">
                  <c:v>1.2833571059237964E-3</c:v>
                </c:pt>
                <c:pt idx="89">
                  <c:v>1.154947025797272E-3</c:v>
                </c:pt>
                <c:pt idx="90">
                  <c:v>1.0388760530774829E-3</c:v>
                </c:pt>
                <c:pt idx="91">
                  <c:v>9.340279242961247E-4</c:v>
                </c:pt>
                <c:pt idx="92">
                  <c:v>8.3937775083228609E-4</c:v>
                </c:pt>
                <c:pt idx="93">
                  <c:v>7.5398591010378485E-4</c:v>
                </c:pt>
                <c:pt idx="94">
                  <c:v>6.7699213623415261E-4</c:v>
                </c:pt>
                <c:pt idx="95">
                  <c:v>6.0760984138698087E-4</c:v>
                </c:pt>
                <c:pt idx="96">
                  <c:v>5.4512069013436151E-4</c:v>
                </c:pt>
                <c:pt idx="97">
                  <c:v>4.8886944181669538E-4</c:v>
                </c:pt>
                <c:pt idx="98">
                  <c:v>4.3825906968425287E-4</c:v>
                </c:pt>
                <c:pt idx="99">
                  <c:v>3.9274616052978686E-4</c:v>
                </c:pt>
              </c:numCache>
            </c:numRef>
          </c:yVal>
          <c:smooth val="0"/>
          <c:extLst>
            <c:ext xmlns:c16="http://schemas.microsoft.com/office/drawing/2014/chart" uri="{C3380CC4-5D6E-409C-BE32-E72D297353CC}">
              <c16:uniqueId val="{00000003-D7E2-4071-A299-A091C093919E}"/>
            </c:ext>
          </c:extLst>
        </c:ser>
        <c:ser>
          <c:idx val="1"/>
          <c:order val="1"/>
          <c:tx>
            <c:v>Right bound groundwater concentrations  (ug/L)</c:v>
          </c:tx>
          <c:spPr>
            <a:ln w="38100">
              <a:prstDash val="dash"/>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Module1_Output_Data!$G$3:$G$102</c:f>
              <c:numCache>
                <c:formatCode>0.00E+00</c:formatCode>
                <c:ptCount val="100"/>
                <c:pt idx="0">
                  <c:v>2.4703569511807691E-3</c:v>
                </c:pt>
                <c:pt idx="1">
                  <c:v>3.2149438501497649E-3</c:v>
                </c:pt>
                <c:pt idx="2">
                  <c:v>3.8836777686870705E-3</c:v>
                </c:pt>
                <c:pt idx="3">
                  <c:v>4.5375771153790849E-3</c:v>
                </c:pt>
                <c:pt idx="4">
                  <c:v>5.2825558224607397E-3</c:v>
                </c:pt>
                <c:pt idx="5">
                  <c:v>6.3193558630060022E-3</c:v>
                </c:pt>
                <c:pt idx="6">
                  <c:v>7.9337642182921407E-3</c:v>
                </c:pt>
                <c:pt idx="7">
                  <c:v>1.0480380367748199E-2</c:v>
                </c:pt>
                <c:pt idx="8">
                  <c:v>1.4355285837527728E-2</c:v>
                </c:pt>
                <c:pt idx="9">
                  <c:v>1.9917066362968319E-2</c:v>
                </c:pt>
                <c:pt idx="10">
                  <c:v>2.736020253026317E-2</c:v>
                </c:pt>
                <c:pt idx="11">
                  <c:v>3.6602062760115198E-2</c:v>
                </c:pt>
                <c:pt idx="12">
                  <c:v>4.7245860476555872E-2</c:v>
                </c:pt>
                <c:pt idx="13">
                  <c:v>5.8636508908992857E-2</c:v>
                </c:pt>
                <c:pt idx="14">
                  <c:v>6.9980894483990169E-2</c:v>
                </c:pt>
                <c:pt idx="15">
                  <c:v>8.0485847261132615E-2</c:v>
                </c:pt>
                <c:pt idx="16">
                  <c:v>8.9474281994197283E-2</c:v>
                </c:pt>
                <c:pt idx="17">
                  <c:v>9.6458561637796758E-2</c:v>
                </c:pt>
                <c:pt idx="18">
                  <c:v>0.10116798365553951</c:v>
                </c:pt>
                <c:pt idx="19">
                  <c:v>0.10353878569981309</c:v>
                </c:pt>
                <c:pt idx="20">
                  <c:v>0.10367973480417228</c:v>
                </c:pt>
                <c:pt idx="21">
                  <c:v>0.10182614094202748</c:v>
                </c:pt>
                <c:pt idx="22">
                  <c:v>9.8292365862186884E-2</c:v>
                </c:pt>
                <c:pt idx="23">
                  <c:v>9.3429390392777673E-2</c:v>
                </c:pt>
                <c:pt idx="24">
                  <c:v>8.759082277168477E-2</c:v>
                </c:pt>
                <c:pt idx="25">
                  <c:v>8.1108331561395464E-2</c:v>
                </c:pt>
                <c:pt idx="26">
                  <c:v>7.4275935774684693E-2</c:v>
                </c:pt>
                <c:pt idx="27">
                  <c:v>6.7341753050146544E-2</c:v>
                </c:pt>
                <c:pt idx="28">
                  <c:v>6.0505499408149699E-2</c:v>
                </c:pt>
                <c:pt idx="29">
                  <c:v>5.3920062622327944E-2</c:v>
                </c:pt>
                <c:pt idx="30">
                  <c:v>4.7695683931545503E-2</c:v>
                </c:pt>
                <c:pt idx="31">
                  <c:v>4.1905572138660974E-2</c:v>
                </c:pt>
                <c:pt idx="32">
                  <c:v>3.6592071847139682E-2</c:v>
                </c:pt>
                <c:pt idx="33">
                  <c:v>3.1772775701209802E-2</c:v>
                </c:pt>
                <c:pt idx="34">
                  <c:v>2.7446192042221946E-2</c:v>
                </c:pt>
                <c:pt idx="35">
                  <c:v>2.3596750617571063E-2</c:v>
                </c:pt>
                <c:pt idx="36">
                  <c:v>2.0199053555684805E-2</c:v>
                </c:pt>
                <c:pt idx="37">
                  <c:v>1.7221363917526468E-2</c:v>
                </c:pt>
                <c:pt idx="38">
                  <c:v>1.462837793992736E-2</c:v>
                </c:pt>
                <c:pt idx="39">
                  <c:v>1.2383357410443432E-2</c:v>
                </c:pt>
                <c:pt idx="40">
                  <c:v>1.0449712211781972E-2</c:v>
                </c:pt>
                <c:pt idx="41">
                  <c:v>8.7921254100537336E-3</c:v>
                </c:pt>
                <c:pt idx="42">
                  <c:v>7.3773085299987835E-3</c:v>
                </c:pt>
                <c:pt idx="43">
                  <c:v>6.1744659369932725E-3</c:v>
                </c:pt>
                <c:pt idx="44">
                  <c:v>5.1555366831667979E-3</c:v>
                </c:pt>
                <c:pt idx="45">
                  <c:v>4.2952712055243335E-3</c:v>
                </c:pt>
                <c:pt idx="46">
                  <c:v>3.5711897798160175E-3</c:v>
                </c:pt>
                <c:pt idx="47">
                  <c:v>2.9634601388082273E-3</c:v>
                </c:pt>
                <c:pt idx="48">
                  <c:v>2.4547233931582449E-3</c:v>
                </c:pt>
                <c:pt idx="49">
                  <c:v>2.0298904063312398E-3</c:v>
                </c:pt>
                <c:pt idx="50">
                  <c:v>1.6759250217138514E-3</c:v>
                </c:pt>
                <c:pt idx="51">
                  <c:v>1.3816259085187653E-3</c:v>
                </c:pt>
                <c:pt idx="52">
                  <c:v>1.1374151424692212E-3</c:v>
                </c:pt>
                <c:pt idx="53">
                  <c:v>9.3513881904885301E-4</c:v>
                </c:pt>
                <c:pt idx="54">
                  <c:v>7.6788286802011987E-4</c:v>
                </c:pt>
                <c:pt idx="55">
                  <c:v>6.2980566728015235E-4</c:v>
                </c:pt>
                <c:pt idx="56">
                  <c:v>5.1598792733412375E-4</c:v>
                </c:pt>
                <c:pt idx="57">
                  <c:v>4.222995371638439E-4</c:v>
                </c:pt>
                <c:pt idx="58">
                  <c:v>3.4528254696537266E-4</c:v>
                </c:pt>
                <c:pt idx="59">
                  <c:v>2.8204914709387417E-4</c:v>
                </c:pt>
                <c:pt idx="60">
                  <c:v>2.3019333278381907E-4</c:v>
                </c:pt>
                <c:pt idx="61">
                  <c:v>1.8771487929415551E-4</c:v>
                </c:pt>
                <c:pt idx="62">
                  <c:v>1.5295425995801048E-4</c:v>
                </c:pt>
                <c:pt idx="63">
                  <c:v>1.2453719578187089E-4</c:v>
                </c:pt>
                <c:pt idx="64">
                  <c:v>1.0132761150674818E-4</c:v>
                </c:pt>
                <c:pt idx="65">
                  <c:v>8.2387876065926789E-5</c:v>
                </c:pt>
                <c:pt idx="66">
                  <c:v>6.6945315609074252E-5</c:v>
                </c:pt>
                <c:pt idx="67">
                  <c:v>5.4364098090323573E-5</c:v>
                </c:pt>
                <c:pt idx="68">
                  <c:v>4.4121695424911931E-5</c:v>
                </c:pt>
                <c:pt idx="69">
                  <c:v>3.578922963186717E-5</c:v>
                </c:pt>
                <c:pt idx="70">
                  <c:v>2.9015101621833702E-5</c:v>
                </c:pt>
                <c:pt idx="71">
                  <c:v>2.3511384635132083E-5</c:v>
                </c:pt>
                <c:pt idx="72">
                  <c:v>1.9042538652309244E-5</c:v>
                </c:pt>
                <c:pt idx="73">
                  <c:v>1.5416067649372811E-5</c:v>
                </c:pt>
                <c:pt idx="74">
                  <c:v>1.2474798863273197E-5</c:v>
                </c:pt>
                <c:pt idx="75">
                  <c:v>1.0090512924382103E-5</c:v>
                </c:pt>
                <c:pt idx="76">
                  <c:v>8.15869652455553E-6</c:v>
                </c:pt>
                <c:pt idx="77">
                  <c:v>6.5942259611748411E-6</c:v>
                </c:pt>
                <c:pt idx="78">
                  <c:v>5.3278211504686759E-6</c:v>
                </c:pt>
                <c:pt idx="79">
                  <c:v>4.3031362183946481E-6</c:v>
                </c:pt>
                <c:pt idx="80">
                  <c:v>3.4743751824191446E-6</c:v>
                </c:pt>
                <c:pt idx="81">
                  <c:v>2.804340101591581E-6</c:v>
                </c:pt>
                <c:pt idx="82">
                  <c:v>2.2628349034050383E-6</c:v>
                </c:pt>
                <c:pt idx="83">
                  <c:v>1.8253613426033289E-6</c:v>
                </c:pt>
                <c:pt idx="84">
                  <c:v>1.472054601528606E-6</c:v>
                </c:pt>
                <c:pt idx="85">
                  <c:v>1.1868152440130482E-6</c:v>
                </c:pt>
                <c:pt idx="86">
                  <c:v>9.5660187827996187E-7</c:v>
                </c:pt>
                <c:pt idx="87">
                  <c:v>7.7085521981370514E-7</c:v>
                </c:pt>
                <c:pt idx="88">
                  <c:v>6.2102948649944428E-7</c:v>
                </c:pt>
                <c:pt idx="89">
                  <c:v>5.0021138684443563E-7</c:v>
                </c:pt>
                <c:pt idx="90">
                  <c:v>4.0281053090652061E-7</c:v>
                </c:pt>
                <c:pt idx="91">
                  <c:v>3.243080315443386E-7</c:v>
                </c:pt>
                <c:pt idx="92">
                  <c:v>2.610524788490453E-7</c:v>
                </c:pt>
                <c:pt idx="93">
                  <c:v>2.1009445351478327E-7</c:v>
                </c:pt>
                <c:pt idx="94">
                  <c:v>1.6905237083970994E-7</c:v>
                </c:pt>
                <c:pt idx="95">
                  <c:v>1.3600377874663225E-7</c:v>
                </c:pt>
                <c:pt idx="96">
                  <c:v>1.0939732273874922E-7</c:v>
                </c:pt>
                <c:pt idx="97">
                  <c:v>8.7981481196535146E-8</c:v>
                </c:pt>
                <c:pt idx="98">
                  <c:v>7.0746901542728516E-8</c:v>
                </c:pt>
                <c:pt idx="99">
                  <c:v>5.6879760992001161E-8</c:v>
                </c:pt>
              </c:numCache>
            </c:numRef>
          </c:yVal>
          <c:smooth val="0"/>
          <c:extLst>
            <c:ext xmlns:c16="http://schemas.microsoft.com/office/drawing/2014/chart" uri="{C3380CC4-5D6E-409C-BE32-E72D297353CC}">
              <c16:uniqueId val="{00000004-D7E2-4071-A299-A091C093919E}"/>
            </c:ext>
          </c:extLst>
        </c:ser>
        <c:ser>
          <c:idx val="2"/>
          <c:order val="2"/>
          <c:tx>
            <c:v>Left bound groundwater concentrations  (ug/L)</c:v>
          </c:tx>
          <c:spPr>
            <a:ln w="38100">
              <a:prstDash val="sysDashDotDot"/>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Module1_Output_Data!$E$3:$E$102</c:f>
              <c:numCache>
                <c:formatCode>0.00E+00</c:formatCode>
                <c:ptCount val="100"/>
                <c:pt idx="0">
                  <c:v>7.6530746222689425E-4</c:v>
                </c:pt>
                <c:pt idx="1">
                  <c:v>9.174531076998996E-4</c:v>
                </c:pt>
                <c:pt idx="2">
                  <c:v>1.0477007754625548E-3</c:v>
                </c:pt>
                <c:pt idx="3">
                  <c:v>1.1671083397776453E-3</c:v>
                </c:pt>
                <c:pt idx="4">
                  <c:v>1.2798961407405008E-3</c:v>
                </c:pt>
                <c:pt idx="5">
                  <c:v>1.388209419094294E-3</c:v>
                </c:pt>
                <c:pt idx="6">
                  <c:v>1.4933911766462943E-3</c:v>
                </c:pt>
                <c:pt idx="7">
                  <c:v>1.5966133394671486E-3</c:v>
                </c:pt>
                <c:pt idx="8">
                  <c:v>1.6993727439652919E-3</c:v>
                </c:pt>
                <c:pt idx="9">
                  <c:v>1.8038867036010036E-3</c:v>
                </c:pt>
                <c:pt idx="10">
                  <c:v>1.9133323188164771E-3</c:v>
                </c:pt>
                <c:pt idx="11">
                  <c:v>2.0319201710404201E-3</c:v>
                </c:pt>
                <c:pt idx="12">
                  <c:v>2.164848788708592E-3</c:v>
                </c:pt>
                <c:pt idx="13">
                  <c:v>2.3182059032073377E-3</c:v>
                </c:pt>
                <c:pt idx="14">
                  <c:v>2.498871335180427E-3</c:v>
                </c:pt>
                <c:pt idx="15">
                  <c:v>2.7144502430880716E-3</c:v>
                </c:pt>
                <c:pt idx="16">
                  <c:v>2.9732359214257017E-3</c:v>
                </c:pt>
                <c:pt idx="17">
                  <c:v>3.2841761077488547E-3</c:v>
                </c:pt>
                <c:pt idx="18">
                  <c:v>3.6568017871388579E-3</c:v>
                </c:pt>
                <c:pt idx="19">
                  <c:v>4.1010762140120472E-3</c:v>
                </c:pt>
                <c:pt idx="20">
                  <c:v>4.6271339364980591E-3</c:v>
                </c:pt>
                <c:pt idx="21">
                  <c:v>5.2449009095964175E-3</c:v>
                </c:pt>
                <c:pt idx="22">
                  <c:v>5.9636111245737564E-3</c:v>
                </c:pt>
                <c:pt idx="23">
                  <c:v>6.7912564494685412E-3</c:v>
                </c:pt>
                <c:pt idx="24">
                  <c:v>7.7340202257864124E-3</c:v>
                </c:pt>
                <c:pt idx="25">
                  <c:v>8.7957497484021322E-3</c:v>
                </c:pt>
                <c:pt idx="26">
                  <c:v>9.977518535133411E-3</c:v>
                </c:pt>
                <c:pt idx="27">
                  <c:v>1.1277318337766958E-2</c:v>
                </c:pt>
                <c:pt idx="28">
                  <c:v>1.26899059621902E-2</c:v>
                </c:pt>
                <c:pt idx="29">
                  <c:v>1.420681394864854E-2</c:v>
                </c:pt>
                <c:pt idx="30">
                  <c:v>1.5816519309246237E-2</c:v>
                </c:pt>
                <c:pt idx="31">
                  <c:v>1.7504752390815771E-2</c:v>
                </c:pt>
                <c:pt idx="32">
                  <c:v>1.9254919334115321E-2</c:v>
                </c:pt>
                <c:pt idx="33">
                  <c:v>2.1048606697515779E-2</c:v>
                </c:pt>
                <c:pt idx="34">
                  <c:v>2.2866135296181707E-2</c:v>
                </c:pt>
                <c:pt idx="35">
                  <c:v>2.4687131578718241E-2</c:v>
                </c:pt>
                <c:pt idx="36">
                  <c:v>2.6491088195530466E-2</c:v>
                </c:pt>
                <c:pt idx="37">
                  <c:v>2.8257890072146685E-2</c:v>
                </c:pt>
                <c:pt idx="38">
                  <c:v>2.9968287625025403E-2</c:v>
                </c:pt>
                <c:pt idx="39">
                  <c:v>3.1604304203337839E-2</c:v>
                </c:pt>
                <c:pt idx="40">
                  <c:v>3.3149569998760509E-2</c:v>
                </c:pt>
                <c:pt idx="41">
                  <c:v>3.4589579258556949E-2</c:v>
                </c:pt>
                <c:pt idx="42">
                  <c:v>3.5911871503295945E-2</c:v>
                </c:pt>
                <c:pt idx="43">
                  <c:v>3.7106140522324312E-2</c:v>
                </c:pt>
                <c:pt idx="44">
                  <c:v>3.8164277202327929E-2</c:v>
                </c:pt>
                <c:pt idx="45">
                  <c:v>3.9080353792018505E-2</c:v>
                </c:pt>
                <c:pt idx="46">
                  <c:v>3.9850558105690929E-2</c:v>
                </c:pt>
                <c:pt idx="47">
                  <c:v>4.0473086522922454E-2</c:v>
                </c:pt>
                <c:pt idx="48">
                  <c:v>4.0948004558546108E-2</c:v>
                </c:pt>
                <c:pt idx="49">
                  <c:v>4.1277083360193312E-2</c:v>
                </c:pt>
                <c:pt idx="50">
                  <c:v>4.1463619835186982E-2</c:v>
                </c:pt>
                <c:pt idx="51">
                  <c:v>4.1512247297370915E-2</c:v>
                </c:pt>
                <c:pt idx="52">
                  <c:v>4.1428742627186599E-2</c:v>
                </c:pt>
                <c:pt idx="53">
                  <c:v>4.1219835011077698E-2</c:v>
                </c:pt>
                <c:pt idx="54">
                  <c:v>4.089302041253641E-2</c:v>
                </c:pt>
                <c:pt idx="55">
                  <c:v>4.0456385058778577E-2</c:v>
                </c:pt>
                <c:pt idx="56">
                  <c:v>3.991844042622706E-2</c:v>
                </c:pt>
                <c:pt idx="57">
                  <c:v>3.9287971488521513E-2</c:v>
                </c:pt>
                <c:pt idx="58">
                  <c:v>3.8573899359793697E-2</c:v>
                </c:pt>
                <c:pt idx="59">
                  <c:v>3.7785158925389618E-2</c:v>
                </c:pt>
                <c:pt idx="60">
                  <c:v>3.6930591600102258E-2</c:v>
                </c:pt>
                <c:pt idx="61">
                  <c:v>3.6018852985534339E-2</c:v>
                </c:pt>
                <c:pt idx="62">
                  <c:v>3.5058334906807612E-2</c:v>
                </c:pt>
                <c:pt idx="63">
                  <c:v>3.4057101086723669E-2</c:v>
                </c:pt>
                <c:pt idx="64">
                  <c:v>3.3022835554385156E-2</c:v>
                </c:pt>
                <c:pt idx="65">
                  <c:v>3.1962802776866944E-2</c:v>
                </c:pt>
                <c:pt idx="66">
                  <c:v>3.0883818438671159E-2</c:v>
                </c:pt>
                <c:pt idx="67">
                  <c:v>2.9792229766790419E-2</c:v>
                </c:pt>
                <c:pt idx="68">
                  <c:v>2.8693904302245804E-2</c:v>
                </c:pt>
                <c:pt idx="69">
                  <c:v>2.7594226045656499E-2</c:v>
                </c:pt>
                <c:pt idx="70">
                  <c:v>2.6498097949193153E-2</c:v>
                </c:pt>
                <c:pt idx="71">
                  <c:v>2.5409949785347361E-2</c:v>
                </c:pt>
                <c:pt idx="72">
                  <c:v>2.4333750490214474E-2</c:v>
                </c:pt>
                <c:pt idx="73">
                  <c:v>2.3273024151996655E-2</c:v>
                </c:pt>
                <c:pt idx="74">
                  <c:v>2.2230868891354241E-2</c:v>
                </c:pt>
                <c:pt idx="75">
                  <c:v>2.1209977956791189E-2</c:v>
                </c:pt>
                <c:pt idx="76">
                  <c:v>2.0212662433641056E-2</c:v>
                </c:pt>
                <c:pt idx="77">
                  <c:v>1.9240875038053454E-2</c:v>
                </c:pt>
                <c:pt idx="78">
                  <c:v>1.8296234536638954E-2</c:v>
                </c:pt>
                <c:pt idx="79">
                  <c:v>1.7380050397395229E-2</c:v>
                </c:pt>
                <c:pt idx="80">
                  <c:v>1.6493347337743096E-2</c:v>
                </c:pt>
                <c:pt idx="81">
                  <c:v>1.5636889490687974E-2</c:v>
                </c:pt>
                <c:pt idx="82">
                  <c:v>1.4811203960195423E-2</c:v>
                </c:pt>
                <c:pt idx="83">
                  <c:v>1.4016603581865754E-2</c:v>
                </c:pt>
                <c:pt idx="84">
                  <c:v>1.3253208745049146E-2</c:v>
                </c:pt>
                <c:pt idx="85">
                  <c:v>1.252096816787239E-2</c:v>
                </c:pt>
                <c:pt idx="86">
                  <c:v>1.181967854751405E-2</c:v>
                </c:pt>
                <c:pt idx="87">
                  <c:v>1.1149003034768712E-2</c:v>
                </c:pt>
                <c:pt idx="88">
                  <c:v>1.0508488504805926E-2</c:v>
                </c:pt>
                <c:pt idx="89">
                  <c:v>9.8975816153801192E-3</c:v>
                </c:pt>
                <c:pt idx="90">
                  <c:v>9.3156436599258104E-3</c:v>
                </c:pt>
                <c:pt idx="91">
                  <c:v>8.7619642362882031E-3</c:v>
                </c:pt>
                <c:pt idx="92">
                  <c:v>8.2357737626190721E-3</c:v>
                </c:pt>
                <c:pt idx="93">
                  <c:v>7.7362548804949102E-3</c:v>
                </c:pt>
                <c:pt idx="94">
                  <c:v>7.2625527918754084E-3</c:v>
                </c:pt>
                <c:pt idx="95">
                  <c:v>6.8137845813679388E-3</c:v>
                </c:pt>
                <c:pt idx="96">
                  <c:v>6.3890475786361521E-3</c:v>
                </c:pt>
                <c:pt idx="97">
                  <c:v>5.9874268179023853E-3</c:v>
                </c:pt>
                <c:pt idx="98">
                  <c:v>5.6080016525423011E-3</c:v>
                </c:pt>
                <c:pt idx="99">
                  <c:v>5.2498515829259096E-3</c:v>
                </c:pt>
              </c:numCache>
            </c:numRef>
          </c:yVal>
          <c:smooth val="0"/>
          <c:extLst>
            <c:ext xmlns:c16="http://schemas.microsoft.com/office/drawing/2014/chart" uri="{C3380CC4-5D6E-409C-BE32-E72D297353CC}">
              <c16:uniqueId val="{00000005-D7E2-4071-A299-A091C093919E}"/>
            </c:ext>
          </c:extLst>
        </c:ser>
        <c:ser>
          <c:idx val="3"/>
          <c:order val="3"/>
          <c:tx>
            <c:v>Acceptable groundwater concentration (ug/L)</c:v>
          </c:tx>
          <c:spPr>
            <a:ln w="25400">
              <a:solidFill>
                <a:srgbClr val="8B0000"/>
              </a:solidFill>
              <a:prstDash val="solid"/>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Lit>
              <c:formatCode>General</c:formatCode>
              <c:ptCount val="100"/>
              <c:pt idx="0">
                <c:v>4.0000000000000001E-3</c:v>
              </c:pt>
              <c:pt idx="1">
                <c:v>4.0000000000000001E-3</c:v>
              </c:pt>
              <c:pt idx="2">
                <c:v>4.0000000000000001E-3</c:v>
              </c:pt>
              <c:pt idx="3">
                <c:v>4.0000000000000001E-3</c:v>
              </c:pt>
              <c:pt idx="4">
                <c:v>4.0000000000000001E-3</c:v>
              </c:pt>
              <c:pt idx="5">
                <c:v>4.0000000000000001E-3</c:v>
              </c:pt>
              <c:pt idx="6">
                <c:v>4.0000000000000001E-3</c:v>
              </c:pt>
              <c:pt idx="7">
                <c:v>4.0000000000000001E-3</c:v>
              </c:pt>
              <c:pt idx="8">
                <c:v>4.0000000000000001E-3</c:v>
              </c:pt>
              <c:pt idx="9">
                <c:v>4.0000000000000001E-3</c:v>
              </c:pt>
              <c:pt idx="10">
                <c:v>4.0000000000000001E-3</c:v>
              </c:pt>
              <c:pt idx="11">
                <c:v>4.0000000000000001E-3</c:v>
              </c:pt>
              <c:pt idx="12">
                <c:v>4.0000000000000001E-3</c:v>
              </c:pt>
              <c:pt idx="13">
                <c:v>4.0000000000000001E-3</c:v>
              </c:pt>
              <c:pt idx="14">
                <c:v>4.0000000000000001E-3</c:v>
              </c:pt>
              <c:pt idx="15">
                <c:v>4.0000000000000001E-3</c:v>
              </c:pt>
              <c:pt idx="16">
                <c:v>4.0000000000000001E-3</c:v>
              </c:pt>
              <c:pt idx="17">
                <c:v>4.0000000000000001E-3</c:v>
              </c:pt>
              <c:pt idx="18">
                <c:v>4.0000000000000001E-3</c:v>
              </c:pt>
              <c:pt idx="19">
                <c:v>4.0000000000000001E-3</c:v>
              </c:pt>
              <c:pt idx="20">
                <c:v>4.0000000000000001E-3</c:v>
              </c:pt>
              <c:pt idx="21">
                <c:v>4.0000000000000001E-3</c:v>
              </c:pt>
              <c:pt idx="22">
                <c:v>4.0000000000000001E-3</c:v>
              </c:pt>
              <c:pt idx="23">
                <c:v>4.0000000000000001E-3</c:v>
              </c:pt>
              <c:pt idx="24">
                <c:v>4.0000000000000001E-3</c:v>
              </c:pt>
              <c:pt idx="25">
                <c:v>4.0000000000000001E-3</c:v>
              </c:pt>
              <c:pt idx="26">
                <c:v>4.0000000000000001E-3</c:v>
              </c:pt>
              <c:pt idx="27">
                <c:v>4.0000000000000001E-3</c:v>
              </c:pt>
              <c:pt idx="28">
                <c:v>4.0000000000000001E-3</c:v>
              </c:pt>
              <c:pt idx="29">
                <c:v>4.0000000000000001E-3</c:v>
              </c:pt>
              <c:pt idx="30">
                <c:v>4.0000000000000001E-3</c:v>
              </c:pt>
              <c:pt idx="31">
                <c:v>4.0000000000000001E-3</c:v>
              </c:pt>
              <c:pt idx="32">
                <c:v>4.0000000000000001E-3</c:v>
              </c:pt>
              <c:pt idx="33">
                <c:v>4.0000000000000001E-3</c:v>
              </c:pt>
              <c:pt idx="34">
                <c:v>4.0000000000000001E-3</c:v>
              </c:pt>
              <c:pt idx="35">
                <c:v>4.0000000000000001E-3</c:v>
              </c:pt>
              <c:pt idx="36">
                <c:v>4.0000000000000001E-3</c:v>
              </c:pt>
              <c:pt idx="37">
                <c:v>4.0000000000000001E-3</c:v>
              </c:pt>
              <c:pt idx="38">
                <c:v>4.0000000000000001E-3</c:v>
              </c:pt>
              <c:pt idx="39">
                <c:v>4.0000000000000001E-3</c:v>
              </c:pt>
              <c:pt idx="40">
                <c:v>4.0000000000000001E-3</c:v>
              </c:pt>
              <c:pt idx="41">
                <c:v>4.0000000000000001E-3</c:v>
              </c:pt>
              <c:pt idx="42">
                <c:v>4.0000000000000001E-3</c:v>
              </c:pt>
              <c:pt idx="43">
                <c:v>4.0000000000000001E-3</c:v>
              </c:pt>
              <c:pt idx="44">
                <c:v>4.0000000000000001E-3</c:v>
              </c:pt>
              <c:pt idx="45">
                <c:v>4.0000000000000001E-3</c:v>
              </c:pt>
              <c:pt idx="46">
                <c:v>4.0000000000000001E-3</c:v>
              </c:pt>
              <c:pt idx="47">
                <c:v>4.0000000000000001E-3</c:v>
              </c:pt>
              <c:pt idx="48">
                <c:v>4.0000000000000001E-3</c:v>
              </c:pt>
              <c:pt idx="49">
                <c:v>4.0000000000000001E-3</c:v>
              </c:pt>
              <c:pt idx="50">
                <c:v>4.0000000000000001E-3</c:v>
              </c:pt>
              <c:pt idx="51">
                <c:v>4.0000000000000001E-3</c:v>
              </c:pt>
              <c:pt idx="52">
                <c:v>4.0000000000000001E-3</c:v>
              </c:pt>
              <c:pt idx="53">
                <c:v>4.0000000000000001E-3</c:v>
              </c:pt>
              <c:pt idx="54">
                <c:v>4.0000000000000001E-3</c:v>
              </c:pt>
              <c:pt idx="55">
                <c:v>4.0000000000000001E-3</c:v>
              </c:pt>
              <c:pt idx="56">
                <c:v>4.0000000000000001E-3</c:v>
              </c:pt>
              <c:pt idx="57">
                <c:v>4.0000000000000001E-3</c:v>
              </c:pt>
              <c:pt idx="58">
                <c:v>4.0000000000000001E-3</c:v>
              </c:pt>
              <c:pt idx="59">
                <c:v>4.0000000000000001E-3</c:v>
              </c:pt>
              <c:pt idx="60">
                <c:v>4.0000000000000001E-3</c:v>
              </c:pt>
              <c:pt idx="61">
                <c:v>4.0000000000000001E-3</c:v>
              </c:pt>
              <c:pt idx="62">
                <c:v>4.0000000000000001E-3</c:v>
              </c:pt>
              <c:pt idx="63">
                <c:v>4.0000000000000001E-3</c:v>
              </c:pt>
              <c:pt idx="64">
                <c:v>4.0000000000000001E-3</c:v>
              </c:pt>
              <c:pt idx="65">
                <c:v>4.0000000000000001E-3</c:v>
              </c:pt>
              <c:pt idx="66">
                <c:v>4.0000000000000001E-3</c:v>
              </c:pt>
              <c:pt idx="67">
                <c:v>4.0000000000000001E-3</c:v>
              </c:pt>
              <c:pt idx="68">
                <c:v>4.0000000000000001E-3</c:v>
              </c:pt>
              <c:pt idx="69">
                <c:v>4.0000000000000001E-3</c:v>
              </c:pt>
              <c:pt idx="70">
                <c:v>4.0000000000000001E-3</c:v>
              </c:pt>
              <c:pt idx="71">
                <c:v>4.0000000000000001E-3</c:v>
              </c:pt>
              <c:pt idx="72">
                <c:v>4.0000000000000001E-3</c:v>
              </c:pt>
              <c:pt idx="73">
                <c:v>4.0000000000000001E-3</c:v>
              </c:pt>
              <c:pt idx="74">
                <c:v>4.0000000000000001E-3</c:v>
              </c:pt>
              <c:pt idx="75">
                <c:v>4.0000000000000001E-3</c:v>
              </c:pt>
              <c:pt idx="76">
                <c:v>4.0000000000000001E-3</c:v>
              </c:pt>
              <c:pt idx="77">
                <c:v>4.0000000000000001E-3</c:v>
              </c:pt>
              <c:pt idx="78">
                <c:v>4.0000000000000001E-3</c:v>
              </c:pt>
              <c:pt idx="79">
                <c:v>4.0000000000000001E-3</c:v>
              </c:pt>
              <c:pt idx="80">
                <c:v>4.0000000000000001E-3</c:v>
              </c:pt>
              <c:pt idx="81">
                <c:v>4.0000000000000001E-3</c:v>
              </c:pt>
              <c:pt idx="82">
                <c:v>4.0000000000000001E-3</c:v>
              </c:pt>
              <c:pt idx="83">
                <c:v>4.0000000000000001E-3</c:v>
              </c:pt>
              <c:pt idx="84">
                <c:v>4.0000000000000001E-3</c:v>
              </c:pt>
              <c:pt idx="85">
                <c:v>4.0000000000000001E-3</c:v>
              </c:pt>
              <c:pt idx="86">
                <c:v>4.0000000000000001E-3</c:v>
              </c:pt>
              <c:pt idx="87">
                <c:v>4.0000000000000001E-3</c:v>
              </c:pt>
              <c:pt idx="88">
                <c:v>4.0000000000000001E-3</c:v>
              </c:pt>
              <c:pt idx="89">
                <c:v>4.0000000000000001E-3</c:v>
              </c:pt>
              <c:pt idx="90">
                <c:v>4.0000000000000001E-3</c:v>
              </c:pt>
              <c:pt idx="91">
                <c:v>4.0000000000000001E-3</c:v>
              </c:pt>
              <c:pt idx="92">
                <c:v>4.0000000000000001E-3</c:v>
              </c:pt>
              <c:pt idx="93">
                <c:v>4.0000000000000001E-3</c:v>
              </c:pt>
              <c:pt idx="94">
                <c:v>4.0000000000000001E-3</c:v>
              </c:pt>
              <c:pt idx="95">
                <c:v>4.0000000000000001E-3</c:v>
              </c:pt>
              <c:pt idx="96">
                <c:v>4.0000000000000001E-3</c:v>
              </c:pt>
              <c:pt idx="97">
                <c:v>4.0000000000000001E-3</c:v>
              </c:pt>
              <c:pt idx="98">
                <c:v>4.0000000000000001E-3</c:v>
              </c:pt>
              <c:pt idx="99">
                <c:v>4.0000000000000001E-3</c:v>
              </c:pt>
            </c:numLit>
          </c:yVal>
          <c:smooth val="0"/>
          <c:extLst>
            <c:ext xmlns:c16="http://schemas.microsoft.com/office/drawing/2014/chart" uri="{C3380CC4-5D6E-409C-BE32-E72D297353CC}">
              <c16:uniqueId val="{00000006-D7E2-4071-A299-A091C093919E}"/>
            </c:ext>
          </c:extLst>
        </c:ser>
        <c:dLbls>
          <c:showLegendKey val="0"/>
          <c:showVal val="0"/>
          <c:showCatName val="0"/>
          <c:showSerName val="0"/>
          <c:showPercent val="0"/>
          <c:showBubbleSize val="0"/>
        </c:dLbls>
        <c:axId val="155733295"/>
        <c:axId val="155735695"/>
      </c:scatterChart>
      <c:valAx>
        <c:axId val="155733295"/>
        <c:scaling>
          <c:orientation val="minMax"/>
          <c:max val="105"/>
          <c:min val="0"/>
        </c:scaling>
        <c:delete val="0"/>
        <c:axPos val="b"/>
        <c:title>
          <c:tx>
            <c:rich>
              <a:bodyPr/>
              <a:lstStyle/>
              <a:p>
                <a:pPr>
                  <a:defRPr altLang="zh-CN" sz="1500" b="0"/>
                </a:pPr>
                <a:r>
                  <a:rPr lang="en-US"/>
                  <a:t>Time (year)</a:t>
                </a:r>
              </a:p>
            </c:rich>
          </c:tx>
          <c:overlay val="0"/>
        </c:title>
        <c:numFmt formatCode="General" sourceLinked="1"/>
        <c:majorTickMark val="none"/>
        <c:minorTickMark val="none"/>
        <c:tickLblPos val="nextTo"/>
        <c:spPr>
          <a:ln w="25400"/>
        </c:spPr>
        <c:txPr>
          <a:bodyPr/>
          <a:lstStyle/>
          <a:p>
            <a:pPr>
              <a:defRPr sz="1200"/>
            </a:pPr>
            <a:endParaRPr lang="zh-CN"/>
          </a:p>
        </c:txPr>
        <c:crossAx val="155735695"/>
        <c:crosses val="autoZero"/>
        <c:crossBetween val="midCat"/>
      </c:valAx>
      <c:valAx>
        <c:axId val="155735695"/>
        <c:scaling>
          <c:orientation val="minMax"/>
        </c:scaling>
        <c:delete val="0"/>
        <c:axPos val="l"/>
        <c:majorGridlines>
          <c:spPr>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majorGridlines>
        <c:title>
          <c:tx>
            <c:rich>
              <a:bodyPr/>
              <a:lstStyle/>
              <a:p>
                <a:pPr>
                  <a:defRPr altLang="zh-CN" sz="1500" b="0"/>
                </a:pPr>
                <a:r>
                  <a:rPr lang="en-US"/>
                  <a:t>Groundwater concentration (ug/l)</a:t>
                </a:r>
              </a:p>
            </c:rich>
          </c:tx>
          <c:overlay val="0"/>
        </c:title>
        <c:numFmt formatCode="0.00E+00" sourceLinked="1"/>
        <c:majorTickMark val="none"/>
        <c:minorTickMark val="none"/>
        <c:tickLblPos val="nextTo"/>
        <c:spPr>
          <a:ln w="25400"/>
        </c:spPr>
        <c:txPr>
          <a:bodyPr/>
          <a:lstStyle/>
          <a:p>
            <a:pPr>
              <a:defRPr sz="1200"/>
            </a:pPr>
            <a:endParaRPr lang="zh-CN"/>
          </a:p>
        </c:txPr>
        <c:crossAx val="155733295"/>
        <c:crosses val="autoZero"/>
        <c:crossBetween val="midCat"/>
      </c:valAx>
    </c:plotArea>
    <c:legend>
      <c:legendPos val="r"/>
      <c:layout>
        <c:manualLayout>
          <c:xMode val="edge"/>
          <c:yMode val="edge"/>
          <c:x val="0.60791651062460939"/>
          <c:y val="0.1243090638127112"/>
          <c:w val="0.33693522914293889"/>
          <c:h val="0.34508504713431221"/>
        </c:manualLayout>
      </c:layou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 Id="rId6" Type="http://schemas.openxmlformats.org/officeDocument/2006/relationships/chart" Target="../charts/chart1.xml"/><Relationship Id="rId5" Type="http://schemas.openxmlformats.org/officeDocument/2006/relationships/image" Target="../media/image6.png"/><Relationship Id="rId4"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4.sv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 Id="rId6" Type="http://schemas.openxmlformats.org/officeDocument/2006/relationships/chart" Target="../charts/chart3.xml"/><Relationship Id="rId5" Type="http://schemas.openxmlformats.org/officeDocument/2006/relationships/image" Target="../media/image6.png"/><Relationship Id="rId4"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4.sv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8" Type="http://schemas.openxmlformats.org/officeDocument/2006/relationships/image" Target="../media/image14.png"/><Relationship Id="rId13" Type="http://schemas.openxmlformats.org/officeDocument/2006/relationships/image" Target="../media/image17.png"/><Relationship Id="rId18" Type="http://schemas.openxmlformats.org/officeDocument/2006/relationships/image" Target="../media/image22.png"/><Relationship Id="rId3" Type="http://schemas.openxmlformats.org/officeDocument/2006/relationships/image" Target="../media/image9.png"/><Relationship Id="rId7" Type="http://schemas.openxmlformats.org/officeDocument/2006/relationships/image" Target="../media/image13.png"/><Relationship Id="rId12" Type="http://schemas.openxmlformats.org/officeDocument/2006/relationships/image" Target="../media/image16.png"/><Relationship Id="rId17" Type="http://schemas.openxmlformats.org/officeDocument/2006/relationships/image" Target="../media/image21.png"/><Relationship Id="rId2" Type="http://schemas.openxmlformats.org/officeDocument/2006/relationships/image" Target="../media/image8.png"/><Relationship Id="rId16" Type="http://schemas.openxmlformats.org/officeDocument/2006/relationships/image" Target="../media/image20.png"/><Relationship Id="rId1" Type="http://schemas.openxmlformats.org/officeDocument/2006/relationships/image" Target="../media/image7.png"/><Relationship Id="rId6" Type="http://schemas.openxmlformats.org/officeDocument/2006/relationships/image" Target="../media/image12.png"/><Relationship Id="rId11" Type="http://schemas.openxmlformats.org/officeDocument/2006/relationships/image" Target="../media/image5.png"/><Relationship Id="rId5" Type="http://schemas.openxmlformats.org/officeDocument/2006/relationships/image" Target="../media/image11.png"/><Relationship Id="rId15" Type="http://schemas.openxmlformats.org/officeDocument/2006/relationships/image" Target="../media/image19.png"/><Relationship Id="rId10" Type="http://schemas.openxmlformats.org/officeDocument/2006/relationships/image" Target="../media/image15.png"/><Relationship Id="rId4" Type="http://schemas.openxmlformats.org/officeDocument/2006/relationships/image" Target="../media/image10.png"/><Relationship Id="rId9" Type="http://schemas.openxmlformats.org/officeDocument/2006/relationships/image" Target="../media/image1.jpeg"/><Relationship Id="rId14" Type="http://schemas.openxmlformats.org/officeDocument/2006/relationships/image" Target="../media/image18.jpeg"/></Relationships>
</file>

<file path=xl/drawings/drawing1.xml><?xml version="1.0" encoding="utf-8"?>
<xdr:wsDr xmlns:xdr="http://schemas.openxmlformats.org/drawingml/2006/spreadsheetDrawing" xmlns:a="http://schemas.openxmlformats.org/drawingml/2006/main">
  <xdr:twoCellAnchor>
    <xdr:from>
      <xdr:col>14</xdr:col>
      <xdr:colOff>67624</xdr:colOff>
      <xdr:row>6</xdr:row>
      <xdr:rowOff>171393</xdr:rowOff>
    </xdr:from>
    <xdr:to>
      <xdr:col>23</xdr:col>
      <xdr:colOff>183613</xdr:colOff>
      <xdr:row>31</xdr:row>
      <xdr:rowOff>83099</xdr:rowOff>
    </xdr:to>
    <xdr:grpSp>
      <xdr:nvGrpSpPr>
        <xdr:cNvPr id="2" name="Group 1">
          <a:extLst>
            <a:ext uri="{FF2B5EF4-FFF2-40B4-BE49-F238E27FC236}">
              <a16:creationId xmlns:a16="http://schemas.microsoft.com/office/drawing/2014/main" id="{30C216D9-45D8-4CCA-B5A3-196A4C44E56E}"/>
            </a:ext>
          </a:extLst>
        </xdr:cNvPr>
        <xdr:cNvGrpSpPr/>
      </xdr:nvGrpSpPr>
      <xdr:grpSpPr>
        <a:xfrm>
          <a:off x="10138724" y="1555693"/>
          <a:ext cx="6288189" cy="4356706"/>
          <a:chOff x="9067799" y="1047750"/>
          <a:chExt cx="5950244" cy="5232365"/>
        </a:xfrm>
      </xdr:grpSpPr>
      <xdr:sp macro="" textlink="">
        <xdr:nvSpPr>
          <xdr:cNvPr id="3" name="Rectangle 2">
            <a:extLst>
              <a:ext uri="{FF2B5EF4-FFF2-40B4-BE49-F238E27FC236}">
                <a16:creationId xmlns:a16="http://schemas.microsoft.com/office/drawing/2014/main" id="{9F3DBC0D-28C8-5F28-F1F1-2966F660B98A}"/>
              </a:ext>
            </a:extLst>
          </xdr:cNvPr>
          <xdr:cNvSpPr/>
        </xdr:nvSpPr>
        <xdr:spPr>
          <a:xfrm>
            <a:off x="9074342" y="5101873"/>
            <a:ext cx="4331481" cy="1173482"/>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4" name="Rectangle 3">
            <a:extLst>
              <a:ext uri="{FF2B5EF4-FFF2-40B4-BE49-F238E27FC236}">
                <a16:creationId xmlns:a16="http://schemas.microsoft.com/office/drawing/2014/main" id="{A4A0A9C1-F887-B78B-EB40-233F9C378BEA}"/>
              </a:ext>
            </a:extLst>
          </xdr:cNvPr>
          <xdr:cNvSpPr/>
        </xdr:nvSpPr>
        <xdr:spPr>
          <a:xfrm>
            <a:off x="9067799" y="2626856"/>
            <a:ext cx="4331481" cy="2472636"/>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grpSp>
        <xdr:nvGrpSpPr>
          <xdr:cNvPr id="5" name="Group 4">
            <a:extLst>
              <a:ext uri="{FF2B5EF4-FFF2-40B4-BE49-F238E27FC236}">
                <a16:creationId xmlns:a16="http://schemas.microsoft.com/office/drawing/2014/main" id="{18F45836-F8D8-B419-5BB6-D11749A65024}"/>
              </a:ext>
            </a:extLst>
          </xdr:cNvPr>
          <xdr:cNvGrpSpPr/>
        </xdr:nvGrpSpPr>
        <xdr:grpSpPr>
          <a:xfrm>
            <a:off x="9067801" y="2622515"/>
            <a:ext cx="4338021" cy="3657600"/>
            <a:chOff x="569259" y="2667989"/>
            <a:chExt cx="3657600" cy="3657600"/>
          </a:xfrm>
        </xdr:grpSpPr>
        <xdr:sp macro="" textlink="">
          <xdr:nvSpPr>
            <xdr:cNvPr id="99" name="Rectangle 98">
              <a:extLst>
                <a:ext uri="{FF2B5EF4-FFF2-40B4-BE49-F238E27FC236}">
                  <a16:creationId xmlns:a16="http://schemas.microsoft.com/office/drawing/2014/main" id="{6F73135B-09DC-2E21-AA9A-D5B4B4243233}"/>
                </a:ext>
              </a:extLst>
            </xdr:cNvPr>
            <xdr:cNvSpPr/>
          </xdr:nvSpPr>
          <xdr:spPr>
            <a:xfrm>
              <a:off x="569259" y="2667989"/>
              <a:ext cx="3657600" cy="3657600"/>
            </a:xfrm>
            <a:prstGeom prst="rect">
              <a:avLst/>
            </a:prstGeom>
            <a:noFill/>
            <a:ln w="25400" cap="rnd">
              <a:noFill/>
              <a:round/>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100" name="Straight Connector 99">
              <a:extLst>
                <a:ext uri="{FF2B5EF4-FFF2-40B4-BE49-F238E27FC236}">
                  <a16:creationId xmlns:a16="http://schemas.microsoft.com/office/drawing/2014/main" id="{FB89D2F8-851A-DC63-7FA0-CCDB0F111E59}"/>
                </a:ext>
              </a:extLst>
            </xdr:cNvPr>
            <xdr:cNvCxnSpPr/>
          </xdr:nvCxnSpPr>
          <xdr:spPr>
            <a:xfrm>
              <a:off x="569259" y="5143500"/>
              <a:ext cx="365760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 name="Isosceles Triangle 5">
            <a:extLst>
              <a:ext uri="{FF2B5EF4-FFF2-40B4-BE49-F238E27FC236}">
                <a16:creationId xmlns:a16="http://schemas.microsoft.com/office/drawing/2014/main" id="{F8CEFF68-5201-FDC8-5B25-60AC42B61FB5}"/>
              </a:ext>
            </a:extLst>
          </xdr:cNvPr>
          <xdr:cNvSpPr/>
        </xdr:nvSpPr>
        <xdr:spPr>
          <a:xfrm rot="10800000">
            <a:off x="9926676" y="4983729"/>
            <a:ext cx="128588" cy="11429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7" name="Straight Connector 6">
            <a:extLst>
              <a:ext uri="{FF2B5EF4-FFF2-40B4-BE49-F238E27FC236}">
                <a16:creationId xmlns:a16="http://schemas.microsoft.com/office/drawing/2014/main" id="{C6821AB5-D634-1261-E951-2CF2CDDE3ED1}"/>
              </a:ext>
            </a:extLst>
          </xdr:cNvPr>
          <xdr:cNvCxnSpPr>
            <a:cxnSpLocks/>
          </xdr:cNvCxnSpPr>
        </xdr:nvCxnSpPr>
        <xdr:spPr>
          <a:xfrm flipV="1">
            <a:off x="10717250"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 name="Straight Connector 7">
            <a:extLst>
              <a:ext uri="{FF2B5EF4-FFF2-40B4-BE49-F238E27FC236}">
                <a16:creationId xmlns:a16="http://schemas.microsoft.com/office/drawing/2014/main" id="{7F758DFE-D70B-7EE3-0B6C-CF18CC5D1690}"/>
              </a:ext>
            </a:extLst>
          </xdr:cNvPr>
          <xdr:cNvCxnSpPr/>
        </xdr:nvCxnSpPr>
        <xdr:spPr>
          <a:xfrm flipV="1">
            <a:off x="12412701"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 name="Straight Arrow Connector 8">
            <a:extLst>
              <a:ext uri="{FF2B5EF4-FFF2-40B4-BE49-F238E27FC236}">
                <a16:creationId xmlns:a16="http://schemas.microsoft.com/office/drawing/2014/main" id="{ECEA218D-21B0-9A80-B11A-011C534D8AD7}"/>
              </a:ext>
            </a:extLst>
          </xdr:cNvPr>
          <xdr:cNvCxnSpPr>
            <a:cxnSpLocks/>
          </xdr:cNvCxnSpPr>
        </xdr:nvCxnSpPr>
        <xdr:spPr>
          <a:xfrm>
            <a:off x="9353805" y="6086213"/>
            <a:ext cx="977733" cy="858"/>
          </a:xfrm>
          <a:prstGeom prst="straightConnector1">
            <a:avLst/>
          </a:prstGeom>
          <a:ln w="28575">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0" name="TextBox 12">
            <a:extLst>
              <a:ext uri="{FF2B5EF4-FFF2-40B4-BE49-F238E27FC236}">
                <a16:creationId xmlns:a16="http://schemas.microsoft.com/office/drawing/2014/main" id="{D027CADA-67F3-22A9-B12B-7F8AE2E25AE4}"/>
              </a:ext>
            </a:extLst>
          </xdr:cNvPr>
          <xdr:cNvSpPr txBox="1"/>
        </xdr:nvSpPr>
        <xdr:spPr>
          <a:xfrm>
            <a:off x="9216629" y="5738999"/>
            <a:ext cx="1715815" cy="33301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ltLang="zh-CN" sz="1200" b="0">
                <a:latin typeface="Arial" panose="020B0604020202020204" pitchFamily="34" charset="0"/>
                <a:cs typeface="Arial" panose="020B0604020202020204" pitchFamily="34" charset="0"/>
              </a:rPr>
              <a:t>groundwater</a:t>
            </a:r>
            <a:r>
              <a:rPr lang="zh-CN" altLang="en-US" sz="1200" b="0">
                <a:latin typeface="Arial" panose="020B0604020202020204" pitchFamily="34" charset="0"/>
                <a:cs typeface="Arial" panose="020B0604020202020204" pitchFamily="34" charset="0"/>
              </a:rPr>
              <a:t> </a:t>
            </a:r>
            <a:r>
              <a:rPr lang="en-US" sz="1200" b="0">
                <a:latin typeface="Arial" panose="020B0604020202020204" pitchFamily="34" charset="0"/>
                <a:cs typeface="Arial" panose="020B0604020202020204" pitchFamily="34" charset="0"/>
              </a:rPr>
              <a:t>flow</a:t>
            </a:r>
          </a:p>
        </xdr:txBody>
      </xdr:sp>
      <xdr:sp macro="" textlink="">
        <xdr:nvSpPr>
          <xdr:cNvPr id="11" name="TextBox 13">
            <a:extLst>
              <a:ext uri="{FF2B5EF4-FFF2-40B4-BE49-F238E27FC236}">
                <a16:creationId xmlns:a16="http://schemas.microsoft.com/office/drawing/2014/main" id="{89EFBA2B-C235-3186-8A0E-3ACDEB0C706D}"/>
              </a:ext>
            </a:extLst>
          </xdr:cNvPr>
          <xdr:cNvSpPr txBox="1"/>
        </xdr:nvSpPr>
        <xdr:spPr>
          <a:xfrm>
            <a:off x="9176018" y="3544959"/>
            <a:ext cx="1025550" cy="63227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0">
                <a:latin typeface="Arial" panose="020B0604020202020204" pitchFamily="34" charset="0"/>
                <a:cs typeface="Arial" panose="020B0604020202020204" pitchFamily="34" charset="0"/>
              </a:rPr>
              <a:t>vadose</a:t>
            </a:r>
          </a:p>
          <a:p>
            <a:pPr algn="ctr"/>
            <a:r>
              <a:rPr lang="en-US" sz="1200" b="0">
                <a:latin typeface="Arial" panose="020B0604020202020204" pitchFamily="34" charset="0"/>
                <a:cs typeface="Arial" panose="020B0604020202020204" pitchFamily="34" charset="0"/>
              </a:rPr>
              <a:t>zone attenuation</a:t>
            </a:r>
          </a:p>
        </xdr:txBody>
      </xdr:sp>
      <xdr:sp macro="" textlink="">
        <xdr:nvSpPr>
          <xdr:cNvPr id="12" name="TextBox 14">
            <a:extLst>
              <a:ext uri="{FF2B5EF4-FFF2-40B4-BE49-F238E27FC236}">
                <a16:creationId xmlns:a16="http://schemas.microsoft.com/office/drawing/2014/main" id="{4B811027-A5C0-3219-E36F-E95875B70ABC}"/>
              </a:ext>
            </a:extLst>
          </xdr:cNvPr>
          <xdr:cNvSpPr txBox="1"/>
        </xdr:nvSpPr>
        <xdr:spPr>
          <a:xfrm>
            <a:off x="9291092" y="5261843"/>
            <a:ext cx="1467742" cy="33301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Arial" panose="020B0604020202020204" pitchFamily="34" charset="0"/>
                <a:cs typeface="Arial" panose="020B0604020202020204" pitchFamily="34" charset="0"/>
              </a:rPr>
              <a:t>saturated zone</a:t>
            </a:r>
          </a:p>
        </xdr:txBody>
      </xdr:sp>
      <xdr:cxnSp macro="">
        <xdr:nvCxnSpPr>
          <xdr:cNvPr id="13" name="Straight Connector 12">
            <a:extLst>
              <a:ext uri="{FF2B5EF4-FFF2-40B4-BE49-F238E27FC236}">
                <a16:creationId xmlns:a16="http://schemas.microsoft.com/office/drawing/2014/main" id="{F79A9837-3BAE-C092-9EB6-D5E806ED6F53}"/>
              </a:ext>
            </a:extLst>
          </xdr:cNvPr>
          <xdr:cNvCxnSpPr>
            <a:cxnSpLocks/>
          </xdr:cNvCxnSpPr>
        </xdr:nvCxnSpPr>
        <xdr:spPr>
          <a:xfrm flipV="1">
            <a:off x="9078557" y="2622515"/>
            <a:ext cx="4323674" cy="4338"/>
          </a:xfrm>
          <a:prstGeom prst="line">
            <a:avLst/>
          </a:prstGeom>
          <a:ln w="25400">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4" name="Freeform: Shape 13">
            <a:extLst>
              <a:ext uri="{FF2B5EF4-FFF2-40B4-BE49-F238E27FC236}">
                <a16:creationId xmlns:a16="http://schemas.microsoft.com/office/drawing/2014/main" id="{52DC95BF-2D65-79D9-0CF4-072E2A79BEA7}"/>
              </a:ext>
            </a:extLst>
          </xdr:cNvPr>
          <xdr:cNvSpPr/>
        </xdr:nvSpPr>
        <xdr:spPr>
          <a:xfrm>
            <a:off x="10722122" y="5102818"/>
            <a:ext cx="2671292" cy="678520"/>
          </a:xfrm>
          <a:custGeom>
            <a:avLst/>
            <a:gdLst>
              <a:gd name="connsiteX0" fmla="*/ 0 w 2705100"/>
              <a:gd name="connsiteY0" fmla="*/ 7487 h 611554"/>
              <a:gd name="connsiteX1" fmla="*/ 40481 w 2705100"/>
              <a:gd name="connsiteY1" fmla="*/ 47968 h 611554"/>
              <a:gd name="connsiteX2" fmla="*/ 128587 w 2705100"/>
              <a:gd name="connsiteY2" fmla="*/ 112262 h 611554"/>
              <a:gd name="connsiteX3" fmla="*/ 150019 w 2705100"/>
              <a:gd name="connsiteY3" fmla="*/ 136074 h 611554"/>
              <a:gd name="connsiteX4" fmla="*/ 240506 w 2705100"/>
              <a:gd name="connsiteY4" fmla="*/ 143218 h 611554"/>
              <a:gd name="connsiteX5" fmla="*/ 316706 w 2705100"/>
              <a:gd name="connsiteY5" fmla="*/ 224180 h 611554"/>
              <a:gd name="connsiteX6" fmla="*/ 492919 w 2705100"/>
              <a:gd name="connsiteY6" fmla="*/ 274187 h 611554"/>
              <a:gd name="connsiteX7" fmla="*/ 571500 w 2705100"/>
              <a:gd name="connsiteY7" fmla="*/ 295618 h 611554"/>
              <a:gd name="connsiteX8" fmla="*/ 707231 w 2705100"/>
              <a:gd name="connsiteY8" fmla="*/ 331337 h 611554"/>
              <a:gd name="connsiteX9" fmla="*/ 792956 w 2705100"/>
              <a:gd name="connsiteY9" fmla="*/ 355149 h 611554"/>
              <a:gd name="connsiteX10" fmla="*/ 928687 w 2705100"/>
              <a:gd name="connsiteY10" fmla="*/ 381343 h 611554"/>
              <a:gd name="connsiteX11" fmla="*/ 1012031 w 2705100"/>
              <a:gd name="connsiteY11" fmla="*/ 421824 h 611554"/>
              <a:gd name="connsiteX12" fmla="*/ 1123950 w 2705100"/>
              <a:gd name="connsiteY12" fmla="*/ 445637 h 611554"/>
              <a:gd name="connsiteX13" fmla="*/ 1209675 w 2705100"/>
              <a:gd name="connsiteY13" fmla="*/ 455162 h 611554"/>
              <a:gd name="connsiteX14" fmla="*/ 1281112 w 2705100"/>
              <a:gd name="connsiteY14" fmla="*/ 471830 h 611554"/>
              <a:gd name="connsiteX15" fmla="*/ 1416844 w 2705100"/>
              <a:gd name="connsiteY15" fmla="*/ 490880 h 611554"/>
              <a:gd name="connsiteX16" fmla="*/ 1559719 w 2705100"/>
              <a:gd name="connsiteY16" fmla="*/ 517074 h 611554"/>
              <a:gd name="connsiteX17" fmla="*/ 1657350 w 2705100"/>
              <a:gd name="connsiteY17" fmla="*/ 517074 h 611554"/>
              <a:gd name="connsiteX18" fmla="*/ 1743075 w 2705100"/>
              <a:gd name="connsiteY18" fmla="*/ 528980 h 611554"/>
              <a:gd name="connsiteX19" fmla="*/ 1871662 w 2705100"/>
              <a:gd name="connsiteY19" fmla="*/ 552793 h 611554"/>
              <a:gd name="connsiteX20" fmla="*/ 1990725 w 2705100"/>
              <a:gd name="connsiteY20" fmla="*/ 564699 h 611554"/>
              <a:gd name="connsiteX21" fmla="*/ 2135981 w 2705100"/>
              <a:gd name="connsiteY21" fmla="*/ 578987 h 611554"/>
              <a:gd name="connsiteX22" fmla="*/ 2250281 w 2705100"/>
              <a:gd name="connsiteY22" fmla="*/ 564699 h 611554"/>
              <a:gd name="connsiteX23" fmla="*/ 2366962 w 2705100"/>
              <a:gd name="connsiteY23" fmla="*/ 588512 h 611554"/>
              <a:gd name="connsiteX24" fmla="*/ 2450306 w 2705100"/>
              <a:gd name="connsiteY24" fmla="*/ 595655 h 611554"/>
              <a:gd name="connsiteX25" fmla="*/ 2543175 w 2705100"/>
              <a:gd name="connsiteY25" fmla="*/ 600418 h 611554"/>
              <a:gd name="connsiteX26" fmla="*/ 2588419 w 2705100"/>
              <a:gd name="connsiteY26" fmla="*/ 598037 h 611554"/>
              <a:gd name="connsiteX27" fmla="*/ 2657475 w 2705100"/>
              <a:gd name="connsiteY27" fmla="*/ 607562 h 611554"/>
              <a:gd name="connsiteX28" fmla="*/ 2700337 w 2705100"/>
              <a:gd name="connsiteY28" fmla="*/ 609943 h 611554"/>
              <a:gd name="connsiteX29" fmla="*/ 2700337 w 2705100"/>
              <a:gd name="connsiteY29" fmla="*/ 583749 h 611554"/>
              <a:gd name="connsiteX30" fmla="*/ 2700337 w 2705100"/>
              <a:gd name="connsiteY30" fmla="*/ 533743 h 611554"/>
              <a:gd name="connsiteX31" fmla="*/ 2705100 w 2705100"/>
              <a:gd name="connsiteY31" fmla="*/ 483737 h 611554"/>
              <a:gd name="connsiteX32" fmla="*/ 2700337 w 2705100"/>
              <a:gd name="connsiteY32" fmla="*/ 428968 h 611554"/>
              <a:gd name="connsiteX33" fmla="*/ 2700337 w 2705100"/>
              <a:gd name="connsiteY33" fmla="*/ 388487 h 611554"/>
              <a:gd name="connsiteX34" fmla="*/ 2697956 w 2705100"/>
              <a:gd name="connsiteY34" fmla="*/ 324193 h 611554"/>
              <a:gd name="connsiteX35" fmla="*/ 2695575 w 2705100"/>
              <a:gd name="connsiteY35" fmla="*/ 267043 h 611554"/>
              <a:gd name="connsiteX36" fmla="*/ 2695575 w 2705100"/>
              <a:gd name="connsiteY36" fmla="*/ 164649 h 611554"/>
              <a:gd name="connsiteX37" fmla="*/ 2695575 w 2705100"/>
              <a:gd name="connsiteY37" fmla="*/ 155124 h 611554"/>
              <a:gd name="connsiteX38" fmla="*/ 2693194 w 2705100"/>
              <a:gd name="connsiteY38" fmla="*/ 109880 h 611554"/>
              <a:gd name="connsiteX39" fmla="*/ 2690812 w 2705100"/>
              <a:gd name="connsiteY39" fmla="*/ 78924 h 611554"/>
              <a:gd name="connsiteX40" fmla="*/ 2695575 w 2705100"/>
              <a:gd name="connsiteY40" fmla="*/ 40824 h 611554"/>
              <a:gd name="connsiteX41" fmla="*/ 2693194 w 2705100"/>
              <a:gd name="connsiteY41" fmla="*/ 5105 h 611554"/>
              <a:gd name="connsiteX42" fmla="*/ 2671762 w 2705100"/>
              <a:gd name="connsiteY42" fmla="*/ 2724 h 611554"/>
              <a:gd name="connsiteX43" fmla="*/ 2659856 w 2705100"/>
              <a:gd name="connsiteY43" fmla="*/ 7487 h 611554"/>
              <a:gd name="connsiteX44" fmla="*/ 2640806 w 2705100"/>
              <a:gd name="connsiteY44" fmla="*/ 7487 h 611554"/>
              <a:gd name="connsiteX45" fmla="*/ 2619375 w 2705100"/>
              <a:gd name="connsiteY45" fmla="*/ 5105 h 611554"/>
              <a:gd name="connsiteX46" fmla="*/ 2602706 w 2705100"/>
              <a:gd name="connsiteY46" fmla="*/ 2724 h 611554"/>
              <a:gd name="connsiteX47" fmla="*/ 2555081 w 2705100"/>
              <a:gd name="connsiteY47" fmla="*/ 343 h 611554"/>
              <a:gd name="connsiteX48" fmla="*/ 2490787 w 2705100"/>
              <a:gd name="connsiteY48" fmla="*/ 5105 h 611554"/>
              <a:gd name="connsiteX49" fmla="*/ 2433637 w 2705100"/>
              <a:gd name="connsiteY49" fmla="*/ 5105 h 611554"/>
              <a:gd name="connsiteX50" fmla="*/ 2336006 w 2705100"/>
              <a:gd name="connsiteY50" fmla="*/ 12249 h 611554"/>
              <a:gd name="connsiteX51" fmla="*/ 2262187 w 2705100"/>
              <a:gd name="connsiteY51" fmla="*/ 24155 h 611554"/>
              <a:gd name="connsiteX52" fmla="*/ 2195512 w 2705100"/>
              <a:gd name="connsiteY52" fmla="*/ 5105 h 611554"/>
              <a:gd name="connsiteX53" fmla="*/ 2171700 w 2705100"/>
              <a:gd name="connsiteY53" fmla="*/ 343 h 611554"/>
              <a:gd name="connsiteX54" fmla="*/ 2100262 w 2705100"/>
              <a:gd name="connsiteY54" fmla="*/ 12249 h 611554"/>
              <a:gd name="connsiteX55" fmla="*/ 2007394 w 2705100"/>
              <a:gd name="connsiteY55" fmla="*/ 17012 h 611554"/>
              <a:gd name="connsiteX56" fmla="*/ 1971675 w 2705100"/>
              <a:gd name="connsiteY56" fmla="*/ 9868 h 611554"/>
              <a:gd name="connsiteX57" fmla="*/ 1900237 w 2705100"/>
              <a:gd name="connsiteY57" fmla="*/ 9868 h 611554"/>
              <a:gd name="connsiteX58" fmla="*/ 1838325 w 2705100"/>
              <a:gd name="connsiteY58" fmla="*/ 9868 h 611554"/>
              <a:gd name="connsiteX59" fmla="*/ 1776412 w 2705100"/>
              <a:gd name="connsiteY59" fmla="*/ 9868 h 611554"/>
              <a:gd name="connsiteX60" fmla="*/ 1712119 w 2705100"/>
              <a:gd name="connsiteY60" fmla="*/ 9868 h 611554"/>
              <a:gd name="connsiteX61" fmla="*/ 1695450 w 2705100"/>
              <a:gd name="connsiteY61" fmla="*/ 5105 h 611554"/>
              <a:gd name="connsiteX62" fmla="*/ 0 w 2705100"/>
              <a:gd name="connsiteY62" fmla="*/ 7487 h 61155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Lst>
            <a:rect l="l" t="t" r="r" b="b"/>
            <a:pathLst>
              <a:path w="2705100" h="611554">
                <a:moveTo>
                  <a:pt x="0" y="7487"/>
                </a:moveTo>
                <a:cubicBezTo>
                  <a:pt x="9525" y="18996"/>
                  <a:pt x="19050" y="30505"/>
                  <a:pt x="40481" y="47968"/>
                </a:cubicBezTo>
                <a:cubicBezTo>
                  <a:pt x="61912" y="65431"/>
                  <a:pt x="110331" y="97578"/>
                  <a:pt x="128587" y="112262"/>
                </a:cubicBezTo>
                <a:cubicBezTo>
                  <a:pt x="146843" y="126946"/>
                  <a:pt x="131366" y="130915"/>
                  <a:pt x="150019" y="136074"/>
                </a:cubicBezTo>
                <a:cubicBezTo>
                  <a:pt x="168672" y="141233"/>
                  <a:pt x="212725" y="128534"/>
                  <a:pt x="240506" y="143218"/>
                </a:cubicBezTo>
                <a:cubicBezTo>
                  <a:pt x="268287" y="157902"/>
                  <a:pt x="274637" y="202352"/>
                  <a:pt x="316706" y="224180"/>
                </a:cubicBezTo>
                <a:cubicBezTo>
                  <a:pt x="358775" y="246008"/>
                  <a:pt x="450453" y="262281"/>
                  <a:pt x="492919" y="274187"/>
                </a:cubicBezTo>
                <a:lnTo>
                  <a:pt x="571500" y="295618"/>
                </a:lnTo>
                <a:lnTo>
                  <a:pt x="707231" y="331337"/>
                </a:lnTo>
                <a:cubicBezTo>
                  <a:pt x="744140" y="341259"/>
                  <a:pt x="756047" y="346815"/>
                  <a:pt x="792956" y="355149"/>
                </a:cubicBezTo>
                <a:cubicBezTo>
                  <a:pt x="829865" y="363483"/>
                  <a:pt x="892175" y="370231"/>
                  <a:pt x="928687" y="381343"/>
                </a:cubicBezTo>
                <a:cubicBezTo>
                  <a:pt x="965199" y="392455"/>
                  <a:pt x="979487" y="411108"/>
                  <a:pt x="1012031" y="421824"/>
                </a:cubicBezTo>
                <a:cubicBezTo>
                  <a:pt x="1044575" y="432540"/>
                  <a:pt x="1091009" y="440081"/>
                  <a:pt x="1123950" y="445637"/>
                </a:cubicBezTo>
                <a:cubicBezTo>
                  <a:pt x="1156891" y="451193"/>
                  <a:pt x="1183481" y="450796"/>
                  <a:pt x="1209675" y="455162"/>
                </a:cubicBezTo>
                <a:cubicBezTo>
                  <a:pt x="1235869" y="459528"/>
                  <a:pt x="1246584" y="465877"/>
                  <a:pt x="1281112" y="471830"/>
                </a:cubicBezTo>
                <a:cubicBezTo>
                  <a:pt x="1315640" y="477783"/>
                  <a:pt x="1370410" y="483339"/>
                  <a:pt x="1416844" y="490880"/>
                </a:cubicBezTo>
                <a:cubicBezTo>
                  <a:pt x="1463279" y="498421"/>
                  <a:pt x="1519635" y="512708"/>
                  <a:pt x="1559719" y="517074"/>
                </a:cubicBezTo>
                <a:cubicBezTo>
                  <a:pt x="1599803" y="521440"/>
                  <a:pt x="1626791" y="515090"/>
                  <a:pt x="1657350" y="517074"/>
                </a:cubicBezTo>
                <a:cubicBezTo>
                  <a:pt x="1687909" y="519058"/>
                  <a:pt x="1707356" y="523027"/>
                  <a:pt x="1743075" y="528980"/>
                </a:cubicBezTo>
                <a:cubicBezTo>
                  <a:pt x="1778794" y="534933"/>
                  <a:pt x="1830387" y="546840"/>
                  <a:pt x="1871662" y="552793"/>
                </a:cubicBezTo>
                <a:cubicBezTo>
                  <a:pt x="1912937" y="558746"/>
                  <a:pt x="1990725" y="564699"/>
                  <a:pt x="1990725" y="564699"/>
                </a:cubicBezTo>
                <a:cubicBezTo>
                  <a:pt x="2034778" y="569065"/>
                  <a:pt x="2092722" y="578987"/>
                  <a:pt x="2135981" y="578987"/>
                </a:cubicBezTo>
                <a:cubicBezTo>
                  <a:pt x="2179240" y="578987"/>
                  <a:pt x="2211784" y="563112"/>
                  <a:pt x="2250281" y="564699"/>
                </a:cubicBezTo>
                <a:cubicBezTo>
                  <a:pt x="2288778" y="566286"/>
                  <a:pt x="2333625" y="583353"/>
                  <a:pt x="2366962" y="588512"/>
                </a:cubicBezTo>
                <a:cubicBezTo>
                  <a:pt x="2400299" y="593671"/>
                  <a:pt x="2420937" y="593671"/>
                  <a:pt x="2450306" y="595655"/>
                </a:cubicBezTo>
                <a:cubicBezTo>
                  <a:pt x="2479675" y="597639"/>
                  <a:pt x="2520156" y="600021"/>
                  <a:pt x="2543175" y="600418"/>
                </a:cubicBezTo>
                <a:cubicBezTo>
                  <a:pt x="2566194" y="600815"/>
                  <a:pt x="2569369" y="596846"/>
                  <a:pt x="2588419" y="598037"/>
                </a:cubicBezTo>
                <a:cubicBezTo>
                  <a:pt x="2607469" y="599228"/>
                  <a:pt x="2638822" y="605578"/>
                  <a:pt x="2657475" y="607562"/>
                </a:cubicBezTo>
                <a:cubicBezTo>
                  <a:pt x="2676128" y="609546"/>
                  <a:pt x="2693194" y="613912"/>
                  <a:pt x="2700337" y="609943"/>
                </a:cubicBezTo>
                <a:cubicBezTo>
                  <a:pt x="2707480" y="605974"/>
                  <a:pt x="2700337" y="583749"/>
                  <a:pt x="2700337" y="583749"/>
                </a:cubicBezTo>
                <a:cubicBezTo>
                  <a:pt x="2700337" y="571049"/>
                  <a:pt x="2699543" y="550412"/>
                  <a:pt x="2700337" y="533743"/>
                </a:cubicBezTo>
                <a:cubicBezTo>
                  <a:pt x="2701131" y="517074"/>
                  <a:pt x="2705100" y="501199"/>
                  <a:pt x="2705100" y="483737"/>
                </a:cubicBezTo>
                <a:cubicBezTo>
                  <a:pt x="2705100" y="466275"/>
                  <a:pt x="2701131" y="444843"/>
                  <a:pt x="2700337" y="428968"/>
                </a:cubicBezTo>
                <a:cubicBezTo>
                  <a:pt x="2699543" y="413093"/>
                  <a:pt x="2700734" y="405949"/>
                  <a:pt x="2700337" y="388487"/>
                </a:cubicBezTo>
                <a:cubicBezTo>
                  <a:pt x="2699940" y="371025"/>
                  <a:pt x="2698750" y="344434"/>
                  <a:pt x="2697956" y="324193"/>
                </a:cubicBezTo>
                <a:cubicBezTo>
                  <a:pt x="2697162" y="303952"/>
                  <a:pt x="2695972" y="293634"/>
                  <a:pt x="2695575" y="267043"/>
                </a:cubicBezTo>
                <a:cubicBezTo>
                  <a:pt x="2695178" y="240452"/>
                  <a:pt x="2695575" y="164649"/>
                  <a:pt x="2695575" y="164649"/>
                </a:cubicBezTo>
                <a:lnTo>
                  <a:pt x="2695575" y="155124"/>
                </a:lnTo>
                <a:cubicBezTo>
                  <a:pt x="2695178" y="145996"/>
                  <a:pt x="2693988" y="122580"/>
                  <a:pt x="2693194" y="109880"/>
                </a:cubicBezTo>
                <a:cubicBezTo>
                  <a:pt x="2692400" y="97180"/>
                  <a:pt x="2690415" y="90433"/>
                  <a:pt x="2690812" y="78924"/>
                </a:cubicBezTo>
                <a:cubicBezTo>
                  <a:pt x="2691209" y="67415"/>
                  <a:pt x="2695178" y="53127"/>
                  <a:pt x="2695575" y="40824"/>
                </a:cubicBezTo>
                <a:cubicBezTo>
                  <a:pt x="2695972" y="28521"/>
                  <a:pt x="2697163" y="11455"/>
                  <a:pt x="2693194" y="5105"/>
                </a:cubicBezTo>
                <a:cubicBezTo>
                  <a:pt x="2689225" y="-1245"/>
                  <a:pt x="2677318" y="2327"/>
                  <a:pt x="2671762" y="2724"/>
                </a:cubicBezTo>
                <a:cubicBezTo>
                  <a:pt x="2666206" y="3121"/>
                  <a:pt x="2665015" y="6693"/>
                  <a:pt x="2659856" y="7487"/>
                </a:cubicBezTo>
                <a:cubicBezTo>
                  <a:pt x="2654697" y="8281"/>
                  <a:pt x="2640806" y="7487"/>
                  <a:pt x="2640806" y="7487"/>
                </a:cubicBezTo>
                <a:cubicBezTo>
                  <a:pt x="2634059" y="7090"/>
                  <a:pt x="2625725" y="5899"/>
                  <a:pt x="2619375" y="5105"/>
                </a:cubicBezTo>
                <a:cubicBezTo>
                  <a:pt x="2613025" y="4311"/>
                  <a:pt x="2613422" y="3518"/>
                  <a:pt x="2602706" y="2724"/>
                </a:cubicBezTo>
                <a:cubicBezTo>
                  <a:pt x="2591990" y="1930"/>
                  <a:pt x="2573734" y="-54"/>
                  <a:pt x="2555081" y="343"/>
                </a:cubicBezTo>
                <a:cubicBezTo>
                  <a:pt x="2536428" y="740"/>
                  <a:pt x="2511028" y="4311"/>
                  <a:pt x="2490787" y="5105"/>
                </a:cubicBezTo>
                <a:cubicBezTo>
                  <a:pt x="2470546" y="5899"/>
                  <a:pt x="2459434" y="3914"/>
                  <a:pt x="2433637" y="5105"/>
                </a:cubicBezTo>
                <a:cubicBezTo>
                  <a:pt x="2407840" y="6296"/>
                  <a:pt x="2364581" y="9074"/>
                  <a:pt x="2336006" y="12249"/>
                </a:cubicBezTo>
                <a:cubicBezTo>
                  <a:pt x="2307431" y="15424"/>
                  <a:pt x="2285603" y="25346"/>
                  <a:pt x="2262187" y="24155"/>
                </a:cubicBezTo>
                <a:cubicBezTo>
                  <a:pt x="2238771" y="22964"/>
                  <a:pt x="2210593" y="9074"/>
                  <a:pt x="2195512" y="5105"/>
                </a:cubicBezTo>
                <a:cubicBezTo>
                  <a:pt x="2180431" y="1136"/>
                  <a:pt x="2187575" y="-848"/>
                  <a:pt x="2171700" y="343"/>
                </a:cubicBezTo>
                <a:cubicBezTo>
                  <a:pt x="2155825" y="1534"/>
                  <a:pt x="2127646" y="9471"/>
                  <a:pt x="2100262" y="12249"/>
                </a:cubicBezTo>
                <a:cubicBezTo>
                  <a:pt x="2072878" y="15027"/>
                  <a:pt x="2028825" y="17409"/>
                  <a:pt x="2007394" y="17012"/>
                </a:cubicBezTo>
                <a:cubicBezTo>
                  <a:pt x="1985963" y="16615"/>
                  <a:pt x="1989534" y="11059"/>
                  <a:pt x="1971675" y="9868"/>
                </a:cubicBezTo>
                <a:cubicBezTo>
                  <a:pt x="1953816" y="8677"/>
                  <a:pt x="1900237" y="9868"/>
                  <a:pt x="1900237" y="9868"/>
                </a:cubicBezTo>
                <a:lnTo>
                  <a:pt x="1838325" y="9868"/>
                </a:lnTo>
                <a:lnTo>
                  <a:pt x="1776412" y="9868"/>
                </a:lnTo>
                <a:cubicBezTo>
                  <a:pt x="1755378" y="9868"/>
                  <a:pt x="1725613" y="10662"/>
                  <a:pt x="1712119" y="9868"/>
                </a:cubicBezTo>
                <a:cubicBezTo>
                  <a:pt x="1698625" y="9074"/>
                  <a:pt x="1695450" y="5105"/>
                  <a:pt x="1695450" y="5105"/>
                </a:cubicBezTo>
                <a:lnTo>
                  <a:pt x="0" y="7487"/>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15" name="TextBox 17">
            <a:extLst>
              <a:ext uri="{FF2B5EF4-FFF2-40B4-BE49-F238E27FC236}">
                <a16:creationId xmlns:a16="http://schemas.microsoft.com/office/drawing/2014/main" id="{3CBBD8CB-42A0-F295-5326-BE126DEA5A8C}"/>
              </a:ext>
            </a:extLst>
          </xdr:cNvPr>
          <xdr:cNvSpPr txBox="1"/>
        </xdr:nvSpPr>
        <xdr:spPr>
          <a:xfrm>
            <a:off x="11049828" y="5138064"/>
            <a:ext cx="1527120"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200" b="0">
                <a:latin typeface="Arial" panose="020B0604020202020204" pitchFamily="34" charset="0"/>
                <a:cs typeface="Arial" panose="020B0604020202020204" pitchFamily="34" charset="0"/>
              </a:rPr>
              <a:t>groundwater dilution</a:t>
            </a:r>
          </a:p>
        </xdr:txBody>
      </xdr:sp>
      <xdr:cxnSp macro="">
        <xdr:nvCxnSpPr>
          <xdr:cNvPr id="16" name="Straight Connector 15">
            <a:extLst>
              <a:ext uri="{FF2B5EF4-FFF2-40B4-BE49-F238E27FC236}">
                <a16:creationId xmlns:a16="http://schemas.microsoft.com/office/drawing/2014/main" id="{CF6C9D67-8084-97FD-1703-977165107C80}"/>
              </a:ext>
            </a:extLst>
          </xdr:cNvPr>
          <xdr:cNvCxnSpPr>
            <a:cxnSpLocks/>
          </xdr:cNvCxnSpPr>
        </xdr:nvCxnSpPr>
        <xdr:spPr>
          <a:xfrm>
            <a:off x="10710899" y="2622515"/>
            <a:ext cx="1709928" cy="0"/>
          </a:xfrm>
          <a:prstGeom prst="line">
            <a:avLst/>
          </a:prstGeom>
          <a:ln w="25400">
            <a:solidFill>
              <a:schemeClr val="accent2">
                <a:lumMod val="50000"/>
                <a:alpha val="46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7" name="Rectangle 16">
            <a:extLst>
              <a:ext uri="{FF2B5EF4-FFF2-40B4-BE49-F238E27FC236}">
                <a16:creationId xmlns:a16="http://schemas.microsoft.com/office/drawing/2014/main" id="{079D4023-A3AF-2D93-DC32-F39F4EAA723F}"/>
              </a:ext>
            </a:extLst>
          </xdr:cNvPr>
          <xdr:cNvSpPr/>
        </xdr:nvSpPr>
        <xdr:spPr>
          <a:xfrm>
            <a:off x="10727437" y="2627887"/>
            <a:ext cx="1677455" cy="2458695"/>
          </a:xfrm>
          <a:prstGeom prst="rect">
            <a:avLst/>
          </a:prstGeom>
          <a:gradFill>
            <a:gsLst>
              <a:gs pos="100000">
                <a:schemeClr val="accent2">
                  <a:alpha val="9000"/>
                  <a:lumMod val="72000"/>
                </a:schemeClr>
              </a:gs>
              <a:gs pos="2000">
                <a:srgbClr val="79370B"/>
              </a:gs>
              <a:gs pos="23000">
                <a:schemeClr val="accent2">
                  <a:alpha val="17000"/>
                  <a:lumMod val="41000"/>
                </a:schemeClr>
              </a:gs>
              <a:gs pos="0">
                <a:schemeClr val="accent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18" name="Freeform: Shape 17">
            <a:extLst>
              <a:ext uri="{FF2B5EF4-FFF2-40B4-BE49-F238E27FC236}">
                <a16:creationId xmlns:a16="http://schemas.microsoft.com/office/drawing/2014/main" id="{2DD8C402-1F33-F2DF-920C-B222BA748D44}"/>
              </a:ext>
            </a:extLst>
          </xdr:cNvPr>
          <xdr:cNvSpPr/>
        </xdr:nvSpPr>
        <xdr:spPr>
          <a:xfrm>
            <a:off x="9103312" y="1047750"/>
            <a:ext cx="2522268"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chemeClr val="bg1">
              <a:lumMod val="9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grpSp>
        <xdr:nvGrpSpPr>
          <xdr:cNvPr id="19" name="Group 18">
            <a:extLst>
              <a:ext uri="{FF2B5EF4-FFF2-40B4-BE49-F238E27FC236}">
                <a16:creationId xmlns:a16="http://schemas.microsoft.com/office/drawing/2014/main" id="{D88DE939-2783-C069-B2B5-E10ACCF0F7EB}"/>
              </a:ext>
            </a:extLst>
          </xdr:cNvPr>
          <xdr:cNvGrpSpPr/>
        </xdr:nvGrpSpPr>
        <xdr:grpSpPr>
          <a:xfrm>
            <a:off x="9152718" y="1761467"/>
            <a:ext cx="2801424" cy="719542"/>
            <a:chOff x="1033402" y="1825990"/>
            <a:chExt cx="2503784" cy="719542"/>
          </a:xfrm>
        </xdr:grpSpPr>
        <xdr:grpSp>
          <xdr:nvGrpSpPr>
            <xdr:cNvPr id="46" name="Group 45">
              <a:extLst>
                <a:ext uri="{FF2B5EF4-FFF2-40B4-BE49-F238E27FC236}">
                  <a16:creationId xmlns:a16="http://schemas.microsoft.com/office/drawing/2014/main" id="{FAB8FEB1-7D6F-E342-4ED0-961EE2208EB2}"/>
                </a:ext>
              </a:extLst>
            </xdr:cNvPr>
            <xdr:cNvGrpSpPr/>
          </xdr:nvGrpSpPr>
          <xdr:grpSpPr>
            <a:xfrm flipH="1">
              <a:off x="1033402" y="1825990"/>
              <a:ext cx="2503784" cy="552069"/>
              <a:chOff x="3019354" y="1959928"/>
              <a:chExt cx="2029960" cy="552069"/>
            </a:xfrm>
          </xdr:grpSpPr>
          <xdr:cxnSp macro="">
            <xdr:nvCxnSpPr>
              <xdr:cNvPr id="52" name="Straight Connector 51">
                <a:extLst>
                  <a:ext uri="{FF2B5EF4-FFF2-40B4-BE49-F238E27FC236}">
                    <a16:creationId xmlns:a16="http://schemas.microsoft.com/office/drawing/2014/main" id="{F89C1ECD-AC3B-DAD8-C1A9-CF913BF79BCF}"/>
                  </a:ext>
                </a:extLst>
              </xdr:cNvPr>
              <xdr:cNvCxnSpPr>
                <a:cxnSpLocks/>
              </xdr:cNvCxnSpPr>
            </xdr:nvCxnSpPr>
            <xdr:spPr>
              <a:xfrm flipH="1">
                <a:off x="3180534" y="19599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3" name="Straight Connector 52">
                <a:extLst>
                  <a:ext uri="{FF2B5EF4-FFF2-40B4-BE49-F238E27FC236}">
                    <a16:creationId xmlns:a16="http://schemas.microsoft.com/office/drawing/2014/main" id="{AB068B8A-DBE3-554A-6117-4DEB65ECE06E}"/>
                  </a:ext>
                </a:extLst>
              </xdr:cNvPr>
              <xdr:cNvCxnSpPr>
                <a:cxnSpLocks/>
              </xdr:cNvCxnSpPr>
            </xdr:nvCxnSpPr>
            <xdr:spPr>
              <a:xfrm flipH="1">
                <a:off x="3338891" y="20093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4" name="Straight Connector 53">
                <a:extLst>
                  <a:ext uri="{FF2B5EF4-FFF2-40B4-BE49-F238E27FC236}">
                    <a16:creationId xmlns:a16="http://schemas.microsoft.com/office/drawing/2014/main" id="{EB6D928C-D346-E599-1D21-6B0F7BA23DEF}"/>
                  </a:ext>
                </a:extLst>
              </xdr:cNvPr>
              <xdr:cNvCxnSpPr>
                <a:cxnSpLocks/>
              </xdr:cNvCxnSpPr>
            </xdr:nvCxnSpPr>
            <xdr:spPr>
              <a:xfrm flipH="1">
                <a:off x="3503236" y="197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5" name="Straight Connector 54">
                <a:extLst>
                  <a:ext uri="{FF2B5EF4-FFF2-40B4-BE49-F238E27FC236}">
                    <a16:creationId xmlns:a16="http://schemas.microsoft.com/office/drawing/2014/main" id="{C2390FF5-810D-5296-25F9-8AA13B222239}"/>
                  </a:ext>
                </a:extLst>
              </xdr:cNvPr>
              <xdr:cNvCxnSpPr>
                <a:cxnSpLocks/>
              </xdr:cNvCxnSpPr>
            </xdr:nvCxnSpPr>
            <xdr:spPr>
              <a:xfrm flipH="1">
                <a:off x="3673414" y="20081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6" name="Straight Connector 55">
                <a:extLst>
                  <a:ext uri="{FF2B5EF4-FFF2-40B4-BE49-F238E27FC236}">
                    <a16:creationId xmlns:a16="http://schemas.microsoft.com/office/drawing/2014/main" id="{423C0D6D-1335-515B-4A49-B4AFC4E4CBC5}"/>
                  </a:ext>
                </a:extLst>
              </xdr:cNvPr>
              <xdr:cNvCxnSpPr>
                <a:cxnSpLocks/>
              </xdr:cNvCxnSpPr>
            </xdr:nvCxnSpPr>
            <xdr:spPr>
              <a:xfrm flipH="1">
                <a:off x="3894878" y="20191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7" name="Straight Connector 56">
                <a:extLst>
                  <a:ext uri="{FF2B5EF4-FFF2-40B4-BE49-F238E27FC236}">
                    <a16:creationId xmlns:a16="http://schemas.microsoft.com/office/drawing/2014/main" id="{0A7D8309-4A4E-F15E-1487-9B313AE0E21F}"/>
                  </a:ext>
                </a:extLst>
              </xdr:cNvPr>
              <xdr:cNvCxnSpPr>
                <a:cxnSpLocks/>
              </xdr:cNvCxnSpPr>
            </xdr:nvCxnSpPr>
            <xdr:spPr>
              <a:xfrm flipH="1">
                <a:off x="4133493" y="19723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8" name="Straight Connector 57">
                <a:extLst>
                  <a:ext uri="{FF2B5EF4-FFF2-40B4-BE49-F238E27FC236}">
                    <a16:creationId xmlns:a16="http://schemas.microsoft.com/office/drawing/2014/main" id="{C5BACE59-A3C2-95E9-5C4D-D74A2B26412E}"/>
                  </a:ext>
                </a:extLst>
              </xdr:cNvPr>
              <xdr:cNvCxnSpPr>
                <a:cxnSpLocks/>
              </xdr:cNvCxnSpPr>
            </xdr:nvCxnSpPr>
            <xdr:spPr>
              <a:xfrm flipH="1">
                <a:off x="4291850" y="20217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9" name="Straight Connector 58">
                <a:extLst>
                  <a:ext uri="{FF2B5EF4-FFF2-40B4-BE49-F238E27FC236}">
                    <a16:creationId xmlns:a16="http://schemas.microsoft.com/office/drawing/2014/main" id="{0E1AAF1A-13BF-CA63-8F60-6E1A8D241E90}"/>
                  </a:ext>
                </a:extLst>
              </xdr:cNvPr>
              <xdr:cNvCxnSpPr>
                <a:cxnSpLocks/>
              </xdr:cNvCxnSpPr>
            </xdr:nvCxnSpPr>
            <xdr:spPr>
              <a:xfrm flipH="1">
                <a:off x="4456195" y="198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0" name="Straight Connector 59">
                <a:extLst>
                  <a:ext uri="{FF2B5EF4-FFF2-40B4-BE49-F238E27FC236}">
                    <a16:creationId xmlns:a16="http://schemas.microsoft.com/office/drawing/2014/main" id="{79CCF40E-D5D1-39FB-1753-33B09B1EC564}"/>
                  </a:ext>
                </a:extLst>
              </xdr:cNvPr>
              <xdr:cNvCxnSpPr>
                <a:cxnSpLocks/>
              </xdr:cNvCxnSpPr>
            </xdr:nvCxnSpPr>
            <xdr:spPr>
              <a:xfrm flipH="1">
                <a:off x="4626373" y="20205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1" name="Straight Connector 60">
                <a:extLst>
                  <a:ext uri="{FF2B5EF4-FFF2-40B4-BE49-F238E27FC236}">
                    <a16:creationId xmlns:a16="http://schemas.microsoft.com/office/drawing/2014/main" id="{622E682C-C842-76B7-89A3-C58997C0D5EF}"/>
                  </a:ext>
                </a:extLst>
              </xdr:cNvPr>
              <xdr:cNvCxnSpPr>
                <a:cxnSpLocks/>
              </xdr:cNvCxnSpPr>
            </xdr:nvCxnSpPr>
            <xdr:spPr>
              <a:xfrm flipH="1">
                <a:off x="4847837" y="20316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2" name="Straight Connector 61">
                <a:extLst>
                  <a:ext uri="{FF2B5EF4-FFF2-40B4-BE49-F238E27FC236}">
                    <a16:creationId xmlns:a16="http://schemas.microsoft.com/office/drawing/2014/main" id="{882A3916-8FAC-C6C5-5C6A-441E1DE7F60E}"/>
                  </a:ext>
                </a:extLst>
              </xdr:cNvPr>
              <xdr:cNvCxnSpPr>
                <a:cxnSpLocks/>
              </xdr:cNvCxnSpPr>
            </xdr:nvCxnSpPr>
            <xdr:spPr>
              <a:xfrm flipH="1">
                <a:off x="3332934" y="21123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3" name="Straight Connector 62">
                <a:extLst>
                  <a:ext uri="{FF2B5EF4-FFF2-40B4-BE49-F238E27FC236}">
                    <a16:creationId xmlns:a16="http://schemas.microsoft.com/office/drawing/2014/main" id="{07C25545-7058-AC62-3AAB-693EC856880E}"/>
                  </a:ext>
                </a:extLst>
              </xdr:cNvPr>
              <xdr:cNvCxnSpPr>
                <a:cxnSpLocks/>
              </xdr:cNvCxnSpPr>
            </xdr:nvCxnSpPr>
            <xdr:spPr>
              <a:xfrm flipH="1">
                <a:off x="3491291" y="21617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4" name="Straight Connector 63">
                <a:extLst>
                  <a:ext uri="{FF2B5EF4-FFF2-40B4-BE49-F238E27FC236}">
                    <a16:creationId xmlns:a16="http://schemas.microsoft.com/office/drawing/2014/main" id="{126A6DC7-80F7-CF89-489E-D102D3FCEB94}"/>
                  </a:ext>
                </a:extLst>
              </xdr:cNvPr>
              <xdr:cNvCxnSpPr>
                <a:cxnSpLocks/>
              </xdr:cNvCxnSpPr>
            </xdr:nvCxnSpPr>
            <xdr:spPr>
              <a:xfrm flipH="1">
                <a:off x="3655636" y="21278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5" name="Straight Connector 64">
                <a:extLst>
                  <a:ext uri="{FF2B5EF4-FFF2-40B4-BE49-F238E27FC236}">
                    <a16:creationId xmlns:a16="http://schemas.microsoft.com/office/drawing/2014/main" id="{D90084AB-BBA2-2B7F-A1E1-8E04187F119B}"/>
                  </a:ext>
                </a:extLst>
              </xdr:cNvPr>
              <xdr:cNvCxnSpPr>
                <a:cxnSpLocks/>
              </xdr:cNvCxnSpPr>
            </xdr:nvCxnSpPr>
            <xdr:spPr>
              <a:xfrm flipH="1">
                <a:off x="3825814" y="21605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6" name="Straight Connector 65">
                <a:extLst>
                  <a:ext uri="{FF2B5EF4-FFF2-40B4-BE49-F238E27FC236}">
                    <a16:creationId xmlns:a16="http://schemas.microsoft.com/office/drawing/2014/main" id="{C14DD495-CAC9-7B76-0E67-62EAD9B223B6}"/>
                  </a:ext>
                </a:extLst>
              </xdr:cNvPr>
              <xdr:cNvCxnSpPr>
                <a:cxnSpLocks/>
              </xdr:cNvCxnSpPr>
            </xdr:nvCxnSpPr>
            <xdr:spPr>
              <a:xfrm flipH="1">
                <a:off x="4092621" y="2146659"/>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7" name="Straight Connector 66">
                <a:extLst>
                  <a:ext uri="{FF2B5EF4-FFF2-40B4-BE49-F238E27FC236}">
                    <a16:creationId xmlns:a16="http://schemas.microsoft.com/office/drawing/2014/main" id="{DB169A99-E10A-7DA6-765D-D1D0BA0E4E65}"/>
                  </a:ext>
                </a:extLst>
              </xdr:cNvPr>
              <xdr:cNvCxnSpPr>
                <a:cxnSpLocks/>
              </xdr:cNvCxnSpPr>
            </xdr:nvCxnSpPr>
            <xdr:spPr>
              <a:xfrm flipH="1">
                <a:off x="4285893" y="21247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8" name="Straight Connector 67">
                <a:extLst>
                  <a:ext uri="{FF2B5EF4-FFF2-40B4-BE49-F238E27FC236}">
                    <a16:creationId xmlns:a16="http://schemas.microsoft.com/office/drawing/2014/main" id="{F066E03E-1B86-EC14-FBD2-A401BAEE02F1}"/>
                  </a:ext>
                </a:extLst>
              </xdr:cNvPr>
              <xdr:cNvCxnSpPr>
                <a:cxnSpLocks/>
              </xdr:cNvCxnSpPr>
            </xdr:nvCxnSpPr>
            <xdr:spPr>
              <a:xfrm flipH="1">
                <a:off x="4444250" y="21741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9" name="Straight Connector 68">
                <a:extLst>
                  <a:ext uri="{FF2B5EF4-FFF2-40B4-BE49-F238E27FC236}">
                    <a16:creationId xmlns:a16="http://schemas.microsoft.com/office/drawing/2014/main" id="{06BF98CB-9F80-09BC-3F28-B5CD9EB27AE1}"/>
                  </a:ext>
                </a:extLst>
              </xdr:cNvPr>
              <xdr:cNvCxnSpPr>
                <a:cxnSpLocks/>
              </xdr:cNvCxnSpPr>
            </xdr:nvCxnSpPr>
            <xdr:spPr>
              <a:xfrm flipH="1">
                <a:off x="4608595" y="21402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0" name="Straight Connector 69">
                <a:extLst>
                  <a:ext uri="{FF2B5EF4-FFF2-40B4-BE49-F238E27FC236}">
                    <a16:creationId xmlns:a16="http://schemas.microsoft.com/office/drawing/2014/main" id="{0B35B124-1555-AA8D-42C7-99B683BB32DD}"/>
                  </a:ext>
                </a:extLst>
              </xdr:cNvPr>
              <xdr:cNvCxnSpPr>
                <a:cxnSpLocks/>
              </xdr:cNvCxnSpPr>
            </xdr:nvCxnSpPr>
            <xdr:spPr>
              <a:xfrm flipH="1">
                <a:off x="4778773" y="21729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1" name="Straight Connector 70">
                <a:extLst>
                  <a:ext uri="{FF2B5EF4-FFF2-40B4-BE49-F238E27FC236}">
                    <a16:creationId xmlns:a16="http://schemas.microsoft.com/office/drawing/2014/main" id="{C6FAC2DF-6906-8542-933D-F208881C1D63}"/>
                  </a:ext>
                </a:extLst>
              </xdr:cNvPr>
              <xdr:cNvCxnSpPr>
                <a:cxnSpLocks/>
              </xdr:cNvCxnSpPr>
            </xdr:nvCxnSpPr>
            <xdr:spPr>
              <a:xfrm flipH="1">
                <a:off x="4974509" y="21840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2" name="Straight Connector 71">
                <a:extLst>
                  <a:ext uri="{FF2B5EF4-FFF2-40B4-BE49-F238E27FC236}">
                    <a16:creationId xmlns:a16="http://schemas.microsoft.com/office/drawing/2014/main" id="{4841792B-03E4-A10D-B63A-C6393F494AEF}"/>
                  </a:ext>
                </a:extLst>
              </xdr:cNvPr>
              <xdr:cNvCxnSpPr>
                <a:cxnSpLocks/>
              </xdr:cNvCxnSpPr>
            </xdr:nvCxnSpPr>
            <xdr:spPr>
              <a:xfrm flipH="1">
                <a:off x="3987963" y="20707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3" name="Straight Connector 72">
                <a:extLst>
                  <a:ext uri="{FF2B5EF4-FFF2-40B4-BE49-F238E27FC236}">
                    <a16:creationId xmlns:a16="http://schemas.microsoft.com/office/drawing/2014/main" id="{3D762760-D06E-8828-CC0B-458BBE8495AD}"/>
                  </a:ext>
                </a:extLst>
              </xdr:cNvPr>
              <xdr:cNvCxnSpPr>
                <a:cxnSpLocks/>
              </xdr:cNvCxnSpPr>
            </xdr:nvCxnSpPr>
            <xdr:spPr>
              <a:xfrm flipH="1">
                <a:off x="3224917" y="211167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4" name="Straight Connector 73">
                <a:extLst>
                  <a:ext uri="{FF2B5EF4-FFF2-40B4-BE49-F238E27FC236}">
                    <a16:creationId xmlns:a16="http://schemas.microsoft.com/office/drawing/2014/main" id="{8C219E51-1D58-88B5-A071-BB57565DCF7C}"/>
                  </a:ext>
                </a:extLst>
              </xdr:cNvPr>
              <xdr:cNvCxnSpPr>
                <a:cxnSpLocks/>
              </xdr:cNvCxnSpPr>
            </xdr:nvCxnSpPr>
            <xdr:spPr>
              <a:xfrm flipH="1">
                <a:off x="3284412" y="225723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5" name="Straight Connector 74">
                <a:extLst>
                  <a:ext uri="{FF2B5EF4-FFF2-40B4-BE49-F238E27FC236}">
                    <a16:creationId xmlns:a16="http://schemas.microsoft.com/office/drawing/2014/main" id="{347536F9-A913-DF2B-60F5-4263AA4DAF91}"/>
                  </a:ext>
                </a:extLst>
              </xdr:cNvPr>
              <xdr:cNvCxnSpPr>
                <a:cxnSpLocks/>
              </xdr:cNvCxnSpPr>
            </xdr:nvCxnSpPr>
            <xdr:spPr>
              <a:xfrm flipH="1">
                <a:off x="3442769" y="23066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6" name="Straight Connector 75">
                <a:extLst>
                  <a:ext uri="{FF2B5EF4-FFF2-40B4-BE49-F238E27FC236}">
                    <a16:creationId xmlns:a16="http://schemas.microsoft.com/office/drawing/2014/main" id="{301E6C8D-3CDD-0423-8C1E-AAD33EA261E8}"/>
                  </a:ext>
                </a:extLst>
              </xdr:cNvPr>
              <xdr:cNvCxnSpPr>
                <a:cxnSpLocks/>
              </xdr:cNvCxnSpPr>
            </xdr:nvCxnSpPr>
            <xdr:spPr>
              <a:xfrm flipH="1">
                <a:off x="3607114" y="22727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7" name="Straight Connector 76">
                <a:extLst>
                  <a:ext uri="{FF2B5EF4-FFF2-40B4-BE49-F238E27FC236}">
                    <a16:creationId xmlns:a16="http://schemas.microsoft.com/office/drawing/2014/main" id="{4B0D3E31-273A-83BE-730F-92D377555360}"/>
                  </a:ext>
                </a:extLst>
              </xdr:cNvPr>
              <xdr:cNvCxnSpPr>
                <a:cxnSpLocks/>
              </xdr:cNvCxnSpPr>
            </xdr:nvCxnSpPr>
            <xdr:spPr>
              <a:xfrm flipH="1">
                <a:off x="3777292" y="230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8" name="Straight Connector 77">
                <a:extLst>
                  <a:ext uri="{FF2B5EF4-FFF2-40B4-BE49-F238E27FC236}">
                    <a16:creationId xmlns:a16="http://schemas.microsoft.com/office/drawing/2014/main" id="{7D7CF585-26C6-33CA-ECE4-A9CF05E45404}"/>
                  </a:ext>
                </a:extLst>
              </xdr:cNvPr>
              <xdr:cNvCxnSpPr>
                <a:cxnSpLocks/>
              </xdr:cNvCxnSpPr>
            </xdr:nvCxnSpPr>
            <xdr:spPr>
              <a:xfrm flipH="1">
                <a:off x="3998756" y="231647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9" name="Straight Connector 78">
                <a:extLst>
                  <a:ext uri="{FF2B5EF4-FFF2-40B4-BE49-F238E27FC236}">
                    <a16:creationId xmlns:a16="http://schemas.microsoft.com/office/drawing/2014/main" id="{73952CB1-FBCB-D57D-4C56-C54D44C18DD3}"/>
                  </a:ext>
                </a:extLst>
              </xdr:cNvPr>
              <xdr:cNvCxnSpPr>
                <a:cxnSpLocks/>
              </xdr:cNvCxnSpPr>
            </xdr:nvCxnSpPr>
            <xdr:spPr>
              <a:xfrm flipH="1">
                <a:off x="4237371" y="2269682"/>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0" name="Straight Connector 79">
                <a:extLst>
                  <a:ext uri="{FF2B5EF4-FFF2-40B4-BE49-F238E27FC236}">
                    <a16:creationId xmlns:a16="http://schemas.microsoft.com/office/drawing/2014/main" id="{88D1FCE9-F200-DDB5-AF86-ADA6732E893B}"/>
                  </a:ext>
                </a:extLst>
              </xdr:cNvPr>
              <xdr:cNvCxnSpPr>
                <a:cxnSpLocks/>
              </xdr:cNvCxnSpPr>
            </xdr:nvCxnSpPr>
            <xdr:spPr>
              <a:xfrm flipH="1">
                <a:off x="3110943" y="21096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1" name="Straight Connector 80">
                <a:extLst>
                  <a:ext uri="{FF2B5EF4-FFF2-40B4-BE49-F238E27FC236}">
                    <a16:creationId xmlns:a16="http://schemas.microsoft.com/office/drawing/2014/main" id="{349D68EA-4367-1D6F-0AD0-C96767BFA324}"/>
                  </a:ext>
                </a:extLst>
              </xdr:cNvPr>
              <xdr:cNvCxnSpPr>
                <a:cxnSpLocks/>
              </xdr:cNvCxnSpPr>
            </xdr:nvCxnSpPr>
            <xdr:spPr>
              <a:xfrm flipH="1">
                <a:off x="4560073" y="228517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2" name="Straight Connector 81">
                <a:extLst>
                  <a:ext uri="{FF2B5EF4-FFF2-40B4-BE49-F238E27FC236}">
                    <a16:creationId xmlns:a16="http://schemas.microsoft.com/office/drawing/2014/main" id="{FC4A07EB-CEE5-2F68-B5C5-CDCF810F8FD0}"/>
                  </a:ext>
                </a:extLst>
              </xdr:cNvPr>
              <xdr:cNvCxnSpPr>
                <a:cxnSpLocks/>
              </xdr:cNvCxnSpPr>
            </xdr:nvCxnSpPr>
            <xdr:spPr>
              <a:xfrm flipH="1">
                <a:off x="4730251" y="231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3" name="Straight Connector 82">
                <a:extLst>
                  <a:ext uri="{FF2B5EF4-FFF2-40B4-BE49-F238E27FC236}">
                    <a16:creationId xmlns:a16="http://schemas.microsoft.com/office/drawing/2014/main" id="{87552B2B-02C2-4D59-9EFC-8417AD0BE5D7}"/>
                  </a:ext>
                </a:extLst>
              </xdr:cNvPr>
              <xdr:cNvCxnSpPr>
                <a:cxnSpLocks/>
              </xdr:cNvCxnSpPr>
            </xdr:nvCxnSpPr>
            <xdr:spPr>
              <a:xfrm flipH="1">
                <a:off x="4925987" y="2328927"/>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4" name="Straight Connector 83">
                <a:extLst>
                  <a:ext uri="{FF2B5EF4-FFF2-40B4-BE49-F238E27FC236}">
                    <a16:creationId xmlns:a16="http://schemas.microsoft.com/office/drawing/2014/main" id="{1545B60F-8008-0F42-47B7-C693938E9553}"/>
                  </a:ext>
                </a:extLst>
              </xdr:cNvPr>
              <xdr:cNvCxnSpPr>
                <a:cxnSpLocks/>
              </xdr:cNvCxnSpPr>
            </xdr:nvCxnSpPr>
            <xdr:spPr>
              <a:xfrm flipH="1">
                <a:off x="3176395" y="22565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5" name="Straight Connector 84">
                <a:extLst>
                  <a:ext uri="{FF2B5EF4-FFF2-40B4-BE49-F238E27FC236}">
                    <a16:creationId xmlns:a16="http://schemas.microsoft.com/office/drawing/2014/main" id="{E15C9DE9-1768-9CA7-603D-A19540568EED}"/>
                  </a:ext>
                </a:extLst>
              </xdr:cNvPr>
              <xdr:cNvCxnSpPr>
                <a:cxnSpLocks/>
              </xdr:cNvCxnSpPr>
            </xdr:nvCxnSpPr>
            <xdr:spPr>
              <a:xfrm flipH="1">
                <a:off x="5017512" y="203546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6" name="Straight Connector 85">
                <a:extLst>
                  <a:ext uri="{FF2B5EF4-FFF2-40B4-BE49-F238E27FC236}">
                    <a16:creationId xmlns:a16="http://schemas.microsoft.com/office/drawing/2014/main" id="{DA6DE732-6EE2-C69C-0092-17329AA1E564}"/>
                  </a:ext>
                </a:extLst>
              </xdr:cNvPr>
              <xdr:cNvCxnSpPr>
                <a:cxnSpLocks/>
              </xdr:cNvCxnSpPr>
            </xdr:nvCxnSpPr>
            <xdr:spPr>
              <a:xfrm flipH="1">
                <a:off x="4438293" y="22771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7" name="Straight Connector 86">
                <a:extLst>
                  <a:ext uri="{FF2B5EF4-FFF2-40B4-BE49-F238E27FC236}">
                    <a16:creationId xmlns:a16="http://schemas.microsoft.com/office/drawing/2014/main" id="{1D5612F4-48A7-2939-BB32-4546667A4878}"/>
                  </a:ext>
                </a:extLst>
              </xdr:cNvPr>
              <xdr:cNvCxnSpPr>
                <a:cxnSpLocks/>
              </xdr:cNvCxnSpPr>
            </xdr:nvCxnSpPr>
            <xdr:spPr>
              <a:xfrm flipH="1">
                <a:off x="3127371" y="24007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8" name="Straight Connector 87">
                <a:extLst>
                  <a:ext uri="{FF2B5EF4-FFF2-40B4-BE49-F238E27FC236}">
                    <a16:creationId xmlns:a16="http://schemas.microsoft.com/office/drawing/2014/main" id="{9BAA9947-DD2F-0933-1AC0-DA6B31ECBF06}"/>
                  </a:ext>
                </a:extLst>
              </xdr:cNvPr>
              <xdr:cNvCxnSpPr>
                <a:cxnSpLocks/>
              </xdr:cNvCxnSpPr>
            </xdr:nvCxnSpPr>
            <xdr:spPr>
              <a:xfrm flipH="1">
                <a:off x="3285728" y="24501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9" name="Straight Connector 88">
                <a:extLst>
                  <a:ext uri="{FF2B5EF4-FFF2-40B4-BE49-F238E27FC236}">
                    <a16:creationId xmlns:a16="http://schemas.microsoft.com/office/drawing/2014/main" id="{6FC2BFD7-9496-223C-C9B1-2EBC190094B2}"/>
                  </a:ext>
                </a:extLst>
              </xdr:cNvPr>
              <xdr:cNvCxnSpPr>
                <a:cxnSpLocks/>
              </xdr:cNvCxnSpPr>
            </xdr:nvCxnSpPr>
            <xdr:spPr>
              <a:xfrm flipH="1">
                <a:off x="3450073" y="241623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0" name="Straight Connector 89">
                <a:extLst>
                  <a:ext uri="{FF2B5EF4-FFF2-40B4-BE49-F238E27FC236}">
                    <a16:creationId xmlns:a16="http://schemas.microsoft.com/office/drawing/2014/main" id="{D7F9BF8E-AA6F-0ECD-EF5D-2647BE5B65E2}"/>
                  </a:ext>
                </a:extLst>
              </xdr:cNvPr>
              <xdr:cNvCxnSpPr>
                <a:cxnSpLocks/>
              </xdr:cNvCxnSpPr>
            </xdr:nvCxnSpPr>
            <xdr:spPr>
              <a:xfrm flipH="1">
                <a:off x="3620251" y="244893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1" name="Straight Connector 90">
                <a:extLst>
                  <a:ext uri="{FF2B5EF4-FFF2-40B4-BE49-F238E27FC236}">
                    <a16:creationId xmlns:a16="http://schemas.microsoft.com/office/drawing/2014/main" id="{5996AD92-0808-CF22-A1D9-EB3D6390332F}"/>
                  </a:ext>
                </a:extLst>
              </xdr:cNvPr>
              <xdr:cNvCxnSpPr>
                <a:cxnSpLocks/>
              </xdr:cNvCxnSpPr>
            </xdr:nvCxnSpPr>
            <xdr:spPr>
              <a:xfrm flipH="1">
                <a:off x="3841715" y="245999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2" name="Straight Connector 91">
                <a:extLst>
                  <a:ext uri="{FF2B5EF4-FFF2-40B4-BE49-F238E27FC236}">
                    <a16:creationId xmlns:a16="http://schemas.microsoft.com/office/drawing/2014/main" id="{FF4E9788-4867-3424-3ECE-B19E4E05586F}"/>
                  </a:ext>
                </a:extLst>
              </xdr:cNvPr>
              <xdr:cNvCxnSpPr>
                <a:cxnSpLocks/>
              </xdr:cNvCxnSpPr>
            </xdr:nvCxnSpPr>
            <xdr:spPr>
              <a:xfrm flipH="1">
                <a:off x="4080330" y="241320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3" name="Straight Connector 92">
                <a:extLst>
                  <a:ext uri="{FF2B5EF4-FFF2-40B4-BE49-F238E27FC236}">
                    <a16:creationId xmlns:a16="http://schemas.microsoft.com/office/drawing/2014/main" id="{136D59CB-D82C-3B73-2172-5A9B430CB93E}"/>
                  </a:ext>
                </a:extLst>
              </xdr:cNvPr>
              <xdr:cNvCxnSpPr>
                <a:cxnSpLocks/>
              </xdr:cNvCxnSpPr>
            </xdr:nvCxnSpPr>
            <xdr:spPr>
              <a:xfrm flipH="1">
                <a:off x="4238687" y="24626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4" name="Straight Connector 93">
                <a:extLst>
                  <a:ext uri="{FF2B5EF4-FFF2-40B4-BE49-F238E27FC236}">
                    <a16:creationId xmlns:a16="http://schemas.microsoft.com/office/drawing/2014/main" id="{FF759ADC-CF66-8DE4-2AAE-940A4449F7B2}"/>
                  </a:ext>
                </a:extLst>
              </xdr:cNvPr>
              <xdr:cNvCxnSpPr>
                <a:cxnSpLocks/>
              </xdr:cNvCxnSpPr>
            </xdr:nvCxnSpPr>
            <xdr:spPr>
              <a:xfrm flipH="1">
                <a:off x="4403032" y="242868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5" name="Straight Connector 94">
                <a:extLst>
                  <a:ext uri="{FF2B5EF4-FFF2-40B4-BE49-F238E27FC236}">
                    <a16:creationId xmlns:a16="http://schemas.microsoft.com/office/drawing/2014/main" id="{863A7B0E-7BEE-9178-141F-732737CFDCB2}"/>
                  </a:ext>
                </a:extLst>
              </xdr:cNvPr>
              <xdr:cNvCxnSpPr>
                <a:cxnSpLocks/>
              </xdr:cNvCxnSpPr>
            </xdr:nvCxnSpPr>
            <xdr:spPr>
              <a:xfrm flipH="1">
                <a:off x="4573210" y="246138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6" name="Straight Connector 95">
                <a:extLst>
                  <a:ext uri="{FF2B5EF4-FFF2-40B4-BE49-F238E27FC236}">
                    <a16:creationId xmlns:a16="http://schemas.microsoft.com/office/drawing/2014/main" id="{53C70566-A645-92A5-4EA0-D508368FAA80}"/>
                  </a:ext>
                </a:extLst>
              </xdr:cNvPr>
              <xdr:cNvCxnSpPr>
                <a:cxnSpLocks/>
              </xdr:cNvCxnSpPr>
            </xdr:nvCxnSpPr>
            <xdr:spPr>
              <a:xfrm flipH="1">
                <a:off x="3019354" y="24000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7" name="Straight Connector 96">
                <a:extLst>
                  <a:ext uri="{FF2B5EF4-FFF2-40B4-BE49-F238E27FC236}">
                    <a16:creationId xmlns:a16="http://schemas.microsoft.com/office/drawing/2014/main" id="{D699C5DE-4D0A-5684-CDD1-58ADE410AE3F}"/>
                  </a:ext>
                </a:extLst>
              </xdr:cNvPr>
              <xdr:cNvCxnSpPr>
                <a:cxnSpLocks/>
              </xdr:cNvCxnSpPr>
            </xdr:nvCxnSpPr>
            <xdr:spPr>
              <a:xfrm flipH="1">
                <a:off x="4711997" y="245718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8" name="Straight Connector 97">
                <a:extLst>
                  <a:ext uri="{FF2B5EF4-FFF2-40B4-BE49-F238E27FC236}">
                    <a16:creationId xmlns:a16="http://schemas.microsoft.com/office/drawing/2014/main" id="{66FC9DB3-7A1B-D9B3-70EF-8243E0402452}"/>
                  </a:ext>
                </a:extLst>
              </xdr:cNvPr>
              <xdr:cNvCxnSpPr>
                <a:cxnSpLocks/>
              </xdr:cNvCxnSpPr>
            </xdr:nvCxnSpPr>
            <xdr:spPr>
              <a:xfrm flipH="1">
                <a:off x="4907733" y="246824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cxnSp macro="">
          <xdr:nvCxnSpPr>
            <xdr:cNvPr id="47" name="Straight Connector 46">
              <a:extLst>
                <a:ext uri="{FF2B5EF4-FFF2-40B4-BE49-F238E27FC236}">
                  <a16:creationId xmlns:a16="http://schemas.microsoft.com/office/drawing/2014/main" id="{B2EF1F34-4187-93AB-518C-7B8523F5F5A6}"/>
                </a:ext>
              </a:extLst>
            </xdr:cNvPr>
            <xdr:cNvCxnSpPr>
              <a:cxnSpLocks/>
            </xdr:cNvCxnSpPr>
          </xdr:nvCxnSpPr>
          <xdr:spPr>
            <a:xfrm>
              <a:off x="2094127" y="249615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48" name="Straight Connector 47">
              <a:extLst>
                <a:ext uri="{FF2B5EF4-FFF2-40B4-BE49-F238E27FC236}">
                  <a16:creationId xmlns:a16="http://schemas.microsoft.com/office/drawing/2014/main" id="{E5AEC58E-653B-E729-2FAC-891295F0F432}"/>
                </a:ext>
              </a:extLst>
            </xdr:cNvPr>
            <xdr:cNvCxnSpPr>
              <a:cxnSpLocks/>
            </xdr:cNvCxnSpPr>
          </xdr:nvCxnSpPr>
          <xdr:spPr>
            <a:xfrm>
              <a:off x="1891423" y="246222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49" name="Straight Connector 48">
              <a:extLst>
                <a:ext uri="{FF2B5EF4-FFF2-40B4-BE49-F238E27FC236}">
                  <a16:creationId xmlns:a16="http://schemas.microsoft.com/office/drawing/2014/main" id="{834F9E82-F965-DB98-4183-927E08D3576A}"/>
                </a:ext>
              </a:extLst>
            </xdr:cNvPr>
            <xdr:cNvCxnSpPr>
              <a:cxnSpLocks/>
            </xdr:cNvCxnSpPr>
          </xdr:nvCxnSpPr>
          <xdr:spPr>
            <a:xfrm>
              <a:off x="1681525" y="2494921"/>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0" name="Straight Connector 49">
              <a:extLst>
                <a:ext uri="{FF2B5EF4-FFF2-40B4-BE49-F238E27FC236}">
                  <a16:creationId xmlns:a16="http://schemas.microsoft.com/office/drawing/2014/main" id="{E2C0C59E-570B-55CA-DE5C-47799F83CB58}"/>
                </a:ext>
              </a:extLst>
            </xdr:cNvPr>
            <xdr:cNvCxnSpPr>
              <a:cxnSpLocks/>
            </xdr:cNvCxnSpPr>
          </xdr:nvCxnSpPr>
          <xdr:spPr>
            <a:xfrm>
              <a:off x="1510345" y="2490716"/>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1" name="Straight Connector 50">
              <a:extLst>
                <a:ext uri="{FF2B5EF4-FFF2-40B4-BE49-F238E27FC236}">
                  <a16:creationId xmlns:a16="http://schemas.microsoft.com/office/drawing/2014/main" id="{FF7966EF-B38B-CB8A-FB8D-086914FFD3CE}"/>
                </a:ext>
              </a:extLst>
            </xdr:cNvPr>
            <xdr:cNvCxnSpPr>
              <a:cxnSpLocks/>
            </xdr:cNvCxnSpPr>
          </xdr:nvCxnSpPr>
          <xdr:spPr>
            <a:xfrm>
              <a:off x="1268924" y="25017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sp macro="" textlink="">
        <xdr:nvSpPr>
          <xdr:cNvPr id="20" name="TextBox 75">
            <a:extLst>
              <a:ext uri="{FF2B5EF4-FFF2-40B4-BE49-F238E27FC236}">
                <a16:creationId xmlns:a16="http://schemas.microsoft.com/office/drawing/2014/main" id="{BB32706C-2173-C2B1-A6F1-548B0627B9A4}"/>
              </a:ext>
            </a:extLst>
          </xdr:cNvPr>
          <xdr:cNvSpPr txBox="1"/>
        </xdr:nvSpPr>
        <xdr:spPr>
          <a:xfrm>
            <a:off x="10022251" y="1309410"/>
            <a:ext cx="1246654" cy="27318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Arial" panose="020B0604020202020204" pitchFamily="34" charset="0"/>
                <a:cs typeface="Arial" panose="020B0604020202020204" pitchFamily="34" charset="0"/>
              </a:rPr>
              <a:t>precipitation</a:t>
            </a:r>
            <a:endParaRPr lang="en-US" sz="1050" b="0">
              <a:latin typeface="Arial" panose="020B0604020202020204" pitchFamily="34" charset="0"/>
              <a:cs typeface="Arial" panose="020B0604020202020204" pitchFamily="34" charset="0"/>
            </a:endParaRPr>
          </a:p>
        </xdr:txBody>
      </xdr:sp>
      <xdr:cxnSp macro="">
        <xdr:nvCxnSpPr>
          <xdr:cNvPr id="21" name="Straight Arrow Connector 20">
            <a:extLst>
              <a:ext uri="{FF2B5EF4-FFF2-40B4-BE49-F238E27FC236}">
                <a16:creationId xmlns:a16="http://schemas.microsoft.com/office/drawing/2014/main" id="{B8653837-9D18-C8BA-1C03-3A0C4E45FB8F}"/>
              </a:ext>
            </a:extLst>
          </xdr:cNvPr>
          <xdr:cNvCxnSpPr/>
        </xdr:nvCxnSpPr>
        <xdr:spPr>
          <a:xfrm>
            <a:off x="11576389" y="2930448"/>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2" name="Straight Arrow Connector 21">
            <a:extLst>
              <a:ext uri="{FF2B5EF4-FFF2-40B4-BE49-F238E27FC236}">
                <a16:creationId xmlns:a16="http://schemas.microsoft.com/office/drawing/2014/main" id="{6408D5BA-4CCC-CF83-8857-90275B4760C0}"/>
              </a:ext>
            </a:extLst>
          </xdr:cNvPr>
          <xdr:cNvCxnSpPr>
            <a:cxnSpLocks/>
          </xdr:cNvCxnSpPr>
        </xdr:nvCxnSpPr>
        <xdr:spPr>
          <a:xfrm>
            <a:off x="10250903" y="2610042"/>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3" name="TextBox 78">
            <a:extLst>
              <a:ext uri="{FF2B5EF4-FFF2-40B4-BE49-F238E27FC236}">
                <a16:creationId xmlns:a16="http://schemas.microsoft.com/office/drawing/2014/main" id="{19F13029-49CC-0134-FBB1-2F873CEEB3A4}"/>
              </a:ext>
            </a:extLst>
          </xdr:cNvPr>
          <xdr:cNvSpPr txBox="1"/>
        </xdr:nvSpPr>
        <xdr:spPr>
          <a:xfrm>
            <a:off x="11297436" y="2655213"/>
            <a:ext cx="644239"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solidFill>
                  <a:schemeClr val="accent2">
                    <a:lumMod val="50000"/>
                  </a:schemeClr>
                </a:solidFill>
                <a:effectLst>
                  <a:innerShdw blurRad="317500" dist="50800" dir="16200000">
                    <a:schemeClr val="tx1">
                      <a:alpha val="70000"/>
                    </a:schemeClr>
                  </a:innerShdw>
                </a:effectLst>
                <a:latin typeface="Arial" panose="020B0604020202020204" pitchFamily="34" charset="0"/>
                <a:cs typeface="Arial" panose="020B0604020202020204" pitchFamily="34" charset="0"/>
              </a:rPr>
              <a:t>PFAS</a:t>
            </a:r>
          </a:p>
          <a:p>
            <a:endParaRPr lang="en-US" sz="1200" b="0">
              <a:latin typeface="Arial" panose="020B0604020202020204" pitchFamily="34" charset="0"/>
              <a:cs typeface="Arial" panose="020B0604020202020204" pitchFamily="34" charset="0"/>
            </a:endParaRPr>
          </a:p>
        </xdr:txBody>
      </xdr:sp>
      <xdr:cxnSp macro="">
        <xdr:nvCxnSpPr>
          <xdr:cNvPr id="24" name="Straight Arrow Connector 23">
            <a:extLst>
              <a:ext uri="{FF2B5EF4-FFF2-40B4-BE49-F238E27FC236}">
                <a16:creationId xmlns:a16="http://schemas.microsoft.com/office/drawing/2014/main" id="{6873875C-EDD0-01A6-8C72-853B987B9F84}"/>
              </a:ext>
            </a:extLst>
          </xdr:cNvPr>
          <xdr:cNvCxnSpPr/>
        </xdr:nvCxnSpPr>
        <xdr:spPr>
          <a:xfrm>
            <a:off x="11575338" y="4290540"/>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5" name="TextBox 80">
            <a:extLst>
              <a:ext uri="{FF2B5EF4-FFF2-40B4-BE49-F238E27FC236}">
                <a16:creationId xmlns:a16="http://schemas.microsoft.com/office/drawing/2014/main" id="{4C41555F-EE55-EA26-BDD7-0C604A4C3D99}"/>
              </a:ext>
            </a:extLst>
          </xdr:cNvPr>
          <xdr:cNvSpPr txBox="1"/>
        </xdr:nvSpPr>
        <xdr:spPr>
          <a:xfrm>
            <a:off x="11304270" y="3925475"/>
            <a:ext cx="644239"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solidFill>
                  <a:schemeClr val="accent2">
                    <a:lumMod val="50000"/>
                  </a:schemeClr>
                </a:solidFill>
                <a:latin typeface="Arial" panose="020B0604020202020204" pitchFamily="34" charset="0"/>
                <a:cs typeface="Arial" panose="020B0604020202020204" pitchFamily="34" charset="0"/>
              </a:rPr>
              <a:t>PFAS</a:t>
            </a:r>
          </a:p>
          <a:p>
            <a:endParaRPr lang="en-US" sz="1200" b="0">
              <a:latin typeface="Arial" panose="020B0604020202020204" pitchFamily="34" charset="0"/>
              <a:cs typeface="Arial" panose="020B0604020202020204" pitchFamily="34" charset="0"/>
            </a:endParaRPr>
          </a:p>
        </xdr:txBody>
      </xdr:sp>
      <xdr:sp macro="" textlink="">
        <xdr:nvSpPr>
          <xdr:cNvPr id="26" name="TextBox 81">
            <a:extLst>
              <a:ext uri="{FF2B5EF4-FFF2-40B4-BE49-F238E27FC236}">
                <a16:creationId xmlns:a16="http://schemas.microsoft.com/office/drawing/2014/main" id="{179F6569-AEC5-0E89-B023-CDAC8B5D939C}"/>
              </a:ext>
            </a:extLst>
          </xdr:cNvPr>
          <xdr:cNvSpPr txBox="1"/>
        </xdr:nvSpPr>
        <xdr:spPr>
          <a:xfrm>
            <a:off x="13526699" y="2921972"/>
            <a:ext cx="332490" cy="2368642"/>
          </a:xfrm>
          <a:prstGeom prst="rect">
            <a:avLst/>
          </a:prstGeom>
          <a:noFill/>
        </xdr:spPr>
        <xdr:txBody>
          <a:bodyPr vert="wordArtVert"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000">
              <a:latin typeface="Arial" panose="020B0604020202020204" pitchFamily="34" charset="0"/>
              <a:cs typeface="Arial" panose="020B0604020202020204" pitchFamily="34" charset="0"/>
            </a:endParaRPr>
          </a:p>
        </xdr:txBody>
      </xdr:sp>
      <xdr:sp macro="" textlink="">
        <xdr:nvSpPr>
          <xdr:cNvPr id="27" name="TextBox 82">
            <a:extLst>
              <a:ext uri="{FF2B5EF4-FFF2-40B4-BE49-F238E27FC236}">
                <a16:creationId xmlns:a16="http://schemas.microsoft.com/office/drawing/2014/main" id="{D1DB291A-E280-E233-A9F9-495921B30C91}"/>
              </a:ext>
            </a:extLst>
          </xdr:cNvPr>
          <xdr:cNvSpPr txBox="1"/>
        </xdr:nvSpPr>
        <xdr:spPr>
          <a:xfrm>
            <a:off x="9297732" y="2711023"/>
            <a:ext cx="1128713" cy="27318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ltLang="zh-CN" sz="1200" b="0">
                <a:solidFill>
                  <a:schemeClr val="accent1"/>
                </a:solidFill>
                <a:latin typeface="Arial" panose="020B0604020202020204" pitchFamily="34" charset="0"/>
                <a:cs typeface="Arial" panose="020B0604020202020204" pitchFamily="34" charset="0"/>
              </a:rPr>
              <a:t>i</a:t>
            </a:r>
            <a:r>
              <a:rPr lang="en-US" sz="1200" b="0">
                <a:solidFill>
                  <a:schemeClr val="accent1"/>
                </a:solidFill>
                <a:latin typeface="Arial" panose="020B0604020202020204" pitchFamily="34" charset="0"/>
                <a:cs typeface="Arial" panose="020B0604020202020204" pitchFamily="34" charset="0"/>
              </a:rPr>
              <a:t>nfiltration</a:t>
            </a:r>
          </a:p>
        </xdr:txBody>
      </xdr:sp>
      <xdr:cxnSp macro="">
        <xdr:nvCxnSpPr>
          <xdr:cNvPr id="28" name="Straight Arrow Connector 27">
            <a:extLst>
              <a:ext uri="{FF2B5EF4-FFF2-40B4-BE49-F238E27FC236}">
                <a16:creationId xmlns:a16="http://schemas.microsoft.com/office/drawing/2014/main" id="{CA04DDCF-ECA0-2C38-321D-ED31F54B43D3}"/>
              </a:ext>
            </a:extLst>
          </xdr:cNvPr>
          <xdr:cNvCxnSpPr>
            <a:cxnSpLocks/>
          </xdr:cNvCxnSpPr>
        </xdr:nvCxnSpPr>
        <xdr:spPr>
          <a:xfrm>
            <a:off x="11099629" y="2626856"/>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9" name="Straight Arrow Connector 28">
            <a:extLst>
              <a:ext uri="{FF2B5EF4-FFF2-40B4-BE49-F238E27FC236}">
                <a16:creationId xmlns:a16="http://schemas.microsoft.com/office/drawing/2014/main" id="{6DF91C28-38CC-027D-3546-91EF2EF44BB5}"/>
              </a:ext>
            </a:extLst>
          </xdr:cNvPr>
          <xdr:cNvCxnSpPr>
            <a:cxnSpLocks/>
          </xdr:cNvCxnSpPr>
        </xdr:nvCxnSpPr>
        <xdr:spPr>
          <a:xfrm>
            <a:off x="12063084" y="2622515"/>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0" name="Straight Arrow Connector 29">
            <a:extLst>
              <a:ext uri="{FF2B5EF4-FFF2-40B4-BE49-F238E27FC236}">
                <a16:creationId xmlns:a16="http://schemas.microsoft.com/office/drawing/2014/main" id="{020EC25D-9F3F-C746-1932-9EF19E9962C9}"/>
              </a:ext>
            </a:extLst>
          </xdr:cNvPr>
          <xdr:cNvCxnSpPr>
            <a:cxnSpLocks/>
          </xdr:cNvCxnSpPr>
        </xdr:nvCxnSpPr>
        <xdr:spPr>
          <a:xfrm>
            <a:off x="13650102" y="2673885"/>
            <a:ext cx="8928" cy="1458728"/>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31" name="Group 30">
            <a:extLst>
              <a:ext uri="{FF2B5EF4-FFF2-40B4-BE49-F238E27FC236}">
                <a16:creationId xmlns:a16="http://schemas.microsoft.com/office/drawing/2014/main" id="{3F73F6DF-57A9-869E-D5F5-D73464708712}"/>
              </a:ext>
            </a:extLst>
          </xdr:cNvPr>
          <xdr:cNvGrpSpPr/>
        </xdr:nvGrpSpPr>
        <xdr:grpSpPr>
          <a:xfrm>
            <a:off x="13502170" y="3008060"/>
            <a:ext cx="318605" cy="390928"/>
            <a:chOff x="5257800" y="5810626"/>
            <a:chExt cx="318605" cy="390928"/>
          </a:xfrm>
        </xdr:grpSpPr>
        <xdr:sp macro="" textlink="">
          <xdr:nvSpPr>
            <xdr:cNvPr id="44" name="Rectangle 43">
              <a:extLst>
                <a:ext uri="{FF2B5EF4-FFF2-40B4-BE49-F238E27FC236}">
                  <a16:creationId xmlns:a16="http://schemas.microsoft.com/office/drawing/2014/main" id="{8DC03012-4141-C7DA-44AB-BE5164B4D80F}"/>
                </a:ext>
              </a:extLst>
            </xdr:cNvPr>
            <xdr:cNvSpPr/>
          </xdr:nvSpPr>
          <xdr:spPr>
            <a:xfrm>
              <a:off x="5311930" y="5955333"/>
              <a:ext cx="193292" cy="246221"/>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45" name="TextBox 88">
              <a:extLst>
                <a:ext uri="{FF2B5EF4-FFF2-40B4-BE49-F238E27FC236}">
                  <a16:creationId xmlns:a16="http://schemas.microsoft.com/office/drawing/2014/main" id="{66FD5F30-A43D-A3C0-2DE6-49B7140DDBD4}"/>
                </a:ext>
              </a:extLst>
            </xdr:cNvPr>
            <xdr:cNvSpPr txBox="1"/>
          </xdr:nvSpPr>
          <xdr:spPr>
            <a:xfrm>
              <a:off x="5257800" y="5810626"/>
              <a:ext cx="318605" cy="323005"/>
            </a:xfrm>
            <a:prstGeom prst="rect">
              <a:avLst/>
            </a:prstGeom>
            <a:solidFill>
              <a:schemeClr val="bg2"/>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600" i="1">
                  <a:latin typeface="Arial" panose="020B0604020202020204" pitchFamily="34" charset="0"/>
                  <a:cs typeface="Arial" panose="020B0604020202020204" pitchFamily="34" charset="0"/>
                </a:rPr>
                <a:t>z</a:t>
              </a:r>
            </a:p>
          </xdr:txBody>
        </xdr:sp>
      </xdr:grpSp>
      <xdr:sp macro="" textlink="">
        <xdr:nvSpPr>
          <xdr:cNvPr id="32" name="Right Brace 31">
            <a:extLst>
              <a:ext uri="{FF2B5EF4-FFF2-40B4-BE49-F238E27FC236}">
                <a16:creationId xmlns:a16="http://schemas.microsoft.com/office/drawing/2014/main" id="{374D6FAB-43EB-93D7-02AA-9FE78EFB0355}"/>
              </a:ext>
            </a:extLst>
          </xdr:cNvPr>
          <xdr:cNvSpPr/>
        </xdr:nvSpPr>
        <xdr:spPr>
          <a:xfrm flipH="1">
            <a:off x="10079794" y="2631489"/>
            <a:ext cx="627249" cy="2451490"/>
          </a:xfrm>
          <a:prstGeom prst="rightBrace">
            <a:avLst>
              <a:gd name="adj1" fmla="val 49602"/>
              <a:gd name="adj2" fmla="val 50000"/>
            </a:avLst>
          </a:prstGeom>
        </xdr:spPr>
        <xdr:style>
          <a:lnRef idx="2">
            <a:schemeClr val="dk1"/>
          </a:lnRef>
          <a:fillRef idx="0">
            <a:schemeClr val="dk1"/>
          </a:fillRef>
          <a:effectRef idx="1">
            <a:schemeClr val="dk1"/>
          </a:effectRef>
          <a:fontRef idx="minor">
            <a:schemeClr val="tx1"/>
          </a:fontRef>
        </xdr:style>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33" name="Straight Connector 32">
            <a:extLst>
              <a:ext uri="{FF2B5EF4-FFF2-40B4-BE49-F238E27FC236}">
                <a16:creationId xmlns:a16="http://schemas.microsoft.com/office/drawing/2014/main" id="{A77A5089-49A2-6D70-3512-D40FCD258349}"/>
              </a:ext>
            </a:extLst>
          </xdr:cNvPr>
          <xdr:cNvCxnSpPr>
            <a:cxnSpLocks/>
          </xdr:cNvCxnSpPr>
        </xdr:nvCxnSpPr>
        <xdr:spPr>
          <a:xfrm>
            <a:off x="11934135" y="2354687"/>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4" name="Straight Connector 33">
            <a:extLst>
              <a:ext uri="{FF2B5EF4-FFF2-40B4-BE49-F238E27FC236}">
                <a16:creationId xmlns:a16="http://schemas.microsoft.com/office/drawing/2014/main" id="{C3E0A505-9681-6BD3-75E2-EA1A24CC7D51}"/>
              </a:ext>
            </a:extLst>
          </xdr:cNvPr>
          <xdr:cNvCxnSpPr>
            <a:cxnSpLocks/>
          </xdr:cNvCxnSpPr>
        </xdr:nvCxnSpPr>
        <xdr:spPr>
          <a:xfrm>
            <a:off x="11738817" y="240410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5" name="Straight Connector 34">
            <a:extLst>
              <a:ext uri="{FF2B5EF4-FFF2-40B4-BE49-F238E27FC236}">
                <a16:creationId xmlns:a16="http://schemas.microsoft.com/office/drawing/2014/main" id="{92F4D24A-22D8-1FF5-EBA2-D73BB774DF79}"/>
              </a:ext>
            </a:extLst>
          </xdr:cNvPr>
          <xdr:cNvCxnSpPr>
            <a:cxnSpLocks/>
          </xdr:cNvCxnSpPr>
        </xdr:nvCxnSpPr>
        <xdr:spPr>
          <a:xfrm>
            <a:off x="11536113" y="23701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6" name="Straight Connector 35">
            <a:extLst>
              <a:ext uri="{FF2B5EF4-FFF2-40B4-BE49-F238E27FC236}">
                <a16:creationId xmlns:a16="http://schemas.microsoft.com/office/drawing/2014/main" id="{C406223A-401A-52A6-0B58-88D2C84C5D04}"/>
              </a:ext>
            </a:extLst>
          </xdr:cNvPr>
          <xdr:cNvCxnSpPr>
            <a:cxnSpLocks/>
          </xdr:cNvCxnSpPr>
        </xdr:nvCxnSpPr>
        <xdr:spPr>
          <a:xfrm>
            <a:off x="11326215" y="240287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7" name="Straight Connector 36">
            <a:extLst>
              <a:ext uri="{FF2B5EF4-FFF2-40B4-BE49-F238E27FC236}">
                <a16:creationId xmlns:a16="http://schemas.microsoft.com/office/drawing/2014/main" id="{DEE26A34-83A2-9A1E-03AE-8BFB48DCD0D8}"/>
              </a:ext>
            </a:extLst>
          </xdr:cNvPr>
          <xdr:cNvCxnSpPr>
            <a:cxnSpLocks/>
          </xdr:cNvCxnSpPr>
        </xdr:nvCxnSpPr>
        <xdr:spPr>
          <a:xfrm>
            <a:off x="11053061" y="2413932"/>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8" name="Straight Connector 37">
            <a:extLst>
              <a:ext uri="{FF2B5EF4-FFF2-40B4-BE49-F238E27FC236}">
                <a16:creationId xmlns:a16="http://schemas.microsoft.com/office/drawing/2014/main" id="{E35E9DE4-FEE9-84F7-66E3-1F7D21F5839B}"/>
              </a:ext>
            </a:extLst>
          </xdr:cNvPr>
          <xdr:cNvCxnSpPr>
            <a:cxnSpLocks/>
          </xdr:cNvCxnSpPr>
        </xdr:nvCxnSpPr>
        <xdr:spPr>
          <a:xfrm>
            <a:off x="10769691" y="237656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sp macro="" textlink="">
        <xdr:nvSpPr>
          <xdr:cNvPr id="39" name="Rectangle 38">
            <a:extLst>
              <a:ext uri="{FF2B5EF4-FFF2-40B4-BE49-F238E27FC236}">
                <a16:creationId xmlns:a16="http://schemas.microsoft.com/office/drawing/2014/main" id="{76A6D3EF-00C0-7F11-06D7-AF1D27D110E4}"/>
              </a:ext>
            </a:extLst>
          </xdr:cNvPr>
          <xdr:cNvSpPr/>
        </xdr:nvSpPr>
        <xdr:spPr>
          <a:xfrm>
            <a:off x="12655713" y="2631437"/>
            <a:ext cx="114940" cy="2874666"/>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40" name="Cylinder 39">
            <a:extLst>
              <a:ext uri="{FF2B5EF4-FFF2-40B4-BE49-F238E27FC236}">
                <a16:creationId xmlns:a16="http://schemas.microsoft.com/office/drawing/2014/main" id="{702BBED3-E502-9743-8F70-406097592E5E}"/>
              </a:ext>
            </a:extLst>
          </xdr:cNvPr>
          <xdr:cNvSpPr/>
        </xdr:nvSpPr>
        <xdr:spPr>
          <a:xfrm>
            <a:off x="12655713" y="5108732"/>
            <a:ext cx="114940" cy="410294"/>
          </a:xfrm>
          <a:prstGeom prst="can">
            <a:avLst/>
          </a:prstGeom>
          <a:blipFill>
            <a:blip xmlns:r="http://schemas.openxmlformats.org/officeDocument/2006/relationships" r:embed="rId1"/>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41" name="Straight Arrow Connector 40">
            <a:extLst>
              <a:ext uri="{FF2B5EF4-FFF2-40B4-BE49-F238E27FC236}">
                <a16:creationId xmlns:a16="http://schemas.microsoft.com/office/drawing/2014/main" id="{BE6EA696-426B-5B28-4E35-B26DE395B417}"/>
              </a:ext>
            </a:extLst>
          </xdr:cNvPr>
          <xdr:cNvCxnSpPr>
            <a:cxnSpLocks/>
          </xdr:cNvCxnSpPr>
        </xdr:nvCxnSpPr>
        <xdr:spPr>
          <a:xfrm flipH="1" flipV="1">
            <a:off x="12775558" y="5003921"/>
            <a:ext cx="909410" cy="379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2" name="TextBox 110">
            <a:extLst>
              <a:ext uri="{FF2B5EF4-FFF2-40B4-BE49-F238E27FC236}">
                <a16:creationId xmlns:a16="http://schemas.microsoft.com/office/drawing/2014/main" id="{FA5E41C3-F948-B544-3B3F-D243384385A2}"/>
              </a:ext>
            </a:extLst>
          </xdr:cNvPr>
          <xdr:cNvSpPr txBox="1"/>
        </xdr:nvSpPr>
        <xdr:spPr>
          <a:xfrm>
            <a:off x="13541602" y="4765935"/>
            <a:ext cx="1476441" cy="55187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0">
                <a:latin typeface="Arial" panose="020B0604020202020204" pitchFamily="34" charset="0"/>
                <a:cs typeface="Arial" panose="020B0604020202020204" pitchFamily="34" charset="0"/>
              </a:rPr>
              <a:t>receptor well (drinking water)</a:t>
            </a:r>
          </a:p>
        </xdr:txBody>
      </xdr:sp>
      <xdr:pic>
        <xdr:nvPicPr>
          <xdr:cNvPr id="43" name="Picture 42">
            <a:extLst>
              <a:ext uri="{FF2B5EF4-FFF2-40B4-BE49-F238E27FC236}">
                <a16:creationId xmlns:a16="http://schemas.microsoft.com/office/drawing/2014/main" id="{8FABD844-A92A-C085-20D4-3C0DD8A35E9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flipH="1">
            <a:off x="12420511" y="2124727"/>
            <a:ext cx="499423" cy="499423"/>
          </a:xfrm>
          <a:prstGeom prst="rect">
            <a:avLst/>
          </a:prstGeom>
        </xdr:spPr>
      </xdr:pic>
    </xdr:grpSp>
    <xdr:clientData/>
  </xdr:twoCellAnchor>
  <xdr:twoCellAnchor>
    <xdr:from>
      <xdr:col>19</xdr:col>
      <xdr:colOff>26258</xdr:colOff>
      <xdr:row>29</xdr:row>
      <xdr:rowOff>163836</xdr:rowOff>
    </xdr:from>
    <xdr:to>
      <xdr:col>21</xdr:col>
      <xdr:colOff>31079</xdr:colOff>
      <xdr:row>31</xdr:row>
      <xdr:rowOff>29635</xdr:rowOff>
    </xdr:to>
    <xdr:sp macro="" textlink="">
      <xdr:nvSpPr>
        <xdr:cNvPr id="101" name="TextBox 100">
          <a:extLst>
            <a:ext uri="{FF2B5EF4-FFF2-40B4-BE49-F238E27FC236}">
              <a16:creationId xmlns:a16="http://schemas.microsoft.com/office/drawing/2014/main" id="{28212753-5501-4CB5-BB71-4BE51079FB12}"/>
            </a:ext>
          </a:extLst>
        </xdr:cNvPr>
        <xdr:cNvSpPr txBox="1"/>
      </xdr:nvSpPr>
      <xdr:spPr>
        <a:xfrm>
          <a:off x="12242071" y="5273999"/>
          <a:ext cx="1290696" cy="2182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baseline="0">
              <a:latin typeface="Arial" panose="020B0604020202020204" pitchFamily="34" charset="0"/>
              <a:cs typeface="Arial" panose="020B0604020202020204" pitchFamily="34" charset="0"/>
            </a:rPr>
            <a:t>Smith et al., 2024</a:t>
          </a:r>
          <a:endParaRPr lang="en-US" sz="900" i="1">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175287</xdr:colOff>
      <xdr:row>23</xdr:row>
      <xdr:rowOff>100615</xdr:rowOff>
    </xdr:from>
    <xdr:to>
      <xdr:col>8</xdr:col>
      <xdr:colOff>64263</xdr:colOff>
      <xdr:row>24</xdr:row>
      <xdr:rowOff>92995</xdr:rowOff>
    </xdr:to>
    <xdr:sp macro="[0]!M0_Set_default_PFAS" textlink="">
      <xdr:nvSpPr>
        <xdr:cNvPr id="44247" name="矩形 44246">
          <a:extLst>
            <a:ext uri="{FF2B5EF4-FFF2-40B4-BE49-F238E27FC236}">
              <a16:creationId xmlns:a16="http://schemas.microsoft.com/office/drawing/2014/main" id="{0EDF0191-11F9-42D1-823F-F82ADCB73758}"/>
            </a:ext>
          </a:extLst>
        </xdr:cNvPr>
        <xdr:cNvSpPr/>
      </xdr:nvSpPr>
      <xdr:spPr>
        <a:xfrm>
          <a:off x="5226423" y="6051335"/>
          <a:ext cx="1260000" cy="184804"/>
        </a:xfrm>
        <a:prstGeom prst="rect">
          <a:avLst/>
        </a:prstGeom>
        <a:solidFill>
          <a:schemeClr val="accent6">
            <a:lumMod val="40000"/>
            <a:lumOff val="60000"/>
          </a:schemeClr>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Default Values</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6</xdr:col>
      <xdr:colOff>175287</xdr:colOff>
      <xdr:row>4</xdr:row>
      <xdr:rowOff>111464</xdr:rowOff>
    </xdr:from>
    <xdr:to>
      <xdr:col>8</xdr:col>
      <xdr:colOff>64263</xdr:colOff>
      <xdr:row>5</xdr:row>
      <xdr:rowOff>101807</xdr:rowOff>
    </xdr:to>
    <xdr:sp macro="[0]!M0_Set_default_Soil" textlink="">
      <xdr:nvSpPr>
        <xdr:cNvPr id="44248" name="矩形 44247">
          <a:extLst>
            <a:ext uri="{FF2B5EF4-FFF2-40B4-BE49-F238E27FC236}">
              <a16:creationId xmlns:a16="http://schemas.microsoft.com/office/drawing/2014/main" id="{3F003C4C-3127-45C6-A4F2-C54FF08F412A}"/>
            </a:ext>
          </a:extLst>
        </xdr:cNvPr>
        <xdr:cNvSpPr/>
      </xdr:nvSpPr>
      <xdr:spPr>
        <a:xfrm>
          <a:off x="5226423" y="1997222"/>
          <a:ext cx="1260000" cy="182767"/>
        </a:xfrm>
        <a:prstGeom prst="rect">
          <a:avLst/>
        </a:prstGeom>
        <a:solidFill>
          <a:schemeClr val="accent6">
            <a:lumMod val="40000"/>
            <a:lumOff val="60000"/>
          </a:schemeClr>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 Values</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15</xdr:col>
      <xdr:colOff>291041</xdr:colOff>
      <xdr:row>41</xdr:row>
      <xdr:rowOff>116417</xdr:rowOff>
    </xdr:from>
    <xdr:to>
      <xdr:col>17</xdr:col>
      <xdr:colOff>625436</xdr:colOff>
      <xdr:row>42</xdr:row>
      <xdr:rowOff>143449</xdr:rowOff>
    </xdr:to>
    <xdr:sp macro="[0]!M0_Module0_Input_1201_equili" textlink="">
      <xdr:nvSpPr>
        <xdr:cNvPr id="44252" name="矩形: 圆角 44251">
          <a:extLst>
            <a:ext uri="{FF2B5EF4-FFF2-40B4-BE49-F238E27FC236}">
              <a16:creationId xmlns:a16="http://schemas.microsoft.com/office/drawing/2014/main" id="{1A817CC9-C49C-457E-8337-B04CFB2B0411}"/>
            </a:ext>
          </a:extLst>
        </xdr:cNvPr>
        <xdr:cNvSpPr/>
      </xdr:nvSpPr>
      <xdr:spPr>
        <a:xfrm>
          <a:off x="11175936" y="8958601"/>
          <a:ext cx="1883642" cy="216384"/>
        </a:xfrm>
        <a:prstGeom prst="roundRect">
          <a:avLst/>
        </a:prstGeom>
        <a:solidFill>
          <a:schemeClr val="accent2">
            <a:lumMod val="40000"/>
            <a:lumOff val="60000"/>
          </a:schemeClr>
        </a:solidFill>
        <a:ln w="6350">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Basic Solver </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15</xdr:col>
      <xdr:colOff>319911</xdr:colOff>
      <xdr:row>43</xdr:row>
      <xdr:rowOff>179916</xdr:rowOff>
    </xdr:from>
    <xdr:to>
      <xdr:col>17</xdr:col>
      <xdr:colOff>631174</xdr:colOff>
      <xdr:row>44</xdr:row>
      <xdr:rowOff>189352</xdr:rowOff>
    </xdr:to>
    <xdr:sp macro="[0]!M0_Module0_Input_1201_Kinetic" textlink="">
      <xdr:nvSpPr>
        <xdr:cNvPr id="44253" name="矩形: 圆角 44252">
          <a:extLst>
            <a:ext uri="{FF2B5EF4-FFF2-40B4-BE49-F238E27FC236}">
              <a16:creationId xmlns:a16="http://schemas.microsoft.com/office/drawing/2014/main" id="{3A721CA0-790F-4C42-B9F3-C9FDBA9A6365}"/>
            </a:ext>
          </a:extLst>
        </xdr:cNvPr>
        <xdr:cNvSpPr/>
      </xdr:nvSpPr>
      <xdr:spPr>
        <a:xfrm>
          <a:off x="11204806" y="9400805"/>
          <a:ext cx="1860510" cy="198788"/>
        </a:xfrm>
        <a:prstGeom prst="roundRect">
          <a:avLst/>
        </a:prstGeom>
        <a:solidFill>
          <a:schemeClr val="accent2">
            <a:lumMod val="40000"/>
            <a:lumOff val="60000"/>
          </a:schemeClr>
        </a:solidFill>
        <a:ln w="6350">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Advanced Solver</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6</xdr:col>
          <xdr:colOff>177800</xdr:colOff>
          <xdr:row>18</xdr:row>
          <xdr:rowOff>12700</xdr:rowOff>
        </xdr:from>
        <xdr:to>
          <xdr:col>8</xdr:col>
          <xdr:colOff>63500</xdr:colOff>
          <xdr:row>18</xdr:row>
          <xdr:rowOff>190500</xdr:rowOff>
        </xdr:to>
        <xdr:sp macro="" textlink="">
          <xdr:nvSpPr>
            <xdr:cNvPr id="44050" name="Button 18" descr="        Estimate αL" hidden="1">
              <a:extLst>
                <a:ext uri="{63B3BB69-23CF-44E3-9099-C40C66FF867C}">
                  <a14:compatExt spid="_x0000_s44050"/>
                </a:ext>
                <a:ext uri="{FF2B5EF4-FFF2-40B4-BE49-F238E27FC236}">
                  <a16:creationId xmlns:a16="http://schemas.microsoft.com/office/drawing/2014/main" id="{00000000-0008-0000-0100-000012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α</a:t>
              </a:r>
              <a:r>
                <a:rPr lang="en-US" sz="1000" b="0" i="1" u="none" strike="noStrike" baseline="-25000">
                  <a:solidFill>
                    <a:srgbClr val="000000"/>
                  </a:solidFill>
                  <a:latin typeface="Arial" pitchFamily="2" charset="0"/>
                  <a:cs typeface="Arial" pitchFamily="2" charset="0"/>
                </a:rPr>
                <a:t>L</a:t>
              </a:r>
              <a:r>
                <a:rPr lang="en-US" sz="1000" b="0" i="1" u="none" strike="noStrike" baseline="0">
                  <a:solidFill>
                    <a:srgbClr val="000000"/>
                  </a:solidFill>
                  <a:latin typeface="Arial" pitchFamily="2" charset="0"/>
                  <a:cs typeface="Arial" pitchFamily="2" charset="0"/>
                </a:rPr>
                <a:t> </a:t>
              </a:r>
              <a:endParaRPr lang="en-US" sz="1000" b="0" i="0" u="none" strike="noStrike" baseline="0">
                <a:solidFill>
                  <a:srgbClr val="000000"/>
                </a:solidFill>
                <a:latin typeface="Arial" pitchFamily="2" charset="0"/>
                <a:cs typeface="Arial" pitchFamily="2" charset="0"/>
              </a:endParaRPr>
            </a:p>
            <a:p>
              <a:pPr algn="l" rtl="0">
                <a:defRPr sz="1000"/>
              </a:pPr>
              <a:r>
                <a:rPr lang="en-US" sz="1000" b="0" i="0" u="none" strike="noStrike" baseline="0">
                  <a:solidFill>
                    <a:srgbClr val="000000"/>
                  </a:solidFill>
                  <a:latin typeface="Arial" pitchFamily="2" charset="0"/>
                  <a:cs typeface="Arial" pitchFamily="2" charset="0"/>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20</xdr:row>
          <xdr:rowOff>25400</xdr:rowOff>
        </xdr:from>
        <xdr:to>
          <xdr:col>8</xdr:col>
          <xdr:colOff>63500</xdr:colOff>
          <xdr:row>20</xdr:row>
          <xdr:rowOff>203200</xdr:rowOff>
        </xdr:to>
        <xdr:sp macro="" textlink="">
          <xdr:nvSpPr>
            <xdr:cNvPr id="44051" name="Button 19" descr="      Estimate SF" hidden="1">
              <a:extLst>
                <a:ext uri="{63B3BB69-23CF-44E3-9099-C40C66FF867C}">
                  <a14:compatExt spid="_x0000_s44051"/>
                </a:ext>
                <a:ext uri="{FF2B5EF4-FFF2-40B4-BE49-F238E27FC236}">
                  <a16:creationId xmlns:a16="http://schemas.microsoft.com/office/drawing/2014/main" id="{00000000-0008-0000-0100-000013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a:t>
              </a:r>
              <a:r>
                <a:rPr lang="en-US" sz="1100" b="0" i="0" u="none" strike="noStrike" baseline="0">
                  <a:solidFill>
                    <a:srgbClr val="000000"/>
                  </a:solidFill>
                  <a:latin typeface="Arial" pitchFamily="2" charset="0"/>
                  <a:cs typeface="Arial" pitchFamily="2" charset="0"/>
                </a:rPr>
                <a:t> </a:t>
              </a:r>
              <a:r>
                <a:rPr lang="en-US" sz="900" b="0" i="1" u="none" strike="noStrike" baseline="0">
                  <a:solidFill>
                    <a:srgbClr val="000000"/>
                  </a:solidFill>
                  <a:latin typeface="Arial" pitchFamily="2" charset="0"/>
                  <a:cs typeface="Arial" pitchFamily="2" charset="0"/>
                </a:rPr>
                <a:t>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19</xdr:row>
          <xdr:rowOff>25400</xdr:rowOff>
        </xdr:from>
        <xdr:to>
          <xdr:col>8</xdr:col>
          <xdr:colOff>63500</xdr:colOff>
          <xdr:row>19</xdr:row>
          <xdr:rowOff>203200</xdr:rowOff>
        </xdr:to>
        <xdr:sp macro="" textlink="">
          <xdr:nvSpPr>
            <xdr:cNvPr id="44052" name="Button 20" descr="Estimate  θ" hidden="1">
              <a:extLst>
                <a:ext uri="{63B3BB69-23CF-44E3-9099-C40C66FF867C}">
                  <a14:compatExt spid="_x0000_s44052"/>
                </a:ext>
                <a:ext uri="{FF2B5EF4-FFF2-40B4-BE49-F238E27FC236}">
                  <a16:creationId xmlns:a16="http://schemas.microsoft.com/office/drawing/2014/main" id="{00000000-0008-0000-0100-000014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900" b="0" i="0" u="none" strike="noStrike" baseline="0">
                  <a:solidFill>
                    <a:srgbClr val="000000"/>
                  </a:solidFill>
                  <a:latin typeface="Arial" pitchFamily="2" charset="0"/>
                  <a:cs typeface="Arial" pitchFamily="2" charset="0"/>
                </a:rPr>
                <a:t>    </a:t>
              </a:r>
              <a:r>
                <a:rPr lang="en-US" sz="800" b="0" i="0" u="none" strike="noStrike" baseline="0">
                  <a:solidFill>
                    <a:srgbClr val="000000"/>
                  </a:solidFill>
                  <a:latin typeface="Arial" pitchFamily="2" charset="0"/>
                  <a:cs typeface="Arial" pitchFamily="2" charset="0"/>
                </a:rPr>
                <a:t>  </a:t>
              </a:r>
              <a:r>
                <a:rPr lang="en-US" sz="900" b="0" i="0" u="none" strike="noStrike" baseline="0">
                  <a:solidFill>
                    <a:srgbClr val="000000"/>
                  </a:solidFill>
                  <a:latin typeface="Arial" pitchFamily="2" charset="0"/>
                  <a:cs typeface="Arial" pitchFamily="2" charset="0"/>
                </a:rPr>
                <a:t> </a:t>
              </a:r>
              <a:r>
                <a:rPr lang="en-US" sz="1000" b="0" i="0" u="none" strike="noStrike" baseline="0">
                  <a:solidFill>
                    <a:srgbClr val="000000"/>
                  </a:solidFill>
                  <a:latin typeface="Arial" pitchFamily="2" charset="0"/>
                  <a:cs typeface="Arial" pitchFamily="2" charset="0"/>
                </a:rPr>
                <a:t> Estimate</a:t>
              </a:r>
              <a:r>
                <a:rPr lang="en-US" sz="900" b="0" i="0" u="none" strike="noStrike" baseline="0">
                  <a:solidFill>
                    <a:srgbClr val="000000"/>
                  </a:solidFill>
                  <a:latin typeface="Arial" pitchFamily="2" charset="0"/>
                  <a:cs typeface="Arial" pitchFamily="2" charset="0"/>
                </a:rPr>
                <a:t>  </a:t>
              </a:r>
              <a:r>
                <a:rPr lang="en-US" sz="900" b="0" i="1" u="none" strike="noStrike" baseline="0">
                  <a:solidFill>
                    <a:srgbClr val="000000"/>
                  </a:solidFill>
                  <a:latin typeface="Arial" pitchFamily="2" charset="0"/>
                  <a:cs typeface="Arial" pitchFamily="2" charset="0"/>
                </a:rPr>
                <a:t>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21</xdr:row>
          <xdr:rowOff>25400</xdr:rowOff>
        </xdr:from>
        <xdr:to>
          <xdr:col>8</xdr:col>
          <xdr:colOff>63500</xdr:colOff>
          <xdr:row>21</xdr:row>
          <xdr:rowOff>203200</xdr:rowOff>
        </xdr:to>
        <xdr:sp macro="" textlink="">
          <xdr:nvSpPr>
            <xdr:cNvPr id="44053" name="Button 21" hidden="1">
              <a:extLst>
                <a:ext uri="{63B3BB69-23CF-44E3-9099-C40C66FF867C}">
                  <a14:compatExt spid="_x0000_s44053"/>
                </a:ext>
                <a:ext uri="{FF2B5EF4-FFF2-40B4-BE49-F238E27FC236}">
                  <a16:creationId xmlns:a16="http://schemas.microsoft.com/office/drawing/2014/main" id="{00000000-0008-0000-0100-000015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A</a:t>
              </a:r>
              <a:r>
                <a:rPr lang="en-US" sz="1000" b="0" i="1" u="none" strike="noStrike" baseline="-25000">
                  <a:solidFill>
                    <a:srgbClr val="000000"/>
                  </a:solidFill>
                  <a:latin typeface="Arial" pitchFamily="2" charset="0"/>
                  <a:cs typeface="Arial" pitchFamily="2" charset="0"/>
                </a:rPr>
                <a:t>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32</xdr:row>
          <xdr:rowOff>25400</xdr:rowOff>
        </xdr:from>
        <xdr:to>
          <xdr:col>8</xdr:col>
          <xdr:colOff>101600</xdr:colOff>
          <xdr:row>32</xdr:row>
          <xdr:rowOff>203200</xdr:rowOff>
        </xdr:to>
        <xdr:sp macro="" textlink="">
          <xdr:nvSpPr>
            <xdr:cNvPr id="44054" name="Button 22" hidden="1">
              <a:extLst>
                <a:ext uri="{63B3BB69-23CF-44E3-9099-C40C66FF867C}">
                  <a14:compatExt spid="_x0000_s44054"/>
                </a:ext>
                <a:ext uri="{FF2B5EF4-FFF2-40B4-BE49-F238E27FC236}">
                  <a16:creationId xmlns:a16="http://schemas.microsoft.com/office/drawing/2014/main" id="{00000000-0008-0000-0100-000016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K</a:t>
              </a:r>
              <a:r>
                <a:rPr lang="en-US" sz="1000" b="0" i="1" u="none" strike="noStrike" baseline="-25000">
                  <a:solidFill>
                    <a:srgbClr val="000000"/>
                  </a:solidFill>
                  <a:latin typeface="Arial" pitchFamily="2" charset="0"/>
                  <a:cs typeface="Arial" pitchFamily="2" charset="0"/>
                </a:rPr>
                <a:t>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33</xdr:row>
          <xdr:rowOff>25400</xdr:rowOff>
        </xdr:from>
        <xdr:to>
          <xdr:col>8</xdr:col>
          <xdr:colOff>101600</xdr:colOff>
          <xdr:row>33</xdr:row>
          <xdr:rowOff>203200</xdr:rowOff>
        </xdr:to>
        <xdr:sp macro="" textlink="">
          <xdr:nvSpPr>
            <xdr:cNvPr id="44055" name="Button 23" hidden="1">
              <a:extLst>
                <a:ext uri="{63B3BB69-23CF-44E3-9099-C40C66FF867C}">
                  <a14:compatExt spid="_x0000_s44055"/>
                </a:ext>
                <a:ext uri="{FF2B5EF4-FFF2-40B4-BE49-F238E27FC236}">
                  <a16:creationId xmlns:a16="http://schemas.microsoft.com/office/drawing/2014/main" id="{00000000-0008-0000-0100-000017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K</a:t>
              </a:r>
              <a:r>
                <a:rPr lang="en-US" sz="1000" b="0" i="1" u="none" strike="noStrike" baseline="-25000">
                  <a:solidFill>
                    <a:srgbClr val="000000"/>
                  </a:solidFill>
                  <a:latin typeface="Arial" pitchFamily="2" charset="0"/>
                  <a:cs typeface="Arial" pitchFamily="2" charset="0"/>
                </a:rPr>
                <a:t>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44</xdr:row>
          <xdr:rowOff>25400</xdr:rowOff>
        </xdr:from>
        <xdr:to>
          <xdr:col>8</xdr:col>
          <xdr:colOff>101600</xdr:colOff>
          <xdr:row>45</xdr:row>
          <xdr:rowOff>12700</xdr:rowOff>
        </xdr:to>
        <xdr:sp macro="" textlink="">
          <xdr:nvSpPr>
            <xdr:cNvPr id="44056" name="Button 24" hidden="1">
              <a:extLst>
                <a:ext uri="{63B3BB69-23CF-44E3-9099-C40C66FF867C}">
                  <a14:compatExt spid="_x0000_s44056"/>
                </a:ext>
                <a:ext uri="{FF2B5EF4-FFF2-40B4-BE49-F238E27FC236}">
                  <a16:creationId xmlns:a16="http://schemas.microsoft.com/office/drawing/2014/main" id="{00000000-0008-0000-0100-000018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Estimate α</a:t>
              </a:r>
              <a:r>
                <a:rPr lang="en-US" sz="1000" b="0" i="0" u="none" strike="noStrike" baseline="-25000">
                  <a:solidFill>
                    <a:srgbClr val="000000"/>
                  </a:solidFill>
                  <a:latin typeface="Arial" pitchFamily="2" charset="0"/>
                  <a:cs typeface="Arial" pitchFamily="2" charset="0"/>
                </a:rPr>
                <a:t>v</a:t>
              </a:r>
              <a:r>
                <a:rPr lang="en-US" sz="1000" b="0" i="0" u="none" strike="noStrike" baseline="0">
                  <a:solidFill>
                    <a:srgbClr val="000000"/>
                  </a:solidFill>
                  <a:latin typeface="Arial" pitchFamily="2" charset="0"/>
                  <a:cs typeface="Arial" pitchFamily="2" charset="0"/>
                </a:rPr>
                <a:t>, δ</a:t>
              </a:r>
              <a:r>
                <a:rPr lang="en-US" sz="1000" b="0" i="0" u="none" strike="noStrike" baseline="-25000">
                  <a:solidFill>
                    <a:srgbClr val="000000"/>
                  </a:solidFill>
                  <a:latin typeface="Arial" pitchFamily="2" charset="0"/>
                  <a:cs typeface="Arial" pitchFamily="2" charset="0"/>
                </a:rPr>
                <a:t>gw</a:t>
              </a:r>
              <a:r>
                <a:rPr lang="en-US" sz="1000" b="0" i="0" u="none" strike="noStrike" baseline="0">
                  <a:solidFill>
                    <a:srgbClr val="000000"/>
                  </a:solidFill>
                  <a:latin typeface="Arial" pitchFamily="2" charset="0"/>
                  <a:cs typeface="Arial" pitchFamily="2" charset="0"/>
                </a:rPr>
                <a:t>,</a:t>
              </a:r>
              <a:r>
                <a:rPr lang="en-US" sz="900" b="0" i="0" u="none" strike="noStrike" baseline="0">
                  <a:solidFill>
                    <a:srgbClr val="000000"/>
                  </a:solidFill>
                  <a:latin typeface="Arial" pitchFamily="2" charset="0"/>
                  <a:cs typeface="Arial" pitchFamily="2" charset="0"/>
                </a:rPr>
                <a:t> </a:t>
              </a:r>
              <a:r>
                <a:rPr lang="en-US" sz="900" b="0" i="1" u="none" strike="noStrike" baseline="0">
                  <a:solidFill>
                    <a:srgbClr val="000000"/>
                  </a:solidFill>
                  <a:latin typeface="Arial" pitchFamily="2" charset="0"/>
                  <a:cs typeface="Arial" pitchFamily="2" charset="0"/>
                </a:rPr>
                <a:t>DF</a:t>
              </a:r>
            </a:p>
          </xdr:txBody>
        </xdr:sp>
        <xdr:clientData fPrintsWithSheet="0"/>
      </xdr:twoCellAnchor>
    </mc:Choice>
    <mc:Fallback/>
  </mc:AlternateContent>
  <xdr:twoCellAnchor>
    <xdr:from>
      <xdr:col>7</xdr:col>
      <xdr:colOff>876290</xdr:colOff>
      <xdr:row>7</xdr:row>
      <xdr:rowOff>26777</xdr:rowOff>
    </xdr:from>
    <xdr:to>
      <xdr:col>7</xdr:col>
      <xdr:colOff>1071561</xdr:colOff>
      <xdr:row>7</xdr:row>
      <xdr:rowOff>195977</xdr:rowOff>
    </xdr:to>
    <xdr:pic>
      <xdr:nvPicPr>
        <xdr:cNvPr id="44046" name="Graphic 44045" descr="Raised hand">
          <a:extLst>
            <a:ext uri="{FF2B5EF4-FFF2-40B4-BE49-F238E27FC236}">
              <a16:creationId xmlns:a16="http://schemas.microsoft.com/office/drawing/2014/main" id="{04A2A4C4-3B98-E561-AA36-7994303926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6163147" y="2513861"/>
          <a:ext cx="195271" cy="169200"/>
        </a:xfrm>
        <a:prstGeom prst="rect">
          <a:avLst/>
        </a:prstGeom>
      </xdr:spPr>
    </xdr:pic>
    <xdr:clientData/>
  </xdr:twoCellAnchor>
  <xdr:twoCellAnchor>
    <xdr:from>
      <xdr:col>10</xdr:col>
      <xdr:colOff>227765</xdr:colOff>
      <xdr:row>22</xdr:row>
      <xdr:rowOff>62668</xdr:rowOff>
    </xdr:from>
    <xdr:to>
      <xdr:col>16</xdr:col>
      <xdr:colOff>160560</xdr:colOff>
      <xdr:row>40</xdr:row>
      <xdr:rowOff>59679</xdr:rowOff>
    </xdr:to>
    <xdr:grpSp>
      <xdr:nvGrpSpPr>
        <xdr:cNvPr id="44033" name="Group 44032">
          <a:extLst>
            <a:ext uri="{FF2B5EF4-FFF2-40B4-BE49-F238E27FC236}">
              <a16:creationId xmlns:a16="http://schemas.microsoft.com/office/drawing/2014/main" id="{A6C8B07C-1A78-BF76-6F24-DB8A679E8780}"/>
            </a:ext>
          </a:extLst>
        </xdr:cNvPr>
        <xdr:cNvGrpSpPr/>
      </xdr:nvGrpSpPr>
      <xdr:grpSpPr>
        <a:xfrm>
          <a:off x="7479465" y="5777668"/>
          <a:ext cx="5304895" cy="3794311"/>
          <a:chOff x="6976289" y="5190499"/>
          <a:chExt cx="4200051" cy="3140567"/>
        </a:xfrm>
      </xdr:grpSpPr>
      <xdr:grpSp>
        <xdr:nvGrpSpPr>
          <xdr:cNvPr id="44239" name="Group 44238">
            <a:extLst>
              <a:ext uri="{FF2B5EF4-FFF2-40B4-BE49-F238E27FC236}">
                <a16:creationId xmlns:a16="http://schemas.microsoft.com/office/drawing/2014/main" id="{D0DA89FA-2288-120D-10F1-28625758FFBE}"/>
              </a:ext>
            </a:extLst>
          </xdr:cNvPr>
          <xdr:cNvGrpSpPr/>
        </xdr:nvGrpSpPr>
        <xdr:grpSpPr>
          <a:xfrm>
            <a:off x="6976289" y="5190499"/>
            <a:ext cx="4200051" cy="3140567"/>
            <a:chOff x="14420847" y="5941452"/>
            <a:chExt cx="4161370" cy="3330297"/>
          </a:xfrm>
        </xdr:grpSpPr>
        <xdr:sp macro="" textlink="">
          <xdr:nvSpPr>
            <xdr:cNvPr id="15" name="Rectangle 26306">
              <a:extLst>
                <a:ext uri="{FF2B5EF4-FFF2-40B4-BE49-F238E27FC236}">
                  <a16:creationId xmlns:a16="http://schemas.microsoft.com/office/drawing/2014/main" id="{DBB9C63A-3519-7DD1-4129-7A2CE9B975E1}"/>
                </a:ext>
              </a:extLst>
            </xdr:cNvPr>
            <xdr:cNvSpPr/>
          </xdr:nvSpPr>
          <xdr:spPr>
            <a:xfrm>
              <a:off x="14450565" y="7268344"/>
              <a:ext cx="2532444" cy="1921467"/>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4143" name="Group 44142">
              <a:extLst>
                <a:ext uri="{FF2B5EF4-FFF2-40B4-BE49-F238E27FC236}">
                  <a16:creationId xmlns:a16="http://schemas.microsoft.com/office/drawing/2014/main" id="{CDEA812C-2BCF-342C-2E46-C259D3946A71}"/>
                </a:ext>
              </a:extLst>
            </xdr:cNvPr>
            <xdr:cNvGrpSpPr/>
          </xdr:nvGrpSpPr>
          <xdr:grpSpPr>
            <a:xfrm>
              <a:off x="14420847" y="5941452"/>
              <a:ext cx="4161370" cy="3330297"/>
              <a:chOff x="14000433" y="5570306"/>
              <a:chExt cx="4161370" cy="3330297"/>
            </a:xfrm>
          </xdr:grpSpPr>
          <xdr:grpSp>
            <xdr:nvGrpSpPr>
              <xdr:cNvPr id="44130" name="Group 44129">
                <a:extLst>
                  <a:ext uri="{FF2B5EF4-FFF2-40B4-BE49-F238E27FC236}">
                    <a16:creationId xmlns:a16="http://schemas.microsoft.com/office/drawing/2014/main" id="{651B070F-B80B-2701-83A5-C29F82EFCA5A}"/>
                  </a:ext>
                </a:extLst>
              </xdr:cNvPr>
              <xdr:cNvGrpSpPr/>
            </xdr:nvGrpSpPr>
            <xdr:grpSpPr>
              <a:xfrm>
                <a:off x="14000433" y="5570306"/>
                <a:ext cx="4161370" cy="3330297"/>
                <a:chOff x="14000433" y="5570306"/>
                <a:chExt cx="4161370" cy="3330297"/>
              </a:xfrm>
            </xdr:grpSpPr>
            <xdr:grpSp>
              <xdr:nvGrpSpPr>
                <xdr:cNvPr id="16" name="Group 26305">
                  <a:extLst>
                    <a:ext uri="{FF2B5EF4-FFF2-40B4-BE49-F238E27FC236}">
                      <a16:creationId xmlns:a16="http://schemas.microsoft.com/office/drawing/2014/main" id="{B543C453-AE1A-17DB-EDEA-16960A3AE429}"/>
                    </a:ext>
                  </a:extLst>
                </xdr:cNvPr>
                <xdr:cNvGrpSpPr/>
              </xdr:nvGrpSpPr>
              <xdr:grpSpPr>
                <a:xfrm>
                  <a:off x="14000433" y="5570306"/>
                  <a:ext cx="4161370" cy="3330297"/>
                  <a:chOff x="10123058" y="10989375"/>
                  <a:chExt cx="6036663" cy="3934725"/>
                </a:xfrm>
              </xdr:grpSpPr>
              <xdr:grpSp>
                <xdr:nvGrpSpPr>
                  <xdr:cNvPr id="17" name="Group 26302">
                    <a:extLst>
                      <a:ext uri="{FF2B5EF4-FFF2-40B4-BE49-F238E27FC236}">
                        <a16:creationId xmlns:a16="http://schemas.microsoft.com/office/drawing/2014/main" id="{3D440C85-84D5-3516-E069-0395C3E54867}"/>
                      </a:ext>
                    </a:extLst>
                  </xdr:cNvPr>
                  <xdr:cNvGrpSpPr/>
                </xdr:nvGrpSpPr>
                <xdr:grpSpPr>
                  <a:xfrm>
                    <a:off x="10123058" y="10989375"/>
                    <a:ext cx="6036663" cy="3934725"/>
                    <a:chOff x="6892870" y="10335913"/>
                    <a:chExt cx="6045727" cy="3933520"/>
                  </a:xfrm>
                </xdr:grpSpPr>
                <xdr:grpSp>
                  <xdr:nvGrpSpPr>
                    <xdr:cNvPr id="20" name="Group 26295">
                      <a:extLst>
                        <a:ext uri="{FF2B5EF4-FFF2-40B4-BE49-F238E27FC236}">
                          <a16:creationId xmlns:a16="http://schemas.microsoft.com/office/drawing/2014/main" id="{AEC390F2-1DB5-C843-83F9-5ADA2A8AC323}"/>
                        </a:ext>
                      </a:extLst>
                    </xdr:cNvPr>
                    <xdr:cNvGrpSpPr/>
                  </xdr:nvGrpSpPr>
                  <xdr:grpSpPr>
                    <a:xfrm>
                      <a:off x="6892870" y="10335913"/>
                      <a:ext cx="6045727" cy="3933520"/>
                      <a:chOff x="6978099" y="10136492"/>
                      <a:chExt cx="6046272" cy="3918846"/>
                    </a:xfrm>
                  </xdr:grpSpPr>
                  <xdr:grpSp>
                    <xdr:nvGrpSpPr>
                      <xdr:cNvPr id="26" name="Group 26292">
                        <a:extLst>
                          <a:ext uri="{FF2B5EF4-FFF2-40B4-BE49-F238E27FC236}">
                            <a16:creationId xmlns:a16="http://schemas.microsoft.com/office/drawing/2014/main" id="{049CE2E3-40BA-DF9A-AD51-0325D33C2374}"/>
                          </a:ext>
                        </a:extLst>
                      </xdr:cNvPr>
                      <xdr:cNvGrpSpPr/>
                    </xdr:nvGrpSpPr>
                    <xdr:grpSpPr>
                      <a:xfrm>
                        <a:off x="6987624" y="10136492"/>
                        <a:ext cx="6036747" cy="3918846"/>
                        <a:chOff x="7459409" y="11125336"/>
                        <a:chExt cx="6021187" cy="3934424"/>
                      </a:xfrm>
                    </xdr:grpSpPr>
                    <xdr:sp macro="" textlink="">
                      <xdr:nvSpPr>
                        <xdr:cNvPr id="28" name="Freeform: Shape 26047">
                          <a:extLst>
                            <a:ext uri="{FF2B5EF4-FFF2-40B4-BE49-F238E27FC236}">
                              <a16:creationId xmlns:a16="http://schemas.microsoft.com/office/drawing/2014/main" id="{65DB92C1-E24B-788A-CF64-EB25AA0B4416}"/>
                            </a:ext>
                          </a:extLst>
                        </xdr:cNvPr>
                        <xdr:cNvSpPr/>
                      </xdr:nvSpPr>
                      <xdr:spPr>
                        <a:xfrm>
                          <a:off x="11146075" y="13053831"/>
                          <a:ext cx="1737854" cy="1918209"/>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 name="connsiteX0" fmla="*/ 0 w 2258705"/>
                            <a:gd name="connsiteY0" fmla="*/ 2193878 h 2193878"/>
                            <a:gd name="connsiteX1" fmla="*/ 2258705 w 2258705"/>
                            <a:gd name="connsiteY1" fmla="*/ 764275 h 2193878"/>
                            <a:gd name="connsiteX2" fmla="*/ 2255293 w 2258705"/>
                            <a:gd name="connsiteY2" fmla="*/ 0 h 2193878"/>
                            <a:gd name="connsiteX3" fmla="*/ 9635 w 2258705"/>
                            <a:gd name="connsiteY3" fmla="*/ 1277518 h 2193878"/>
                            <a:gd name="connsiteX4" fmla="*/ 0 w 2258705"/>
                            <a:gd name="connsiteY4" fmla="*/ 2193878 h 2193878"/>
                            <a:gd name="connsiteX0" fmla="*/ 0 w 2255344"/>
                            <a:gd name="connsiteY0" fmla="*/ 2193878 h 2193878"/>
                            <a:gd name="connsiteX1" fmla="*/ 2239436 w 2255344"/>
                            <a:gd name="connsiteY1" fmla="*/ 836050 h 2193878"/>
                            <a:gd name="connsiteX2" fmla="*/ 2255293 w 2255344"/>
                            <a:gd name="connsiteY2" fmla="*/ 0 h 2193878"/>
                            <a:gd name="connsiteX3" fmla="*/ 9635 w 2255344"/>
                            <a:gd name="connsiteY3" fmla="*/ 1277518 h 2193878"/>
                            <a:gd name="connsiteX4" fmla="*/ 0 w 2255344"/>
                            <a:gd name="connsiteY4" fmla="*/ 2193878 h 2193878"/>
                            <a:gd name="connsiteX0" fmla="*/ 0 w 2255370"/>
                            <a:gd name="connsiteY0" fmla="*/ 2193878 h 2193878"/>
                            <a:gd name="connsiteX1" fmla="*/ 2245859 w 2255370"/>
                            <a:gd name="connsiteY1" fmla="*/ 897570 h 2193878"/>
                            <a:gd name="connsiteX2" fmla="*/ 2255293 w 2255370"/>
                            <a:gd name="connsiteY2" fmla="*/ 0 h 2193878"/>
                            <a:gd name="connsiteX3" fmla="*/ 9635 w 2255370"/>
                            <a:gd name="connsiteY3" fmla="*/ 1277518 h 2193878"/>
                            <a:gd name="connsiteX4" fmla="*/ 0 w 2255370"/>
                            <a:gd name="connsiteY4" fmla="*/ 2193878 h 2193878"/>
                            <a:gd name="connsiteX0" fmla="*/ 0 w 2255331"/>
                            <a:gd name="connsiteY0" fmla="*/ 2193878 h 2193878"/>
                            <a:gd name="connsiteX1" fmla="*/ 2233013 w 2255331"/>
                            <a:gd name="connsiteY1" fmla="*/ 889879 h 2193878"/>
                            <a:gd name="connsiteX2" fmla="*/ 2255293 w 2255331"/>
                            <a:gd name="connsiteY2" fmla="*/ 0 h 2193878"/>
                            <a:gd name="connsiteX3" fmla="*/ 9635 w 2255331"/>
                            <a:gd name="connsiteY3" fmla="*/ 1277518 h 2193878"/>
                            <a:gd name="connsiteX4" fmla="*/ 0 w 2255331"/>
                            <a:gd name="connsiteY4" fmla="*/ 2193878 h 2193878"/>
                            <a:gd name="connsiteX0" fmla="*/ 0 w 2248921"/>
                            <a:gd name="connsiteY0" fmla="*/ 2193878 h 2193878"/>
                            <a:gd name="connsiteX1" fmla="*/ 2233013 w 2248921"/>
                            <a:gd name="connsiteY1" fmla="*/ 889879 h 2193878"/>
                            <a:gd name="connsiteX2" fmla="*/ 2248871 w 2248921"/>
                            <a:gd name="connsiteY2" fmla="*/ 0 h 2193878"/>
                            <a:gd name="connsiteX3" fmla="*/ 9635 w 2248921"/>
                            <a:gd name="connsiteY3" fmla="*/ 1277518 h 2193878"/>
                            <a:gd name="connsiteX4" fmla="*/ 0 w 2248921"/>
                            <a:gd name="connsiteY4" fmla="*/ 2193878 h 2193878"/>
                            <a:gd name="connsiteX0" fmla="*/ 0 w 2249601"/>
                            <a:gd name="connsiteY0" fmla="*/ 2193878 h 2193878"/>
                            <a:gd name="connsiteX1" fmla="*/ 2249601 w 2249601"/>
                            <a:gd name="connsiteY1" fmla="*/ 889879 h 2193878"/>
                            <a:gd name="connsiteX2" fmla="*/ 2248871 w 2249601"/>
                            <a:gd name="connsiteY2" fmla="*/ 0 h 2193878"/>
                            <a:gd name="connsiteX3" fmla="*/ 9635 w 2249601"/>
                            <a:gd name="connsiteY3" fmla="*/ 1277518 h 2193878"/>
                            <a:gd name="connsiteX4" fmla="*/ 0 w 2249601"/>
                            <a:gd name="connsiteY4" fmla="*/ 2193878 h 2193878"/>
                            <a:gd name="connsiteX0" fmla="*/ 0 w 2251002"/>
                            <a:gd name="connsiteY0" fmla="*/ 2193878 h 2193878"/>
                            <a:gd name="connsiteX1" fmla="*/ 2249601 w 2251002"/>
                            <a:gd name="connsiteY1" fmla="*/ 889879 h 2193878"/>
                            <a:gd name="connsiteX2" fmla="*/ 2248871 w 2251002"/>
                            <a:gd name="connsiteY2" fmla="*/ 0 h 2193878"/>
                            <a:gd name="connsiteX3" fmla="*/ 9635 w 2251002"/>
                            <a:gd name="connsiteY3" fmla="*/ 1277518 h 2193878"/>
                            <a:gd name="connsiteX4" fmla="*/ 0 w 2251002"/>
                            <a:gd name="connsiteY4" fmla="*/ 2193878 h 2193878"/>
                            <a:gd name="connsiteX0" fmla="*/ 0 w 2258419"/>
                            <a:gd name="connsiteY0" fmla="*/ 2193878 h 2193878"/>
                            <a:gd name="connsiteX1" fmla="*/ 2257895 w 2258419"/>
                            <a:gd name="connsiteY1" fmla="*/ 883491 h 2193878"/>
                            <a:gd name="connsiteX2" fmla="*/ 2248871 w 2258419"/>
                            <a:gd name="connsiteY2" fmla="*/ 0 h 2193878"/>
                            <a:gd name="connsiteX3" fmla="*/ 9635 w 2258419"/>
                            <a:gd name="connsiteY3" fmla="*/ 1277518 h 2193878"/>
                            <a:gd name="connsiteX4" fmla="*/ 0 w 2258419"/>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19" h="2193878">
                              <a:moveTo>
                                <a:pt x="0" y="2193878"/>
                              </a:moveTo>
                              <a:lnTo>
                                <a:pt x="2257895" y="883491"/>
                              </a:lnTo>
                              <a:cubicBezTo>
                                <a:pt x="2260904" y="625538"/>
                                <a:pt x="2250008" y="254758"/>
                                <a:pt x="2248871" y="0"/>
                              </a:cubicBezTo>
                              <a:lnTo>
                                <a:pt x="9635" y="1277518"/>
                              </a:lnTo>
                              <a:lnTo>
                                <a:pt x="0" y="2193878"/>
                              </a:lnTo>
                              <a:close/>
                            </a:path>
                          </a:pathLst>
                        </a:cu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9" name="Freeform: Shape 26048">
                          <a:extLst>
                            <a:ext uri="{FF2B5EF4-FFF2-40B4-BE49-F238E27FC236}">
                              <a16:creationId xmlns:a16="http://schemas.microsoft.com/office/drawing/2014/main" id="{9C598713-7905-5000-4518-E17401DE006C}"/>
                            </a:ext>
                          </a:extLst>
                        </xdr:cNvPr>
                        <xdr:cNvSpPr/>
                      </xdr:nvSpPr>
                      <xdr:spPr>
                        <a:xfrm>
                          <a:off x="11152597" y="11592804"/>
                          <a:ext cx="1733596" cy="2583698"/>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 name="connsiteX0" fmla="*/ 9025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9025 w 2258458"/>
                            <a:gd name="connsiteY4" fmla="*/ 2930486 h 2930486"/>
                            <a:gd name="connsiteX0" fmla="*/ 622 w 2262088"/>
                            <a:gd name="connsiteY0" fmla="*/ 2933138 h 2933138"/>
                            <a:gd name="connsiteX1" fmla="*/ 3630 w 2262088"/>
                            <a:gd name="connsiteY1" fmla="*/ 1413831 h 2933138"/>
                            <a:gd name="connsiteX2" fmla="*/ 2262088 w 2262088"/>
                            <a:gd name="connsiteY2" fmla="*/ 0 h 2933138"/>
                            <a:gd name="connsiteX3" fmla="*/ 2258416 w 2262088"/>
                            <a:gd name="connsiteY3" fmla="*/ 1501966 h 2933138"/>
                            <a:gd name="connsiteX4" fmla="*/ 622 w 2262088"/>
                            <a:gd name="connsiteY4" fmla="*/ 2933138 h 2933138"/>
                            <a:gd name="connsiteX0" fmla="*/ 1246 w 2262712"/>
                            <a:gd name="connsiteY0" fmla="*/ 2933138 h 2933138"/>
                            <a:gd name="connsiteX1" fmla="*/ 4254 w 2262712"/>
                            <a:gd name="connsiteY1" fmla="*/ 1413831 h 2933138"/>
                            <a:gd name="connsiteX2" fmla="*/ 2262712 w 2262712"/>
                            <a:gd name="connsiteY2" fmla="*/ 0 h 2933138"/>
                            <a:gd name="connsiteX3" fmla="*/ 2259040 w 2262712"/>
                            <a:gd name="connsiteY3" fmla="*/ 1501966 h 2933138"/>
                            <a:gd name="connsiteX4" fmla="*/ 1246 w 2262712"/>
                            <a:gd name="connsiteY4" fmla="*/ 2933138 h 2933138"/>
                            <a:gd name="connsiteX0" fmla="*/ 3907 w 2265373"/>
                            <a:gd name="connsiteY0" fmla="*/ 2933138 h 2933138"/>
                            <a:gd name="connsiteX1" fmla="*/ 6915 w 2265373"/>
                            <a:gd name="connsiteY1" fmla="*/ 1413831 h 2933138"/>
                            <a:gd name="connsiteX2" fmla="*/ 2265373 w 2265373"/>
                            <a:gd name="connsiteY2" fmla="*/ 0 h 2933138"/>
                            <a:gd name="connsiteX3" fmla="*/ 2261701 w 2265373"/>
                            <a:gd name="connsiteY3" fmla="*/ 1501966 h 2933138"/>
                            <a:gd name="connsiteX4" fmla="*/ 3907 w 2265373"/>
                            <a:gd name="connsiteY4" fmla="*/ 2933138 h 2933138"/>
                            <a:gd name="connsiteX0" fmla="*/ 3907 w 2265373"/>
                            <a:gd name="connsiteY0" fmla="*/ 2622861 h 2622861"/>
                            <a:gd name="connsiteX1" fmla="*/ 6915 w 2265373"/>
                            <a:gd name="connsiteY1" fmla="*/ 1103554 h 2622861"/>
                            <a:gd name="connsiteX2" fmla="*/ 2265373 w 2265373"/>
                            <a:gd name="connsiteY2" fmla="*/ 0 h 2622861"/>
                            <a:gd name="connsiteX3" fmla="*/ 2261701 w 2265373"/>
                            <a:gd name="connsiteY3" fmla="*/ 1191689 h 2622861"/>
                            <a:gd name="connsiteX4" fmla="*/ 3907 w 2265373"/>
                            <a:gd name="connsiteY4" fmla="*/ 2622861 h 2622861"/>
                            <a:gd name="connsiteX0" fmla="*/ 3907 w 2299092"/>
                            <a:gd name="connsiteY0" fmla="*/ 2659604 h 2659604"/>
                            <a:gd name="connsiteX1" fmla="*/ 6915 w 2299092"/>
                            <a:gd name="connsiteY1" fmla="*/ 1140297 h 2659604"/>
                            <a:gd name="connsiteX2" fmla="*/ 2299092 w 2299092"/>
                            <a:gd name="connsiteY2" fmla="*/ 0 h 2659604"/>
                            <a:gd name="connsiteX3" fmla="*/ 2261701 w 2299092"/>
                            <a:gd name="connsiteY3" fmla="*/ 1228432 h 2659604"/>
                            <a:gd name="connsiteX4" fmla="*/ 3907 w 2299092"/>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1701 w 2270993"/>
                            <a:gd name="connsiteY3" fmla="*/ 1228432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56081 w 2270993"/>
                            <a:gd name="connsiteY3" fmla="*/ 1473388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7784 w 2270993"/>
                            <a:gd name="connsiteY3" fmla="*/ 1514214 h 2659604"/>
                            <a:gd name="connsiteX4" fmla="*/ 3907 w 2270993"/>
                            <a:gd name="connsiteY4" fmla="*/ 2659604 h 2659604"/>
                            <a:gd name="connsiteX0" fmla="*/ 3907 w 2268104"/>
                            <a:gd name="connsiteY0" fmla="*/ 2626942 h 2626942"/>
                            <a:gd name="connsiteX1" fmla="*/ 6915 w 2268104"/>
                            <a:gd name="connsiteY1" fmla="*/ 1107635 h 2626942"/>
                            <a:gd name="connsiteX2" fmla="*/ 2253440 w 2268104"/>
                            <a:gd name="connsiteY2" fmla="*/ 0 h 2626942"/>
                            <a:gd name="connsiteX3" fmla="*/ 2267784 w 2268104"/>
                            <a:gd name="connsiteY3" fmla="*/ 1481552 h 2626942"/>
                            <a:gd name="connsiteX4" fmla="*/ 3907 w 2268104"/>
                            <a:gd name="connsiteY4" fmla="*/ 2626942 h 2626942"/>
                            <a:gd name="connsiteX0" fmla="*/ 3907 w 2267940"/>
                            <a:gd name="connsiteY0" fmla="*/ 2614694 h 2614694"/>
                            <a:gd name="connsiteX1" fmla="*/ 6915 w 2267940"/>
                            <a:gd name="connsiteY1" fmla="*/ 1095387 h 2614694"/>
                            <a:gd name="connsiteX2" fmla="*/ 2229696 w 2267940"/>
                            <a:gd name="connsiteY2" fmla="*/ 0 h 2614694"/>
                            <a:gd name="connsiteX3" fmla="*/ 2267784 w 2267940"/>
                            <a:gd name="connsiteY3" fmla="*/ 1469304 h 2614694"/>
                            <a:gd name="connsiteX4" fmla="*/ 3907 w 2267940"/>
                            <a:gd name="connsiteY4" fmla="*/ 2614694 h 2614694"/>
                            <a:gd name="connsiteX0" fmla="*/ 3907 w 2250230"/>
                            <a:gd name="connsiteY0" fmla="*/ 2614694 h 2614694"/>
                            <a:gd name="connsiteX1" fmla="*/ 6915 w 2250230"/>
                            <a:gd name="connsiteY1" fmla="*/ 1095387 h 2614694"/>
                            <a:gd name="connsiteX2" fmla="*/ 2229696 w 2250230"/>
                            <a:gd name="connsiteY2" fmla="*/ 0 h 2614694"/>
                            <a:gd name="connsiteX3" fmla="*/ 2249978 w 2250230"/>
                            <a:gd name="connsiteY3" fmla="*/ 1481550 h 2614694"/>
                            <a:gd name="connsiteX4" fmla="*/ 3907 w 2250230"/>
                            <a:gd name="connsiteY4" fmla="*/ 2614694 h 2614694"/>
                            <a:gd name="connsiteX0" fmla="*/ 3907 w 2232849"/>
                            <a:gd name="connsiteY0" fmla="*/ 2614694 h 2614694"/>
                            <a:gd name="connsiteX1" fmla="*/ 6915 w 2232849"/>
                            <a:gd name="connsiteY1" fmla="*/ 1095387 h 2614694"/>
                            <a:gd name="connsiteX2" fmla="*/ 2229696 w 2232849"/>
                            <a:gd name="connsiteY2" fmla="*/ 0 h 2614694"/>
                            <a:gd name="connsiteX3" fmla="*/ 2232170 w 2232849"/>
                            <a:gd name="connsiteY3" fmla="*/ 1489715 h 2614694"/>
                            <a:gd name="connsiteX4" fmla="*/ 3907 w 2232849"/>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25801 w 2229695"/>
                            <a:gd name="connsiteY3" fmla="*/ 1505046 h 2614694"/>
                            <a:gd name="connsiteX4" fmla="*/ 3907 w 2229695"/>
                            <a:gd name="connsiteY4" fmla="*/ 2614694 h 2614694"/>
                            <a:gd name="connsiteX0" fmla="*/ 3907 w 2229697"/>
                            <a:gd name="connsiteY0" fmla="*/ 2614694 h 2614694"/>
                            <a:gd name="connsiteX1" fmla="*/ 6915 w 2229697"/>
                            <a:gd name="connsiteY1" fmla="*/ 1095387 h 2614694"/>
                            <a:gd name="connsiteX2" fmla="*/ 2229696 w 2229697"/>
                            <a:gd name="connsiteY2" fmla="*/ 0 h 2614694"/>
                            <a:gd name="connsiteX3" fmla="*/ 2222616 w 2229697"/>
                            <a:gd name="connsiteY3" fmla="*/ 1513807 h 2614694"/>
                            <a:gd name="connsiteX4" fmla="*/ 3907 w 2229697"/>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14408 w 2229695"/>
                            <a:gd name="connsiteY3" fmla="*/ 1477066 h 2614694"/>
                            <a:gd name="connsiteX4" fmla="*/ 3907 w 2229695"/>
                            <a:gd name="connsiteY4" fmla="*/ 2614694 h 261469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29695" h="2614694">
                              <a:moveTo>
                                <a:pt x="3907" y="2614694"/>
                              </a:moveTo>
                              <a:cubicBezTo>
                                <a:pt x="-5117" y="2101186"/>
                                <a:pt x="3906" y="1603591"/>
                                <a:pt x="6915" y="1095387"/>
                              </a:cubicBezTo>
                              <a:lnTo>
                                <a:pt x="2229696" y="0"/>
                              </a:lnTo>
                              <a:cubicBezTo>
                                <a:pt x="2226599" y="409477"/>
                                <a:pt x="2217505" y="1067589"/>
                                <a:pt x="2214408" y="1477066"/>
                              </a:cubicBezTo>
                              <a:lnTo>
                                <a:pt x="3907" y="2614694"/>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0" name="Rectangle 26049">
                          <a:extLst>
                            <a:ext uri="{FF2B5EF4-FFF2-40B4-BE49-F238E27FC236}">
                              <a16:creationId xmlns:a16="http://schemas.microsoft.com/office/drawing/2014/main" id="{D7EAAAF0-382E-0537-EFAD-D495197E0988}"/>
                            </a:ext>
                          </a:extLst>
                        </xdr:cNvPr>
                        <xdr:cNvSpPr/>
                      </xdr:nvSpPr>
                      <xdr:spPr>
                        <a:xfrm>
                          <a:off x="7488847" y="14185486"/>
                          <a:ext cx="3667390" cy="778759"/>
                        </a:xfrm>
                        <a:prstGeom prst="rect">
                          <a:avLst/>
                        </a:pr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1" name="Rectangle 26050">
                          <a:extLst>
                            <a:ext uri="{FF2B5EF4-FFF2-40B4-BE49-F238E27FC236}">
                              <a16:creationId xmlns:a16="http://schemas.microsoft.com/office/drawing/2014/main" id="{F0DFA7B6-2295-24DF-222A-C7501FB70DCA}"/>
                            </a:ext>
                          </a:extLst>
                        </xdr:cNvPr>
                        <xdr:cNvSpPr/>
                      </xdr:nvSpPr>
                      <xdr:spPr>
                        <a:xfrm>
                          <a:off x="7492670" y="12689182"/>
                          <a:ext cx="3669910" cy="1502123"/>
                        </a:xfrm>
                        <a:custGeom>
                          <a:avLst/>
                          <a:gdLst>
                            <a:gd name="connsiteX0" fmla="*/ 0 w 2549834"/>
                            <a:gd name="connsiteY0" fmla="*/ 0 h 1185879"/>
                            <a:gd name="connsiteX1" fmla="*/ 2549834 w 2549834"/>
                            <a:gd name="connsiteY1" fmla="*/ 0 h 1185879"/>
                            <a:gd name="connsiteX2" fmla="*/ 2549834 w 2549834"/>
                            <a:gd name="connsiteY2" fmla="*/ 1185879 h 1185879"/>
                            <a:gd name="connsiteX3" fmla="*/ 0 w 2549834"/>
                            <a:gd name="connsiteY3" fmla="*/ 1185879 h 1185879"/>
                            <a:gd name="connsiteX4" fmla="*/ 0 w 2549834"/>
                            <a:gd name="connsiteY4" fmla="*/ 0 h 1185879"/>
                            <a:gd name="connsiteX0" fmla="*/ 0 w 2556156"/>
                            <a:gd name="connsiteY0" fmla="*/ 0 h 1190093"/>
                            <a:gd name="connsiteX1" fmla="*/ 2549834 w 2556156"/>
                            <a:gd name="connsiteY1" fmla="*/ 0 h 1190093"/>
                            <a:gd name="connsiteX2" fmla="*/ 2556156 w 2556156"/>
                            <a:gd name="connsiteY2" fmla="*/ 1190093 h 1190093"/>
                            <a:gd name="connsiteX3" fmla="*/ 0 w 2556156"/>
                            <a:gd name="connsiteY3" fmla="*/ 1185879 h 1190093"/>
                            <a:gd name="connsiteX4" fmla="*/ 0 w 2556156"/>
                            <a:gd name="connsiteY4" fmla="*/ 0 h 119009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56156" h="1190093">
                              <a:moveTo>
                                <a:pt x="0" y="0"/>
                              </a:moveTo>
                              <a:lnTo>
                                <a:pt x="2549834" y="0"/>
                              </a:lnTo>
                              <a:cubicBezTo>
                                <a:pt x="2551941" y="396698"/>
                                <a:pt x="2554049" y="793395"/>
                                <a:pt x="2556156" y="1190093"/>
                              </a:cubicBezTo>
                              <a:lnTo>
                                <a:pt x="0" y="1185879"/>
                              </a:lnTo>
                              <a:lnTo>
                                <a:pt x="0" y="0"/>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2" name="Freeform: Shape 26051">
                          <a:extLst>
                            <a:ext uri="{FF2B5EF4-FFF2-40B4-BE49-F238E27FC236}">
                              <a16:creationId xmlns:a16="http://schemas.microsoft.com/office/drawing/2014/main" id="{1C3C00E8-D5CF-D3D6-312F-EE92556AEADF}"/>
                            </a:ext>
                          </a:extLst>
                        </xdr:cNvPr>
                        <xdr:cNvSpPr/>
                      </xdr:nvSpPr>
                      <xdr:spPr>
                        <a:xfrm>
                          <a:off x="7493893" y="11597329"/>
                          <a:ext cx="5394265" cy="1091849"/>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 name="connsiteX0" fmla="*/ 0 w 5907819"/>
                            <a:gd name="connsiteY0" fmla="*/ 1427259 h 1427259"/>
                            <a:gd name="connsiteX1" fmla="*/ 2270098 w 5907819"/>
                            <a:gd name="connsiteY1" fmla="*/ 0 h 1427259"/>
                            <a:gd name="connsiteX2" fmla="*/ 5907819 w 5907819"/>
                            <a:gd name="connsiteY2" fmla="*/ 3975 h 1427259"/>
                            <a:gd name="connsiteX3" fmla="*/ 4208711 w 5907819"/>
                            <a:gd name="connsiteY3" fmla="*/ 1417874 h 1427259"/>
                            <a:gd name="connsiteX4" fmla="*/ 0 w 5907819"/>
                            <a:gd name="connsiteY4" fmla="*/ 1427259 h 1427259"/>
                            <a:gd name="connsiteX0" fmla="*/ 0 w 6114976"/>
                            <a:gd name="connsiteY0" fmla="*/ 1427259 h 1427259"/>
                            <a:gd name="connsiteX1" fmla="*/ 2270098 w 6114976"/>
                            <a:gd name="connsiteY1" fmla="*/ 0 h 1427259"/>
                            <a:gd name="connsiteX2" fmla="*/ 6114976 w 6114976"/>
                            <a:gd name="connsiteY2" fmla="*/ 9384 h 1427259"/>
                            <a:gd name="connsiteX3" fmla="*/ 4208711 w 6114976"/>
                            <a:gd name="connsiteY3" fmla="*/ 1417874 h 1427259"/>
                            <a:gd name="connsiteX4" fmla="*/ 0 w 6114976"/>
                            <a:gd name="connsiteY4" fmla="*/ 1427259 h 1427259"/>
                            <a:gd name="connsiteX0" fmla="*/ 0 w 6136223"/>
                            <a:gd name="connsiteY0" fmla="*/ 1434101 h 1434101"/>
                            <a:gd name="connsiteX1" fmla="*/ 2270098 w 6136223"/>
                            <a:gd name="connsiteY1" fmla="*/ 6842 h 1434101"/>
                            <a:gd name="connsiteX2" fmla="*/ 6136223 w 6136223"/>
                            <a:gd name="connsiteY2" fmla="*/ 0 h 1434101"/>
                            <a:gd name="connsiteX3" fmla="*/ 4208711 w 6136223"/>
                            <a:gd name="connsiteY3" fmla="*/ 1424716 h 1434101"/>
                            <a:gd name="connsiteX4" fmla="*/ 0 w 6136223"/>
                            <a:gd name="connsiteY4" fmla="*/ 1434101 h 1434101"/>
                            <a:gd name="connsiteX0" fmla="*/ 0 w 6189340"/>
                            <a:gd name="connsiteY0" fmla="*/ 1450327 h 1450327"/>
                            <a:gd name="connsiteX1" fmla="*/ 2270098 w 6189340"/>
                            <a:gd name="connsiteY1" fmla="*/ 23068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33782 w 6189340"/>
                            <a:gd name="connsiteY1" fmla="*/ 50862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81787 w 6189340"/>
                            <a:gd name="connsiteY1" fmla="*/ 15620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3684 h 1453684"/>
                            <a:gd name="connsiteX1" fmla="*/ 1900455 w 6189340"/>
                            <a:gd name="connsiteY1" fmla="*/ 0 h 1453684"/>
                            <a:gd name="connsiteX2" fmla="*/ 6189340 w 6189340"/>
                            <a:gd name="connsiteY2" fmla="*/ 3357 h 1453684"/>
                            <a:gd name="connsiteX3" fmla="*/ 4208711 w 6189340"/>
                            <a:gd name="connsiteY3" fmla="*/ 1444299 h 1453684"/>
                            <a:gd name="connsiteX4" fmla="*/ 0 w 6189340"/>
                            <a:gd name="connsiteY4" fmla="*/ 1453684 h 14536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6189340" h="1453684">
                              <a:moveTo>
                                <a:pt x="0" y="1453684"/>
                              </a:moveTo>
                              <a:lnTo>
                                <a:pt x="1900455" y="0"/>
                              </a:lnTo>
                              <a:lnTo>
                                <a:pt x="6189340" y="3357"/>
                              </a:lnTo>
                              <a:lnTo>
                                <a:pt x="4208711" y="1444299"/>
                              </a:lnTo>
                              <a:lnTo>
                                <a:pt x="0" y="1453684"/>
                              </a:lnTo>
                              <a:close/>
                            </a:path>
                          </a:pathLst>
                        </a:custGeom>
                        <a:solidFill>
                          <a:schemeClr val="accent6">
                            <a:lumMod val="60000"/>
                            <a:lumOff val="40000"/>
                          </a:schemeClr>
                        </a:solidFill>
                        <a:ln>
                          <a:noFill/>
                        </a:ln>
                        <a:effectLst>
                          <a:glow rad="12700">
                            <a:schemeClr val="accent6">
                              <a:satMod val="175000"/>
                              <a:alpha val="22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3" name="Group 26052">
                          <a:extLst>
                            <a:ext uri="{FF2B5EF4-FFF2-40B4-BE49-F238E27FC236}">
                              <a16:creationId xmlns:a16="http://schemas.microsoft.com/office/drawing/2014/main" id="{656B179D-3056-C626-78DF-05DF1B875401}"/>
                            </a:ext>
                          </a:extLst>
                        </xdr:cNvPr>
                        <xdr:cNvGrpSpPr/>
                      </xdr:nvGrpSpPr>
                      <xdr:grpSpPr>
                        <a:xfrm>
                          <a:off x="7505369" y="11244869"/>
                          <a:ext cx="5975227" cy="3814891"/>
                          <a:chOff x="4267200" y="2205315"/>
                          <a:chExt cx="5975227" cy="3814891"/>
                        </a:xfrm>
                      </xdr:grpSpPr>
                      <xdr:sp macro="" textlink="">
                        <xdr:nvSpPr>
                          <xdr:cNvPr id="44233" name="Rectangle 26286">
                            <a:extLst>
                              <a:ext uri="{FF2B5EF4-FFF2-40B4-BE49-F238E27FC236}">
                                <a16:creationId xmlns:a16="http://schemas.microsoft.com/office/drawing/2014/main" id="{A9BEACF0-5F7D-DB19-E278-03C97FB276CD}"/>
                              </a:ext>
                            </a:extLst>
                          </xdr:cNvPr>
                          <xdr:cNvSpPr/>
                        </xdr:nvSpPr>
                        <xdr:spPr>
                          <a:xfrm>
                            <a:off x="4267200" y="3641650"/>
                            <a:ext cx="3657600" cy="2286000"/>
                          </a:xfrm>
                          <a:prstGeom prst="rect">
                            <a:avLst/>
                          </a:prstGeom>
                          <a:noFill/>
                          <a:ln w="25400">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4234" name="Straight Connector 26287">
                            <a:extLst>
                              <a:ext uri="{FF2B5EF4-FFF2-40B4-BE49-F238E27FC236}">
                                <a16:creationId xmlns:a16="http://schemas.microsoft.com/office/drawing/2014/main" id="{B73515DA-1175-0EF1-9FC5-A2EA144E9075}"/>
                              </a:ext>
                            </a:extLst>
                          </xdr:cNvPr>
                          <xdr:cNvCxnSpPr>
                            <a:cxnSpLocks/>
                          </xdr:cNvCxnSpPr>
                        </xdr:nvCxnSpPr>
                        <xdr:spPr>
                          <a:xfrm flipV="1">
                            <a:off x="4267200" y="2212041"/>
                            <a:ext cx="2268071"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5" name="Straight Connector 26288">
                            <a:extLst>
                              <a:ext uri="{FF2B5EF4-FFF2-40B4-BE49-F238E27FC236}">
                                <a16:creationId xmlns:a16="http://schemas.microsoft.com/office/drawing/2014/main" id="{23425424-6F9F-D4EF-05C0-1FB47AA13C6B}"/>
                              </a:ext>
                            </a:extLst>
                          </xdr:cNvPr>
                          <xdr:cNvCxnSpPr>
                            <a:cxnSpLocks/>
                            <a:endCxn id="32" idx="2"/>
                          </xdr:cNvCxnSpPr>
                        </xdr:nvCxnSpPr>
                        <xdr:spPr>
                          <a:xfrm flipV="1">
                            <a:off x="7924800" y="2560296"/>
                            <a:ext cx="1725190" cy="1081353"/>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6" name="Straight Connector 26289">
                            <a:extLst>
                              <a:ext uri="{FF2B5EF4-FFF2-40B4-BE49-F238E27FC236}">
                                <a16:creationId xmlns:a16="http://schemas.microsoft.com/office/drawing/2014/main" id="{66989C06-2865-E885-E369-21A427A939DC}"/>
                              </a:ext>
                            </a:extLst>
                          </xdr:cNvPr>
                          <xdr:cNvCxnSpPr>
                            <a:cxnSpLocks/>
                          </xdr:cNvCxnSpPr>
                        </xdr:nvCxnSpPr>
                        <xdr:spPr>
                          <a:xfrm>
                            <a:off x="6535271" y="2212040"/>
                            <a:ext cx="3657600" cy="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7" name="Straight Connector 26290">
                            <a:extLst>
                              <a:ext uri="{FF2B5EF4-FFF2-40B4-BE49-F238E27FC236}">
                                <a16:creationId xmlns:a16="http://schemas.microsoft.com/office/drawing/2014/main" id="{582E43E4-B34A-9099-BCBC-5F53D805C67A}"/>
                              </a:ext>
                            </a:extLst>
                          </xdr:cNvPr>
                          <xdr:cNvCxnSpPr>
                            <a:cxnSpLocks/>
                          </xdr:cNvCxnSpPr>
                        </xdr:nvCxnSpPr>
                        <xdr:spPr>
                          <a:xfrm flipV="1">
                            <a:off x="7974355" y="4590596"/>
                            <a:ext cx="2268072"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8" name="Straight Connector 26291">
                            <a:extLst>
                              <a:ext uri="{FF2B5EF4-FFF2-40B4-BE49-F238E27FC236}">
                                <a16:creationId xmlns:a16="http://schemas.microsoft.com/office/drawing/2014/main" id="{E7B7111E-68B4-81DE-ADBF-8B1033FCFFBC}"/>
                              </a:ext>
                            </a:extLst>
                          </xdr:cNvPr>
                          <xdr:cNvCxnSpPr>
                            <a:cxnSpLocks/>
                          </xdr:cNvCxnSpPr>
                        </xdr:nvCxnSpPr>
                        <xdr:spPr>
                          <a:xfrm>
                            <a:off x="10186146" y="2205315"/>
                            <a:ext cx="0" cy="2295144"/>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grpSp>
                    <xdr:cxnSp macro="">
                      <xdr:nvCxnSpPr>
                        <xdr:cNvPr id="35" name="Straight Connector 26054">
                          <a:extLst>
                            <a:ext uri="{FF2B5EF4-FFF2-40B4-BE49-F238E27FC236}">
                              <a16:creationId xmlns:a16="http://schemas.microsoft.com/office/drawing/2014/main" id="{CC30D2E9-7BF4-F258-C488-B4E8711D9D8E}"/>
                            </a:ext>
                          </a:extLst>
                        </xdr:cNvPr>
                        <xdr:cNvCxnSpPr>
                          <a:cxnSpLocks/>
                        </xdr:cNvCxnSpPr>
                      </xdr:nvCxnSpPr>
                      <xdr:spPr>
                        <a:xfrm flipV="1">
                          <a:off x="11162968" y="12771374"/>
                          <a:ext cx="2268071" cy="1429610"/>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sp macro="" textlink="">
                      <xdr:nvSpPr>
                        <xdr:cNvPr id="36" name="Isosceles Triangle 26055">
                          <a:extLst>
                            <a:ext uri="{FF2B5EF4-FFF2-40B4-BE49-F238E27FC236}">
                              <a16:creationId xmlns:a16="http://schemas.microsoft.com/office/drawing/2014/main" id="{C20AD0D7-4BAB-252F-2AC2-6A3F2151B745}"/>
                            </a:ext>
                          </a:extLst>
                        </xdr:cNvPr>
                        <xdr:cNvSpPr/>
                      </xdr:nvSpPr>
                      <xdr:spPr>
                        <a:xfrm rot="10800000">
                          <a:off x="7626316" y="14118621"/>
                          <a:ext cx="71719" cy="5266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7" name="Freeform: Shape 26056">
                          <a:extLst>
                            <a:ext uri="{FF2B5EF4-FFF2-40B4-BE49-F238E27FC236}">
                              <a16:creationId xmlns:a16="http://schemas.microsoft.com/office/drawing/2014/main" id="{BA98DBA4-00BE-1DEC-0E01-108DA17FF587}"/>
                            </a:ext>
                          </a:extLst>
                        </xdr:cNvPr>
                        <xdr:cNvSpPr/>
                      </xdr:nvSpPr>
                      <xdr:spPr>
                        <a:xfrm>
                          <a:off x="8795759" y="12292192"/>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38" name="Straight Connector 26057">
                          <a:extLst>
                            <a:ext uri="{FF2B5EF4-FFF2-40B4-BE49-F238E27FC236}">
                              <a16:creationId xmlns:a16="http://schemas.microsoft.com/office/drawing/2014/main" id="{41EDB88E-B8E4-2B6A-81B5-DE7C732F0145}"/>
                            </a:ext>
                          </a:extLst>
                        </xdr:cNvPr>
                        <xdr:cNvCxnSpPr>
                          <a:cxnSpLocks/>
                        </xdr:cNvCxnSpPr>
                      </xdr:nvCxnSpPr>
                      <xdr:spPr>
                        <a:xfrm>
                          <a:off x="8789883" y="12691637"/>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9" name="Straight Connector 26058">
                          <a:extLst>
                            <a:ext uri="{FF2B5EF4-FFF2-40B4-BE49-F238E27FC236}">
                              <a16:creationId xmlns:a16="http://schemas.microsoft.com/office/drawing/2014/main" id="{31E83BCD-4AC0-56CA-4349-B1E73B1AA1D9}"/>
                            </a:ext>
                          </a:extLst>
                        </xdr:cNvPr>
                        <xdr:cNvCxnSpPr>
                          <a:cxnSpLocks/>
                        </xdr:cNvCxnSpPr>
                      </xdr:nvCxnSpPr>
                      <xdr:spPr>
                        <a:xfrm>
                          <a:off x="9801851" y="12681200"/>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40" name="Freeform: Shape 26059">
                          <a:extLst>
                            <a:ext uri="{FF2B5EF4-FFF2-40B4-BE49-F238E27FC236}">
                              <a16:creationId xmlns:a16="http://schemas.microsoft.com/office/drawing/2014/main" id="{2CEFCDCD-6092-19B1-057C-0C17A6EC41DB}"/>
                            </a:ext>
                          </a:extLst>
                        </xdr:cNvPr>
                        <xdr:cNvSpPr/>
                      </xdr:nvSpPr>
                      <xdr:spPr>
                        <a:xfrm>
                          <a:off x="8778890" y="14188989"/>
                          <a:ext cx="2376510" cy="516443"/>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1" name="Picture 26060">
                          <a:extLst>
                            <a:ext uri="{FF2B5EF4-FFF2-40B4-BE49-F238E27FC236}">
                              <a16:creationId xmlns:a16="http://schemas.microsoft.com/office/drawing/2014/main" id="{7A325FC1-E658-CCB1-ECF3-46817C2004B7}"/>
                            </a:ext>
                          </a:extLst>
                        </xdr:cNvPr>
                        <xdr:cNvPicPr>
                          <a:picLocks noChangeAspect="1"/>
                        </xdr:cNvPicPr>
                      </xdr:nvPicPr>
                      <xdr:blipFill>
                        <a:blip xmlns:r="http://schemas.openxmlformats.org/officeDocument/2006/relationships" r:embed="rId3"/>
                        <a:stretch>
                          <a:fillRect/>
                        </a:stretch>
                      </xdr:blipFill>
                      <xdr:spPr>
                        <a:xfrm>
                          <a:off x="8792735" y="12689013"/>
                          <a:ext cx="1016055" cy="1499684"/>
                        </a:xfrm>
                        <a:prstGeom prst="rect">
                          <a:avLst/>
                        </a:prstGeom>
                        <a:ln w="0">
                          <a:solidFill>
                            <a:schemeClr val="tx1"/>
                          </a:solidFill>
                        </a:ln>
                      </xdr:spPr>
                    </xdr:pic>
                    <xdr:grpSp>
                      <xdr:nvGrpSpPr>
                        <xdr:cNvPr id="42" name="Group 26061">
                          <a:extLst>
                            <a:ext uri="{FF2B5EF4-FFF2-40B4-BE49-F238E27FC236}">
                              <a16:creationId xmlns:a16="http://schemas.microsoft.com/office/drawing/2014/main" id="{B4849319-F839-73A9-3841-08FFA767B5E0}"/>
                            </a:ext>
                          </a:extLst>
                        </xdr:cNvPr>
                        <xdr:cNvGrpSpPr/>
                      </xdr:nvGrpSpPr>
                      <xdr:grpSpPr>
                        <a:xfrm>
                          <a:off x="10451743" y="11724938"/>
                          <a:ext cx="107546" cy="77250"/>
                          <a:chOff x="5315884" y="3648789"/>
                          <a:chExt cx="107546" cy="77250"/>
                        </a:xfrm>
                      </xdr:grpSpPr>
                      <xdr:grpSp>
                        <xdr:nvGrpSpPr>
                          <xdr:cNvPr id="44213" name="Group 26266">
                            <a:extLst>
                              <a:ext uri="{FF2B5EF4-FFF2-40B4-BE49-F238E27FC236}">
                                <a16:creationId xmlns:a16="http://schemas.microsoft.com/office/drawing/2014/main" id="{FD42E0A9-ED89-082A-2A24-86905A741D29}"/>
                              </a:ext>
                            </a:extLst>
                          </xdr:cNvPr>
                          <xdr:cNvGrpSpPr/>
                        </xdr:nvGrpSpPr>
                        <xdr:grpSpPr>
                          <a:xfrm>
                            <a:off x="5315884" y="3665776"/>
                            <a:ext cx="21904" cy="48867"/>
                            <a:chOff x="5082563" y="3134920"/>
                            <a:chExt cx="21904" cy="69330"/>
                          </a:xfrm>
                        </xdr:grpSpPr>
                        <xdr:cxnSp macro="">
                          <xdr:nvCxnSpPr>
                            <xdr:cNvPr id="44230" name="Straight Connector 26283">
                              <a:extLst>
                                <a:ext uri="{FF2B5EF4-FFF2-40B4-BE49-F238E27FC236}">
                                  <a16:creationId xmlns:a16="http://schemas.microsoft.com/office/drawing/2014/main" id="{14588C86-B510-1F4B-D7BA-F15B16B3D588}"/>
                                </a:ext>
                              </a:extLst>
                            </xdr:cNvPr>
                            <xdr:cNvCxnSpPr>
                              <a:cxnSpLocks/>
                            </xdr:cNvCxnSpPr>
                          </xdr:nvCxnSpPr>
                          <xdr:spPr>
                            <a:xfrm flipV="1">
                              <a:off x="5104015" y="3134920"/>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32" name="Straight Connector 26285">
                              <a:extLst>
                                <a:ext uri="{FF2B5EF4-FFF2-40B4-BE49-F238E27FC236}">
                                  <a16:creationId xmlns:a16="http://schemas.microsoft.com/office/drawing/2014/main" id="{38A53240-62CE-F8C5-C847-76D01C5BF08B}"/>
                                </a:ext>
                              </a:extLst>
                            </xdr:cNvPr>
                            <xdr:cNvCxnSpPr>
                              <a:cxnSpLocks/>
                            </xdr:cNvCxnSpPr>
                          </xdr:nvCxnSpPr>
                          <xdr:spPr>
                            <a:xfrm flipH="1" flipV="1">
                              <a:off x="5082563" y="3171117"/>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4" name="Group 26267">
                            <a:extLst>
                              <a:ext uri="{FF2B5EF4-FFF2-40B4-BE49-F238E27FC236}">
                                <a16:creationId xmlns:a16="http://schemas.microsoft.com/office/drawing/2014/main" id="{4B015230-6129-4566-8A52-3667771FB1F8}"/>
                              </a:ext>
                            </a:extLst>
                          </xdr:cNvPr>
                          <xdr:cNvGrpSpPr/>
                        </xdr:nvGrpSpPr>
                        <xdr:grpSpPr>
                          <a:xfrm>
                            <a:off x="5339806" y="3661568"/>
                            <a:ext cx="43094" cy="48192"/>
                            <a:chOff x="5082563" y="3131410"/>
                            <a:chExt cx="43094" cy="68371"/>
                          </a:xfrm>
                        </xdr:grpSpPr>
                        <xdr:cxnSp macro="">
                          <xdr:nvCxnSpPr>
                            <xdr:cNvPr id="44227" name="Straight Connector 26280">
                              <a:extLst>
                                <a:ext uri="{FF2B5EF4-FFF2-40B4-BE49-F238E27FC236}">
                                  <a16:creationId xmlns:a16="http://schemas.microsoft.com/office/drawing/2014/main" id="{5F1E3795-0043-D3FB-CB45-FC6D40E342B4}"/>
                                </a:ext>
                              </a:extLst>
                            </xdr:cNvPr>
                            <xdr:cNvCxnSpPr>
                              <a:cxnSpLocks/>
                            </xdr:cNvCxnSpPr>
                          </xdr:nvCxnSpPr>
                          <xdr:spPr>
                            <a:xfrm flipV="1">
                              <a:off x="5104015" y="3139378"/>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8" name="Straight Connector 26281">
                              <a:extLst>
                                <a:ext uri="{FF2B5EF4-FFF2-40B4-BE49-F238E27FC236}">
                                  <a16:creationId xmlns:a16="http://schemas.microsoft.com/office/drawing/2014/main" id="{C700CE0C-687F-DD0E-1D8C-60B57483C9CE}"/>
                                </a:ext>
                              </a:extLst>
                            </xdr:cNvPr>
                            <xdr:cNvCxnSpPr>
                              <a:cxnSpLocks/>
                            </xdr:cNvCxnSpPr>
                          </xdr:nvCxnSpPr>
                          <xdr:spPr>
                            <a:xfrm flipV="1">
                              <a:off x="5100909" y="3131410"/>
                              <a:ext cx="24748"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9" name="Straight Connector 26282">
                              <a:extLst>
                                <a:ext uri="{FF2B5EF4-FFF2-40B4-BE49-F238E27FC236}">
                                  <a16:creationId xmlns:a16="http://schemas.microsoft.com/office/drawing/2014/main" id="{EF76EE8B-7B48-DE7D-7B70-7C9E60BC251F}"/>
                                </a:ext>
                              </a:extLst>
                            </xdr:cNvPr>
                            <xdr:cNvCxnSpPr>
                              <a:cxnSpLocks/>
                            </xdr:cNvCxnSpPr>
                          </xdr:nvCxnSpPr>
                          <xdr:spPr>
                            <a:xfrm flipH="1" flipV="1">
                              <a:off x="5082563" y="3166648"/>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5" name="Group 26268">
                            <a:extLst>
                              <a:ext uri="{FF2B5EF4-FFF2-40B4-BE49-F238E27FC236}">
                                <a16:creationId xmlns:a16="http://schemas.microsoft.com/office/drawing/2014/main" id="{F833C156-3617-2ED7-4F87-509950734554}"/>
                              </a:ext>
                            </a:extLst>
                          </xdr:cNvPr>
                          <xdr:cNvGrpSpPr/>
                        </xdr:nvGrpSpPr>
                        <xdr:grpSpPr>
                          <a:xfrm>
                            <a:off x="5364895" y="3648789"/>
                            <a:ext cx="43094" cy="77250"/>
                            <a:chOff x="5082563" y="3117021"/>
                            <a:chExt cx="43094" cy="109596"/>
                          </a:xfrm>
                        </xdr:grpSpPr>
                        <xdr:cxnSp macro="">
                          <xdr:nvCxnSpPr>
                            <xdr:cNvPr id="44224" name="Straight Connector 26277">
                              <a:extLst>
                                <a:ext uri="{FF2B5EF4-FFF2-40B4-BE49-F238E27FC236}">
                                  <a16:creationId xmlns:a16="http://schemas.microsoft.com/office/drawing/2014/main" id="{90127562-4F9F-E619-F2C5-F9298FF1B9DF}"/>
                                </a:ext>
                              </a:extLst>
                            </xdr:cNvPr>
                            <xdr:cNvCxnSpPr>
                              <a:cxnSpLocks/>
                            </xdr:cNvCxnSpPr>
                          </xdr:nvCxnSpPr>
                          <xdr:spPr>
                            <a:xfrm flipV="1">
                              <a:off x="5104015" y="3117021"/>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5" name="Straight Connector 26278">
                              <a:extLst>
                                <a:ext uri="{FF2B5EF4-FFF2-40B4-BE49-F238E27FC236}">
                                  <a16:creationId xmlns:a16="http://schemas.microsoft.com/office/drawing/2014/main" id="{1F051174-33B0-B32F-0B9B-A43BBDCDB0ED}"/>
                                </a:ext>
                              </a:extLst>
                            </xdr:cNvPr>
                            <xdr:cNvCxnSpPr>
                              <a:cxnSpLocks/>
                            </xdr:cNvCxnSpPr>
                          </xdr:nvCxnSpPr>
                          <xdr:spPr>
                            <a:xfrm flipV="1">
                              <a:off x="5100909" y="3198508"/>
                              <a:ext cx="24748" cy="28109"/>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6" name="Straight Connector 26279">
                              <a:extLst>
                                <a:ext uri="{FF2B5EF4-FFF2-40B4-BE49-F238E27FC236}">
                                  <a16:creationId xmlns:a16="http://schemas.microsoft.com/office/drawing/2014/main" id="{5BCC960C-77CF-454B-243E-DE7AB187EC0B}"/>
                                </a:ext>
                              </a:extLst>
                            </xdr:cNvPr>
                            <xdr:cNvCxnSpPr>
                              <a:cxnSpLocks/>
                            </xdr:cNvCxnSpPr>
                          </xdr:nvCxnSpPr>
                          <xdr:spPr>
                            <a:xfrm flipH="1" flipV="1">
                              <a:off x="5082563" y="3162162"/>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6" name="Group 26269">
                            <a:extLst>
                              <a:ext uri="{FF2B5EF4-FFF2-40B4-BE49-F238E27FC236}">
                                <a16:creationId xmlns:a16="http://schemas.microsoft.com/office/drawing/2014/main" id="{C9B015B1-4175-679E-849A-753D0CAC05A5}"/>
                              </a:ext>
                            </a:extLst>
                          </xdr:cNvPr>
                          <xdr:cNvGrpSpPr/>
                        </xdr:nvGrpSpPr>
                        <xdr:grpSpPr>
                          <a:xfrm>
                            <a:off x="5397352" y="3651333"/>
                            <a:ext cx="26078" cy="56461"/>
                            <a:chOff x="5099579" y="3121497"/>
                            <a:chExt cx="26078" cy="80107"/>
                          </a:xfrm>
                        </xdr:grpSpPr>
                        <xdr:cxnSp macro="">
                          <xdr:nvCxnSpPr>
                            <xdr:cNvPr id="44221" name="Straight Connector 26274">
                              <a:extLst>
                                <a:ext uri="{FF2B5EF4-FFF2-40B4-BE49-F238E27FC236}">
                                  <a16:creationId xmlns:a16="http://schemas.microsoft.com/office/drawing/2014/main" id="{D95E3A8B-ED8C-32AA-3BAC-24153E8151C0}"/>
                                </a:ext>
                              </a:extLst>
                            </xdr:cNvPr>
                            <xdr:cNvCxnSpPr>
                              <a:cxnSpLocks/>
                            </xdr:cNvCxnSpPr>
                          </xdr:nvCxnSpPr>
                          <xdr:spPr>
                            <a:xfrm flipV="1">
                              <a:off x="5104015" y="3121497"/>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2" name="Straight Connector 26275">
                              <a:extLst>
                                <a:ext uri="{FF2B5EF4-FFF2-40B4-BE49-F238E27FC236}">
                                  <a16:creationId xmlns:a16="http://schemas.microsoft.com/office/drawing/2014/main" id="{80B3D571-F7F6-5292-6347-D06D1034BFE1}"/>
                                </a:ext>
                              </a:extLst>
                            </xdr:cNvPr>
                            <xdr:cNvCxnSpPr>
                              <a:cxnSpLocks/>
                            </xdr:cNvCxnSpPr>
                          </xdr:nvCxnSpPr>
                          <xdr:spPr>
                            <a:xfrm flipV="1">
                              <a:off x="5100909" y="3162746"/>
                              <a:ext cx="24748"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3" name="Straight Connector 26276">
                              <a:extLst>
                                <a:ext uri="{FF2B5EF4-FFF2-40B4-BE49-F238E27FC236}">
                                  <a16:creationId xmlns:a16="http://schemas.microsoft.com/office/drawing/2014/main" id="{F77FE25B-E595-0F9E-CF34-1DB1AEAE370F}"/>
                                </a:ext>
                              </a:extLst>
                            </xdr:cNvPr>
                            <xdr:cNvCxnSpPr>
                              <a:cxnSpLocks/>
                            </xdr:cNvCxnSpPr>
                          </xdr:nvCxnSpPr>
                          <xdr:spPr>
                            <a:xfrm flipH="1">
                              <a:off x="5099579" y="3141647"/>
                              <a:ext cx="4888" cy="59957"/>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3" name="Group 26062">
                          <a:extLst>
                            <a:ext uri="{FF2B5EF4-FFF2-40B4-BE49-F238E27FC236}">
                              <a16:creationId xmlns:a16="http://schemas.microsoft.com/office/drawing/2014/main" id="{1AF7D60C-5762-9DEC-6F55-170B3E3161D3}"/>
                            </a:ext>
                          </a:extLst>
                        </xdr:cNvPr>
                        <xdr:cNvGrpSpPr/>
                      </xdr:nvGrpSpPr>
                      <xdr:grpSpPr>
                        <a:xfrm>
                          <a:off x="9793225" y="12300767"/>
                          <a:ext cx="133214" cy="50618"/>
                          <a:chOff x="5315884" y="3396043"/>
                          <a:chExt cx="133214" cy="50618"/>
                        </a:xfrm>
                      </xdr:grpSpPr>
                      <xdr:grpSp>
                        <xdr:nvGrpSpPr>
                          <xdr:cNvPr id="44193" name="Group 26246">
                            <a:extLst>
                              <a:ext uri="{FF2B5EF4-FFF2-40B4-BE49-F238E27FC236}">
                                <a16:creationId xmlns:a16="http://schemas.microsoft.com/office/drawing/2014/main" id="{4FE36824-86D2-C1D6-492A-3752899CCFB5}"/>
                              </a:ext>
                            </a:extLst>
                          </xdr:cNvPr>
                          <xdr:cNvGrpSpPr/>
                        </xdr:nvGrpSpPr>
                        <xdr:grpSpPr>
                          <a:xfrm>
                            <a:off x="5315884" y="3400942"/>
                            <a:ext cx="43094" cy="45719"/>
                            <a:chOff x="5082563" y="2759244"/>
                            <a:chExt cx="43094" cy="64865"/>
                          </a:xfrm>
                        </xdr:grpSpPr>
                        <xdr:cxnSp macro="">
                          <xdr:nvCxnSpPr>
                            <xdr:cNvPr id="44210" name="Straight Connector 26263">
                              <a:extLst>
                                <a:ext uri="{FF2B5EF4-FFF2-40B4-BE49-F238E27FC236}">
                                  <a16:creationId xmlns:a16="http://schemas.microsoft.com/office/drawing/2014/main" id="{62D4E75E-C907-CF20-7BFB-EE5E5357EFF7}"/>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11" name="Straight Connector 26264">
                              <a:extLst>
                                <a:ext uri="{FF2B5EF4-FFF2-40B4-BE49-F238E27FC236}">
                                  <a16:creationId xmlns:a16="http://schemas.microsoft.com/office/drawing/2014/main" id="{EAA25F18-F51C-7356-0A10-8E1E28B3913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12" name="Straight Connector 26265">
                              <a:extLst>
                                <a:ext uri="{FF2B5EF4-FFF2-40B4-BE49-F238E27FC236}">
                                  <a16:creationId xmlns:a16="http://schemas.microsoft.com/office/drawing/2014/main" id="{824CDCDC-CBC0-5872-EBD2-21DB57E7984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4" name="Group 26247">
                            <a:extLst>
                              <a:ext uri="{FF2B5EF4-FFF2-40B4-BE49-F238E27FC236}">
                                <a16:creationId xmlns:a16="http://schemas.microsoft.com/office/drawing/2014/main" id="{CE1D14B2-BD6C-6787-C6BC-2EE81B1DAC82}"/>
                              </a:ext>
                            </a:extLst>
                          </xdr:cNvPr>
                          <xdr:cNvGrpSpPr/>
                        </xdr:nvGrpSpPr>
                        <xdr:grpSpPr>
                          <a:xfrm>
                            <a:off x="5339806" y="3399172"/>
                            <a:ext cx="43094" cy="45719"/>
                            <a:chOff x="5082563" y="2759244"/>
                            <a:chExt cx="43094" cy="64865"/>
                          </a:xfrm>
                        </xdr:grpSpPr>
                        <xdr:cxnSp macro="">
                          <xdr:nvCxnSpPr>
                            <xdr:cNvPr id="44207" name="Straight Connector 26260">
                              <a:extLst>
                                <a:ext uri="{FF2B5EF4-FFF2-40B4-BE49-F238E27FC236}">
                                  <a16:creationId xmlns:a16="http://schemas.microsoft.com/office/drawing/2014/main" id="{DB127190-BB9B-973A-5C6F-6AD7789A6F1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8" name="Straight Connector 26261">
                              <a:extLst>
                                <a:ext uri="{FF2B5EF4-FFF2-40B4-BE49-F238E27FC236}">
                                  <a16:creationId xmlns:a16="http://schemas.microsoft.com/office/drawing/2014/main" id="{40CB09CF-866F-81C1-9A66-0C432DAF101A}"/>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9" name="Straight Connector 26262">
                              <a:extLst>
                                <a:ext uri="{FF2B5EF4-FFF2-40B4-BE49-F238E27FC236}">
                                  <a16:creationId xmlns:a16="http://schemas.microsoft.com/office/drawing/2014/main" id="{FC5B1341-179D-180F-3A5F-72EBFF1FE77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5" name="Group 26248">
                            <a:extLst>
                              <a:ext uri="{FF2B5EF4-FFF2-40B4-BE49-F238E27FC236}">
                                <a16:creationId xmlns:a16="http://schemas.microsoft.com/office/drawing/2014/main" id="{1DCBFFE9-2CE5-5DD1-632A-DFB3E8F004BC}"/>
                              </a:ext>
                            </a:extLst>
                          </xdr:cNvPr>
                          <xdr:cNvGrpSpPr/>
                        </xdr:nvGrpSpPr>
                        <xdr:grpSpPr>
                          <a:xfrm>
                            <a:off x="5364895" y="3396537"/>
                            <a:ext cx="43094" cy="45719"/>
                            <a:chOff x="5082563" y="2759244"/>
                            <a:chExt cx="43094" cy="64865"/>
                          </a:xfrm>
                        </xdr:grpSpPr>
                        <xdr:cxnSp macro="">
                          <xdr:nvCxnSpPr>
                            <xdr:cNvPr id="44204" name="Straight Connector 26257">
                              <a:extLst>
                                <a:ext uri="{FF2B5EF4-FFF2-40B4-BE49-F238E27FC236}">
                                  <a16:creationId xmlns:a16="http://schemas.microsoft.com/office/drawing/2014/main" id="{C088DB60-78E5-E740-77A7-1FD3334A17A6}"/>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5" name="Straight Connector 26258">
                              <a:extLst>
                                <a:ext uri="{FF2B5EF4-FFF2-40B4-BE49-F238E27FC236}">
                                  <a16:creationId xmlns:a16="http://schemas.microsoft.com/office/drawing/2014/main" id="{098FE180-BF01-31A5-B3AA-FE603663A7D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6" name="Straight Connector 26259">
                              <a:extLst>
                                <a:ext uri="{FF2B5EF4-FFF2-40B4-BE49-F238E27FC236}">
                                  <a16:creationId xmlns:a16="http://schemas.microsoft.com/office/drawing/2014/main" id="{9EAEF651-3F0A-6E44-B479-0FC7BEECC311}"/>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6" name="Group 26249">
                            <a:extLst>
                              <a:ext uri="{FF2B5EF4-FFF2-40B4-BE49-F238E27FC236}">
                                <a16:creationId xmlns:a16="http://schemas.microsoft.com/office/drawing/2014/main" id="{5B32BCFF-DA56-F7D6-DA34-D91636928FC0}"/>
                              </a:ext>
                            </a:extLst>
                          </xdr:cNvPr>
                          <xdr:cNvGrpSpPr/>
                        </xdr:nvGrpSpPr>
                        <xdr:grpSpPr>
                          <a:xfrm>
                            <a:off x="5380336" y="3396043"/>
                            <a:ext cx="43094" cy="45719"/>
                            <a:chOff x="5082563" y="2759244"/>
                            <a:chExt cx="43094" cy="64865"/>
                          </a:xfrm>
                        </xdr:grpSpPr>
                        <xdr:cxnSp macro="">
                          <xdr:nvCxnSpPr>
                            <xdr:cNvPr id="44201" name="Straight Connector 26254">
                              <a:extLst>
                                <a:ext uri="{FF2B5EF4-FFF2-40B4-BE49-F238E27FC236}">
                                  <a16:creationId xmlns:a16="http://schemas.microsoft.com/office/drawing/2014/main" id="{BB242380-1E1D-DD01-AAAC-28B5F883341E}"/>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2" name="Straight Connector 26255">
                              <a:extLst>
                                <a:ext uri="{FF2B5EF4-FFF2-40B4-BE49-F238E27FC236}">
                                  <a16:creationId xmlns:a16="http://schemas.microsoft.com/office/drawing/2014/main" id="{002ACE94-379A-88CD-9520-31A6B3AC64D9}"/>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3" name="Straight Connector 26256">
                              <a:extLst>
                                <a:ext uri="{FF2B5EF4-FFF2-40B4-BE49-F238E27FC236}">
                                  <a16:creationId xmlns:a16="http://schemas.microsoft.com/office/drawing/2014/main" id="{3DBF3BE3-2153-6ABE-9549-4ACA38E777C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7" name="Group 26250">
                            <a:extLst>
                              <a:ext uri="{FF2B5EF4-FFF2-40B4-BE49-F238E27FC236}">
                                <a16:creationId xmlns:a16="http://schemas.microsoft.com/office/drawing/2014/main" id="{9744A509-CDDF-C949-09DA-106D7B62C1FF}"/>
                              </a:ext>
                            </a:extLst>
                          </xdr:cNvPr>
                          <xdr:cNvGrpSpPr/>
                        </xdr:nvGrpSpPr>
                        <xdr:grpSpPr>
                          <a:xfrm>
                            <a:off x="5406004" y="3399172"/>
                            <a:ext cx="43094" cy="45719"/>
                            <a:chOff x="5082563" y="2759244"/>
                            <a:chExt cx="43094" cy="64865"/>
                          </a:xfrm>
                        </xdr:grpSpPr>
                        <xdr:cxnSp macro="">
                          <xdr:nvCxnSpPr>
                            <xdr:cNvPr id="44198" name="Straight Connector 26251">
                              <a:extLst>
                                <a:ext uri="{FF2B5EF4-FFF2-40B4-BE49-F238E27FC236}">
                                  <a16:creationId xmlns:a16="http://schemas.microsoft.com/office/drawing/2014/main" id="{411F5432-2FD9-36A9-0F69-8679EF66D7FB}"/>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9" name="Straight Connector 26252">
                              <a:extLst>
                                <a:ext uri="{FF2B5EF4-FFF2-40B4-BE49-F238E27FC236}">
                                  <a16:creationId xmlns:a16="http://schemas.microsoft.com/office/drawing/2014/main" id="{D4249379-0BFA-0D9F-F94B-481421966D1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0" name="Straight Connector 26253">
                              <a:extLst>
                                <a:ext uri="{FF2B5EF4-FFF2-40B4-BE49-F238E27FC236}">
                                  <a16:creationId xmlns:a16="http://schemas.microsoft.com/office/drawing/2014/main" id="{5513949D-8A67-0A43-DBFE-D5DB10077CB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4" name="Group 26063">
                          <a:extLst>
                            <a:ext uri="{FF2B5EF4-FFF2-40B4-BE49-F238E27FC236}">
                              <a16:creationId xmlns:a16="http://schemas.microsoft.com/office/drawing/2014/main" id="{97C4E844-BB26-AC56-C1AF-9B170693CFC6}"/>
                            </a:ext>
                          </a:extLst>
                        </xdr:cNvPr>
                        <xdr:cNvGrpSpPr/>
                      </xdr:nvGrpSpPr>
                      <xdr:grpSpPr>
                        <a:xfrm>
                          <a:off x="11919487" y="11690934"/>
                          <a:ext cx="133214" cy="82290"/>
                          <a:chOff x="5315884" y="3522399"/>
                          <a:chExt cx="133214" cy="82290"/>
                        </a:xfrm>
                      </xdr:grpSpPr>
                      <xdr:grpSp>
                        <xdr:nvGrpSpPr>
                          <xdr:cNvPr id="44173" name="Group 26226">
                            <a:extLst>
                              <a:ext uri="{FF2B5EF4-FFF2-40B4-BE49-F238E27FC236}">
                                <a16:creationId xmlns:a16="http://schemas.microsoft.com/office/drawing/2014/main" id="{54A295E7-92AF-9A7C-E2FD-2DD8FC364C29}"/>
                              </a:ext>
                            </a:extLst>
                          </xdr:cNvPr>
                          <xdr:cNvGrpSpPr/>
                        </xdr:nvGrpSpPr>
                        <xdr:grpSpPr>
                          <a:xfrm>
                            <a:off x="5315884" y="3555784"/>
                            <a:ext cx="78323" cy="48905"/>
                            <a:chOff x="5082563" y="2978965"/>
                            <a:chExt cx="78323" cy="69386"/>
                          </a:xfrm>
                        </xdr:grpSpPr>
                        <xdr:cxnSp macro="">
                          <xdr:nvCxnSpPr>
                            <xdr:cNvPr id="44190" name="Straight Connector 26243">
                              <a:extLst>
                                <a:ext uri="{FF2B5EF4-FFF2-40B4-BE49-F238E27FC236}">
                                  <a16:creationId xmlns:a16="http://schemas.microsoft.com/office/drawing/2014/main" id="{9674ECA0-FC0A-6D82-7A39-ED41CF9614CE}"/>
                                </a:ext>
                              </a:extLst>
                            </xdr:cNvPr>
                            <xdr:cNvCxnSpPr>
                              <a:cxnSpLocks/>
                            </xdr:cNvCxnSpPr>
                          </xdr:nvCxnSpPr>
                          <xdr:spPr>
                            <a:xfrm flipV="1">
                              <a:off x="5104015" y="2990959"/>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1" name="Straight Connector 26244">
                              <a:extLst>
                                <a:ext uri="{FF2B5EF4-FFF2-40B4-BE49-F238E27FC236}">
                                  <a16:creationId xmlns:a16="http://schemas.microsoft.com/office/drawing/2014/main" id="{ED45EF87-8EAE-388F-7F9E-290482D39CE7}"/>
                                </a:ext>
                              </a:extLst>
                            </xdr:cNvPr>
                            <xdr:cNvCxnSpPr>
                              <a:cxnSpLocks/>
                            </xdr:cNvCxnSpPr>
                          </xdr:nvCxnSpPr>
                          <xdr:spPr>
                            <a:xfrm flipV="1">
                              <a:off x="5136135" y="2979626"/>
                              <a:ext cx="24751" cy="28114"/>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2" name="Straight Connector 26245">
                              <a:extLst>
                                <a:ext uri="{FF2B5EF4-FFF2-40B4-BE49-F238E27FC236}">
                                  <a16:creationId xmlns:a16="http://schemas.microsoft.com/office/drawing/2014/main" id="{553B2AAD-DE51-DB68-3D92-02B23E98BC61}"/>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4" name="Group 26227">
                            <a:extLst>
                              <a:ext uri="{FF2B5EF4-FFF2-40B4-BE49-F238E27FC236}">
                                <a16:creationId xmlns:a16="http://schemas.microsoft.com/office/drawing/2014/main" id="{14CD0147-D0C8-2B4F-AF4F-DF5C3670A8E0}"/>
                              </a:ext>
                            </a:extLst>
                          </xdr:cNvPr>
                          <xdr:cNvGrpSpPr/>
                        </xdr:nvGrpSpPr>
                        <xdr:grpSpPr>
                          <a:xfrm>
                            <a:off x="5339806" y="3540859"/>
                            <a:ext cx="43094" cy="40450"/>
                            <a:chOff x="5082563" y="2960350"/>
                            <a:chExt cx="43094" cy="57391"/>
                          </a:xfrm>
                        </xdr:grpSpPr>
                        <xdr:cxnSp macro="">
                          <xdr:nvCxnSpPr>
                            <xdr:cNvPr id="44187" name="Straight Connector 26240">
                              <a:extLst>
                                <a:ext uri="{FF2B5EF4-FFF2-40B4-BE49-F238E27FC236}">
                                  <a16:creationId xmlns:a16="http://schemas.microsoft.com/office/drawing/2014/main" id="{1B0CA362-8975-3766-28D5-23563110B25A}"/>
                                </a:ext>
                              </a:extLst>
                            </xdr:cNvPr>
                            <xdr:cNvCxnSpPr>
                              <a:cxnSpLocks/>
                            </xdr:cNvCxnSpPr>
                          </xdr:nvCxnSpPr>
                          <xdr:spPr>
                            <a:xfrm flipV="1">
                              <a:off x="5104015" y="2960350"/>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8" name="Straight Connector 26241">
                              <a:extLst>
                                <a:ext uri="{FF2B5EF4-FFF2-40B4-BE49-F238E27FC236}">
                                  <a16:creationId xmlns:a16="http://schemas.microsoft.com/office/drawing/2014/main" id="{EDBF582A-BC23-52DD-5511-19B7CE0E22C6}"/>
                                </a:ext>
                              </a:extLst>
                            </xdr:cNvPr>
                            <xdr:cNvCxnSpPr>
                              <a:cxnSpLocks/>
                            </xdr:cNvCxnSpPr>
                          </xdr:nvCxnSpPr>
                          <xdr:spPr>
                            <a:xfrm flipV="1">
                              <a:off x="5100907" y="2988365"/>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9" name="Straight Connector 26242">
                              <a:extLst>
                                <a:ext uri="{FF2B5EF4-FFF2-40B4-BE49-F238E27FC236}">
                                  <a16:creationId xmlns:a16="http://schemas.microsoft.com/office/drawing/2014/main" id="{94F6A9CB-46EE-B620-DAF8-BD582CFA089C}"/>
                                </a:ext>
                              </a:extLst>
                            </xdr:cNvPr>
                            <xdr:cNvCxnSpPr>
                              <a:cxnSpLocks/>
                            </xdr:cNvCxnSpPr>
                          </xdr:nvCxnSpPr>
                          <xdr:spPr>
                            <a:xfrm flipH="1" flipV="1">
                              <a:off x="5082563" y="2974592"/>
                              <a:ext cx="21904" cy="3313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5" name="Group 26228">
                            <a:extLst>
                              <a:ext uri="{FF2B5EF4-FFF2-40B4-BE49-F238E27FC236}">
                                <a16:creationId xmlns:a16="http://schemas.microsoft.com/office/drawing/2014/main" id="{DBDF993B-1EA9-53C9-0948-A70EB15854CC}"/>
                              </a:ext>
                            </a:extLst>
                          </xdr:cNvPr>
                          <xdr:cNvGrpSpPr/>
                        </xdr:nvGrpSpPr>
                        <xdr:grpSpPr>
                          <a:xfrm>
                            <a:off x="5364895" y="3525912"/>
                            <a:ext cx="43094" cy="45725"/>
                            <a:chOff x="5082563" y="2942866"/>
                            <a:chExt cx="43094" cy="64875"/>
                          </a:xfrm>
                        </xdr:grpSpPr>
                        <xdr:cxnSp macro="">
                          <xdr:nvCxnSpPr>
                            <xdr:cNvPr id="44184" name="Straight Connector 26237">
                              <a:extLst>
                                <a:ext uri="{FF2B5EF4-FFF2-40B4-BE49-F238E27FC236}">
                                  <a16:creationId xmlns:a16="http://schemas.microsoft.com/office/drawing/2014/main" id="{0CC9E709-E7C7-C56B-A06E-AC866FA689D4}"/>
                                </a:ext>
                              </a:extLst>
                            </xdr:cNvPr>
                            <xdr:cNvCxnSpPr>
                              <a:cxnSpLocks/>
                            </xdr:cNvCxnSpPr>
                          </xdr:nvCxnSpPr>
                          <xdr:spPr>
                            <a:xfrm flipV="1">
                              <a:off x="5104015" y="2942866"/>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5" name="Straight Connector 26238">
                              <a:extLst>
                                <a:ext uri="{FF2B5EF4-FFF2-40B4-BE49-F238E27FC236}">
                                  <a16:creationId xmlns:a16="http://schemas.microsoft.com/office/drawing/2014/main" id="{F43A5EED-1BD5-5FC8-F510-4A61AE0795CD}"/>
                                </a:ext>
                              </a:extLst>
                            </xdr:cNvPr>
                            <xdr:cNvCxnSpPr>
                              <a:cxnSpLocks/>
                            </xdr:cNvCxnSpPr>
                          </xdr:nvCxnSpPr>
                          <xdr:spPr>
                            <a:xfrm flipV="1">
                              <a:off x="5100907" y="2979626"/>
                              <a:ext cx="24750" cy="28115"/>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6" name="Straight Connector 26239">
                              <a:extLst>
                                <a:ext uri="{FF2B5EF4-FFF2-40B4-BE49-F238E27FC236}">
                                  <a16:creationId xmlns:a16="http://schemas.microsoft.com/office/drawing/2014/main" id="{DEF58DFC-2890-3AAB-910B-8946A2C96967}"/>
                                </a:ext>
                              </a:extLst>
                            </xdr:cNvPr>
                            <xdr:cNvCxnSpPr>
                              <a:cxnSpLocks/>
                            </xdr:cNvCxnSpPr>
                          </xdr:nvCxnSpPr>
                          <xdr:spPr>
                            <a:xfrm flipH="1" flipV="1">
                              <a:off x="5082563" y="2965864"/>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6" name="Group 26229">
                            <a:extLst>
                              <a:ext uri="{FF2B5EF4-FFF2-40B4-BE49-F238E27FC236}">
                                <a16:creationId xmlns:a16="http://schemas.microsoft.com/office/drawing/2014/main" id="{C958CC68-EEEB-06B0-8355-518065B88C99}"/>
                              </a:ext>
                            </a:extLst>
                          </xdr:cNvPr>
                          <xdr:cNvGrpSpPr/>
                        </xdr:nvGrpSpPr>
                        <xdr:grpSpPr>
                          <a:xfrm>
                            <a:off x="5380336" y="3539014"/>
                            <a:ext cx="43094" cy="60767"/>
                            <a:chOff x="5082563" y="2962136"/>
                            <a:chExt cx="43094" cy="86216"/>
                          </a:xfrm>
                        </xdr:grpSpPr>
                        <xdr:cxnSp macro="">
                          <xdr:nvCxnSpPr>
                            <xdr:cNvPr id="44181" name="Straight Connector 26234">
                              <a:extLst>
                                <a:ext uri="{FF2B5EF4-FFF2-40B4-BE49-F238E27FC236}">
                                  <a16:creationId xmlns:a16="http://schemas.microsoft.com/office/drawing/2014/main" id="{8CA29F58-FC88-F806-75F6-7CF40F1CB347}"/>
                                </a:ext>
                              </a:extLst>
                            </xdr:cNvPr>
                            <xdr:cNvCxnSpPr>
                              <a:cxnSpLocks/>
                            </xdr:cNvCxnSpPr>
                          </xdr:nvCxnSpPr>
                          <xdr:spPr>
                            <a:xfrm flipV="1">
                              <a:off x="5104015" y="2990960"/>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2" name="Straight Connector 26235">
                              <a:extLst>
                                <a:ext uri="{FF2B5EF4-FFF2-40B4-BE49-F238E27FC236}">
                                  <a16:creationId xmlns:a16="http://schemas.microsoft.com/office/drawing/2014/main" id="{B2580D23-15BF-F624-22BE-262D3E8584D2}"/>
                                </a:ext>
                              </a:extLst>
                            </xdr:cNvPr>
                            <xdr:cNvCxnSpPr>
                              <a:cxnSpLocks/>
                            </xdr:cNvCxnSpPr>
                          </xdr:nvCxnSpPr>
                          <xdr:spPr>
                            <a:xfrm flipV="1">
                              <a:off x="5100907" y="2962136"/>
                              <a:ext cx="24750"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3" name="Straight Connector 26236">
                              <a:extLst>
                                <a:ext uri="{FF2B5EF4-FFF2-40B4-BE49-F238E27FC236}">
                                  <a16:creationId xmlns:a16="http://schemas.microsoft.com/office/drawing/2014/main" id="{374D537B-D0C2-630A-E2BE-E2BC3156542D}"/>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7" name="Group 26230">
                            <a:extLst>
                              <a:ext uri="{FF2B5EF4-FFF2-40B4-BE49-F238E27FC236}">
                                <a16:creationId xmlns:a16="http://schemas.microsoft.com/office/drawing/2014/main" id="{4BBF3F6E-1BB9-BCB9-34FE-06C4462669D4}"/>
                              </a:ext>
                            </a:extLst>
                          </xdr:cNvPr>
                          <xdr:cNvGrpSpPr/>
                        </xdr:nvGrpSpPr>
                        <xdr:grpSpPr>
                          <a:xfrm>
                            <a:off x="5406004" y="3522399"/>
                            <a:ext cx="43094" cy="54955"/>
                            <a:chOff x="5082563" y="2934124"/>
                            <a:chExt cx="43094" cy="77970"/>
                          </a:xfrm>
                        </xdr:grpSpPr>
                        <xdr:cxnSp macro="">
                          <xdr:nvCxnSpPr>
                            <xdr:cNvPr id="44178" name="Straight Connector 26231">
                              <a:extLst>
                                <a:ext uri="{FF2B5EF4-FFF2-40B4-BE49-F238E27FC236}">
                                  <a16:creationId xmlns:a16="http://schemas.microsoft.com/office/drawing/2014/main" id="{99D8A8A7-D6E1-B1C9-D928-6F28F5D6EC26}"/>
                                </a:ext>
                              </a:extLst>
                            </xdr:cNvPr>
                            <xdr:cNvCxnSpPr>
                              <a:cxnSpLocks/>
                            </xdr:cNvCxnSpPr>
                          </xdr:nvCxnSpPr>
                          <xdr:spPr>
                            <a:xfrm flipV="1">
                              <a:off x="5104015" y="2934124"/>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9" name="Straight Connector 26232">
                              <a:extLst>
                                <a:ext uri="{FF2B5EF4-FFF2-40B4-BE49-F238E27FC236}">
                                  <a16:creationId xmlns:a16="http://schemas.microsoft.com/office/drawing/2014/main" id="{E2BF5C1C-D80F-6161-620F-0D2959DF992D}"/>
                                </a:ext>
                              </a:extLst>
                            </xdr:cNvPr>
                            <xdr:cNvCxnSpPr>
                              <a:cxnSpLocks/>
                            </xdr:cNvCxnSpPr>
                          </xdr:nvCxnSpPr>
                          <xdr:spPr>
                            <a:xfrm flipV="1">
                              <a:off x="5100907" y="2983983"/>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0" name="Straight Connector 26233">
                              <a:extLst>
                                <a:ext uri="{FF2B5EF4-FFF2-40B4-BE49-F238E27FC236}">
                                  <a16:creationId xmlns:a16="http://schemas.microsoft.com/office/drawing/2014/main" id="{470127E5-9562-14A3-2387-E8F3508CCC82}"/>
                                </a:ext>
                              </a:extLst>
                            </xdr:cNvPr>
                            <xdr:cNvCxnSpPr>
                              <a:cxnSpLocks/>
                            </xdr:cNvCxnSpPr>
                          </xdr:nvCxnSpPr>
                          <xdr:spPr>
                            <a:xfrm flipH="1" flipV="1">
                              <a:off x="5082563" y="2974589"/>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5" name="Group 26064">
                          <a:extLst>
                            <a:ext uri="{FF2B5EF4-FFF2-40B4-BE49-F238E27FC236}">
                              <a16:creationId xmlns:a16="http://schemas.microsoft.com/office/drawing/2014/main" id="{AB0A1494-423B-D4FD-21C9-56FEFEA43C90}"/>
                            </a:ext>
                          </a:extLst>
                        </xdr:cNvPr>
                        <xdr:cNvGrpSpPr/>
                      </xdr:nvGrpSpPr>
                      <xdr:grpSpPr>
                        <a:xfrm>
                          <a:off x="9172513" y="11895503"/>
                          <a:ext cx="133214" cy="50618"/>
                          <a:chOff x="5315884" y="3396043"/>
                          <a:chExt cx="133214" cy="50618"/>
                        </a:xfrm>
                      </xdr:grpSpPr>
                      <xdr:grpSp>
                        <xdr:nvGrpSpPr>
                          <xdr:cNvPr id="44153" name="Group 26206">
                            <a:extLst>
                              <a:ext uri="{FF2B5EF4-FFF2-40B4-BE49-F238E27FC236}">
                                <a16:creationId xmlns:a16="http://schemas.microsoft.com/office/drawing/2014/main" id="{C15C64D1-EB2E-7CEF-1E29-3F00191C17CA}"/>
                              </a:ext>
                            </a:extLst>
                          </xdr:cNvPr>
                          <xdr:cNvGrpSpPr/>
                        </xdr:nvGrpSpPr>
                        <xdr:grpSpPr>
                          <a:xfrm>
                            <a:off x="5315884" y="3400942"/>
                            <a:ext cx="43094" cy="45719"/>
                            <a:chOff x="5082563" y="2759244"/>
                            <a:chExt cx="43094" cy="64865"/>
                          </a:xfrm>
                        </xdr:grpSpPr>
                        <xdr:cxnSp macro="">
                          <xdr:nvCxnSpPr>
                            <xdr:cNvPr id="44170" name="Straight Connector 26223">
                              <a:extLst>
                                <a:ext uri="{FF2B5EF4-FFF2-40B4-BE49-F238E27FC236}">
                                  <a16:creationId xmlns:a16="http://schemas.microsoft.com/office/drawing/2014/main" id="{665F5C54-BEF5-5DFE-FA22-D1955A5D268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1" name="Straight Connector 26224">
                              <a:extLst>
                                <a:ext uri="{FF2B5EF4-FFF2-40B4-BE49-F238E27FC236}">
                                  <a16:creationId xmlns:a16="http://schemas.microsoft.com/office/drawing/2014/main" id="{33DD3227-9BF0-674E-7DC3-2992E9B89124}"/>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2" name="Straight Connector 26225">
                              <a:extLst>
                                <a:ext uri="{FF2B5EF4-FFF2-40B4-BE49-F238E27FC236}">
                                  <a16:creationId xmlns:a16="http://schemas.microsoft.com/office/drawing/2014/main" id="{30B6AD7C-5691-5B2B-3339-EEAA0931114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4" name="Group 26207">
                            <a:extLst>
                              <a:ext uri="{FF2B5EF4-FFF2-40B4-BE49-F238E27FC236}">
                                <a16:creationId xmlns:a16="http://schemas.microsoft.com/office/drawing/2014/main" id="{90A61B9F-4F59-A050-BD75-B3738F131C2D}"/>
                              </a:ext>
                            </a:extLst>
                          </xdr:cNvPr>
                          <xdr:cNvGrpSpPr/>
                        </xdr:nvGrpSpPr>
                        <xdr:grpSpPr>
                          <a:xfrm>
                            <a:off x="5339806" y="3399172"/>
                            <a:ext cx="43094" cy="45719"/>
                            <a:chOff x="5082563" y="2759244"/>
                            <a:chExt cx="43094" cy="64865"/>
                          </a:xfrm>
                        </xdr:grpSpPr>
                        <xdr:cxnSp macro="">
                          <xdr:nvCxnSpPr>
                            <xdr:cNvPr id="44167" name="Straight Connector 26220">
                              <a:extLst>
                                <a:ext uri="{FF2B5EF4-FFF2-40B4-BE49-F238E27FC236}">
                                  <a16:creationId xmlns:a16="http://schemas.microsoft.com/office/drawing/2014/main" id="{E051FAD9-0EFE-DE1E-1E71-CEA88DBBBFFB}"/>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8" name="Straight Connector 26221">
                              <a:extLst>
                                <a:ext uri="{FF2B5EF4-FFF2-40B4-BE49-F238E27FC236}">
                                  <a16:creationId xmlns:a16="http://schemas.microsoft.com/office/drawing/2014/main" id="{2C78F189-C5A2-5BDC-A6DD-49C53669976D}"/>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9" name="Straight Connector 26222">
                              <a:extLst>
                                <a:ext uri="{FF2B5EF4-FFF2-40B4-BE49-F238E27FC236}">
                                  <a16:creationId xmlns:a16="http://schemas.microsoft.com/office/drawing/2014/main" id="{095E718C-A58B-E47B-561D-EAA286DB456D}"/>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5" name="Group 26208">
                            <a:extLst>
                              <a:ext uri="{FF2B5EF4-FFF2-40B4-BE49-F238E27FC236}">
                                <a16:creationId xmlns:a16="http://schemas.microsoft.com/office/drawing/2014/main" id="{1909F6EA-E4B1-0D53-F80B-E3465A148254}"/>
                              </a:ext>
                            </a:extLst>
                          </xdr:cNvPr>
                          <xdr:cNvGrpSpPr/>
                        </xdr:nvGrpSpPr>
                        <xdr:grpSpPr>
                          <a:xfrm>
                            <a:off x="5364895" y="3396537"/>
                            <a:ext cx="43094" cy="45719"/>
                            <a:chOff x="5082563" y="2759244"/>
                            <a:chExt cx="43094" cy="64865"/>
                          </a:xfrm>
                        </xdr:grpSpPr>
                        <xdr:cxnSp macro="">
                          <xdr:nvCxnSpPr>
                            <xdr:cNvPr id="44164" name="Straight Connector 26217">
                              <a:extLst>
                                <a:ext uri="{FF2B5EF4-FFF2-40B4-BE49-F238E27FC236}">
                                  <a16:creationId xmlns:a16="http://schemas.microsoft.com/office/drawing/2014/main" id="{36012210-5C90-CA95-C387-0DFBFEF11B09}"/>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5" name="Straight Connector 26218">
                              <a:extLst>
                                <a:ext uri="{FF2B5EF4-FFF2-40B4-BE49-F238E27FC236}">
                                  <a16:creationId xmlns:a16="http://schemas.microsoft.com/office/drawing/2014/main" id="{89ED8C6A-A31C-5A2E-22B4-EA3EC8D4344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6" name="Straight Connector 26219">
                              <a:extLst>
                                <a:ext uri="{FF2B5EF4-FFF2-40B4-BE49-F238E27FC236}">
                                  <a16:creationId xmlns:a16="http://schemas.microsoft.com/office/drawing/2014/main" id="{CE9A9313-8BDD-B9F3-814F-D7421DE29F2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6" name="Group 26209">
                            <a:extLst>
                              <a:ext uri="{FF2B5EF4-FFF2-40B4-BE49-F238E27FC236}">
                                <a16:creationId xmlns:a16="http://schemas.microsoft.com/office/drawing/2014/main" id="{A330A578-7788-39C8-3618-60055E48C374}"/>
                              </a:ext>
                            </a:extLst>
                          </xdr:cNvPr>
                          <xdr:cNvGrpSpPr/>
                        </xdr:nvGrpSpPr>
                        <xdr:grpSpPr>
                          <a:xfrm>
                            <a:off x="5380336" y="3396043"/>
                            <a:ext cx="43094" cy="45719"/>
                            <a:chOff x="5082563" y="2759244"/>
                            <a:chExt cx="43094" cy="64865"/>
                          </a:xfrm>
                        </xdr:grpSpPr>
                        <xdr:cxnSp macro="">
                          <xdr:nvCxnSpPr>
                            <xdr:cNvPr id="44161" name="Straight Connector 26214">
                              <a:extLst>
                                <a:ext uri="{FF2B5EF4-FFF2-40B4-BE49-F238E27FC236}">
                                  <a16:creationId xmlns:a16="http://schemas.microsoft.com/office/drawing/2014/main" id="{C44133F8-A28C-65BC-BDE6-FCBD381376A3}"/>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2" name="Straight Connector 26215">
                              <a:extLst>
                                <a:ext uri="{FF2B5EF4-FFF2-40B4-BE49-F238E27FC236}">
                                  <a16:creationId xmlns:a16="http://schemas.microsoft.com/office/drawing/2014/main" id="{6281DF65-1E5C-57FA-8066-CA6DA128F29E}"/>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3" name="Straight Connector 26216">
                              <a:extLst>
                                <a:ext uri="{FF2B5EF4-FFF2-40B4-BE49-F238E27FC236}">
                                  <a16:creationId xmlns:a16="http://schemas.microsoft.com/office/drawing/2014/main" id="{4E94AB6F-F50C-2864-1414-4ABF23C4A5C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7" name="Group 26210">
                            <a:extLst>
                              <a:ext uri="{FF2B5EF4-FFF2-40B4-BE49-F238E27FC236}">
                                <a16:creationId xmlns:a16="http://schemas.microsoft.com/office/drawing/2014/main" id="{78CAFD3E-F329-7134-4F7C-951284CA1ED8}"/>
                              </a:ext>
                            </a:extLst>
                          </xdr:cNvPr>
                          <xdr:cNvGrpSpPr/>
                        </xdr:nvGrpSpPr>
                        <xdr:grpSpPr>
                          <a:xfrm>
                            <a:off x="5406004" y="3399172"/>
                            <a:ext cx="43094" cy="45719"/>
                            <a:chOff x="5082563" y="2759244"/>
                            <a:chExt cx="43094" cy="64865"/>
                          </a:xfrm>
                        </xdr:grpSpPr>
                        <xdr:cxnSp macro="">
                          <xdr:nvCxnSpPr>
                            <xdr:cNvPr id="44158" name="Straight Connector 26211">
                              <a:extLst>
                                <a:ext uri="{FF2B5EF4-FFF2-40B4-BE49-F238E27FC236}">
                                  <a16:creationId xmlns:a16="http://schemas.microsoft.com/office/drawing/2014/main" id="{31194E0D-CF96-08FE-CD70-910A641BF3D2}"/>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59" name="Straight Connector 26212">
                              <a:extLst>
                                <a:ext uri="{FF2B5EF4-FFF2-40B4-BE49-F238E27FC236}">
                                  <a16:creationId xmlns:a16="http://schemas.microsoft.com/office/drawing/2014/main" id="{EFBB214F-D661-99A4-3661-C78B0FF29C07}"/>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0" name="Straight Connector 26213">
                              <a:extLst>
                                <a:ext uri="{FF2B5EF4-FFF2-40B4-BE49-F238E27FC236}">
                                  <a16:creationId xmlns:a16="http://schemas.microsoft.com/office/drawing/2014/main" id="{4D3155A0-35D6-5E1A-A757-A27FA052D04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6" name="Freeform: Shape 26065">
                          <a:extLst>
                            <a:ext uri="{FF2B5EF4-FFF2-40B4-BE49-F238E27FC236}">
                              <a16:creationId xmlns:a16="http://schemas.microsoft.com/office/drawing/2014/main" id="{561CCBB4-35E5-68A9-ADDD-13D9E4A6FE59}"/>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7" name="Group 26067">
                          <a:extLst>
                            <a:ext uri="{FF2B5EF4-FFF2-40B4-BE49-F238E27FC236}">
                              <a16:creationId xmlns:a16="http://schemas.microsoft.com/office/drawing/2014/main" id="{C2113D54-474F-D985-1659-A46D497BDC28}"/>
                            </a:ext>
                          </a:extLst>
                        </xdr:cNvPr>
                        <xdr:cNvGrpSpPr/>
                      </xdr:nvGrpSpPr>
                      <xdr:grpSpPr>
                        <a:xfrm>
                          <a:off x="11001398" y="14205596"/>
                          <a:ext cx="138114" cy="491409"/>
                          <a:chOff x="656350" y="2751886"/>
                          <a:chExt cx="138114" cy="2543246"/>
                        </a:xfrm>
                      </xdr:grpSpPr>
                      <xdr:cxnSp macro="">
                        <xdr:nvCxnSpPr>
                          <xdr:cNvPr id="44150" name="Straight Connector 26203">
                            <a:extLst>
                              <a:ext uri="{FF2B5EF4-FFF2-40B4-BE49-F238E27FC236}">
                                <a16:creationId xmlns:a16="http://schemas.microsoft.com/office/drawing/2014/main" id="{121DA56A-C0E3-3CC4-0998-608C7613024A}"/>
                              </a:ext>
                            </a:extLst>
                          </xdr:cNvPr>
                          <xdr:cNvCxnSpPr/>
                        </xdr:nvCxnSpPr>
                        <xdr:spPr>
                          <a:xfrm flipV="1">
                            <a:off x="723025" y="2788134"/>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51" name="Straight Connector 26204">
                            <a:extLst>
                              <a:ext uri="{FF2B5EF4-FFF2-40B4-BE49-F238E27FC236}">
                                <a16:creationId xmlns:a16="http://schemas.microsoft.com/office/drawing/2014/main" id="{BEB87927-84A2-ABE4-B75C-58747C0F065F}"/>
                              </a:ext>
                            </a:extLst>
                          </xdr:cNvPr>
                          <xdr:cNvCxnSpPr/>
                        </xdr:nvCxnSpPr>
                        <xdr:spPr>
                          <a:xfrm flipH="1">
                            <a:off x="656350" y="2751886"/>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52" name="Straight Connector 26205">
                            <a:extLst>
                              <a:ext uri="{FF2B5EF4-FFF2-40B4-BE49-F238E27FC236}">
                                <a16:creationId xmlns:a16="http://schemas.microsoft.com/office/drawing/2014/main" id="{7A44648D-590E-A7A6-B62D-59264488F515}"/>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 name="TextBox 367">
                          <a:extLst>
                            <a:ext uri="{FF2B5EF4-FFF2-40B4-BE49-F238E27FC236}">
                              <a16:creationId xmlns:a16="http://schemas.microsoft.com/office/drawing/2014/main" id="{08A4946B-2367-B9E9-73B8-151B82CE743B}"/>
                            </a:ext>
                          </a:extLst>
                        </xdr:cNvPr>
                        <xdr:cNvSpPr txBox="1"/>
                      </xdr:nvSpPr>
                      <xdr:spPr>
                        <a:xfrm>
                          <a:off x="11096526" y="14265612"/>
                          <a:ext cx="572244"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200" b="0" i="1">
                              <a:latin typeface="Broadway" panose="04040905080B02020502" pitchFamily="82" charset="0"/>
                              <a:ea typeface="Calibri" panose="020F0502020204030204" pitchFamily="34" charset="0"/>
                              <a:cs typeface="Arial" panose="020B0604020202020204" pitchFamily="34" charset="0"/>
                            </a:rPr>
                            <a:t>δ</a:t>
                          </a:r>
                          <a:r>
                            <a:rPr lang="en-US" sz="1000" b="0" i="1" baseline="-25000">
                              <a:latin typeface="Arial" panose="020B0604020202020204" pitchFamily="34" charset="0"/>
                              <a:ea typeface="Calibri" panose="020F0502020204030204" pitchFamily="34" charset="0"/>
                              <a:cs typeface="Arial" panose="020B0604020202020204" pitchFamily="34" charset="0"/>
                            </a:rPr>
                            <a:t>gw</a:t>
                          </a:r>
                          <a:endParaRPr lang="en-US" sz="1000" b="0" i="1" baseline="-25000">
                            <a:latin typeface="Arial" panose="020B0604020202020204" pitchFamily="34" charset="0"/>
                            <a:cs typeface="Arial" panose="020B0604020202020204" pitchFamily="34" charset="0"/>
                          </a:endParaRPr>
                        </a:p>
                        <a:p>
                          <a:endParaRPr lang="en-US" sz="2000" b="0" i="1"/>
                        </a:p>
                      </xdr:txBody>
                    </xdr:sp>
                    <xdr:grpSp>
                      <xdr:nvGrpSpPr>
                        <xdr:cNvPr id="49" name="Group 26069">
                          <a:extLst>
                            <a:ext uri="{FF2B5EF4-FFF2-40B4-BE49-F238E27FC236}">
                              <a16:creationId xmlns:a16="http://schemas.microsoft.com/office/drawing/2014/main" id="{FAB4E9D5-BF5F-01BB-603C-1D9ED81301C1}"/>
                            </a:ext>
                          </a:extLst>
                        </xdr:cNvPr>
                        <xdr:cNvGrpSpPr/>
                      </xdr:nvGrpSpPr>
                      <xdr:grpSpPr>
                        <a:xfrm>
                          <a:off x="9815384" y="12707685"/>
                          <a:ext cx="138114" cy="1463095"/>
                          <a:chOff x="2355979" y="2682689"/>
                          <a:chExt cx="138114" cy="2496847"/>
                        </a:xfrm>
                      </xdr:grpSpPr>
                      <xdr:cxnSp macro="">
                        <xdr:nvCxnSpPr>
                          <xdr:cNvPr id="44147" name="Straight Connector 26200">
                            <a:extLst>
                              <a:ext uri="{FF2B5EF4-FFF2-40B4-BE49-F238E27FC236}">
                                <a16:creationId xmlns:a16="http://schemas.microsoft.com/office/drawing/2014/main" id="{BAC1E98E-AD00-A5AE-42F0-B5625269042E}"/>
                              </a:ext>
                            </a:extLst>
                          </xdr:cNvPr>
                          <xdr:cNvCxnSpPr/>
                        </xdr:nvCxnSpPr>
                        <xdr:spPr>
                          <a:xfrm flipV="1">
                            <a:off x="2422654" y="2699395"/>
                            <a:ext cx="0" cy="24707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8" name="Straight Connector 26201">
                            <a:extLst>
                              <a:ext uri="{FF2B5EF4-FFF2-40B4-BE49-F238E27FC236}">
                                <a16:creationId xmlns:a16="http://schemas.microsoft.com/office/drawing/2014/main" id="{8689EA07-2C5C-6CDD-9DA9-08BEB4F995B4}"/>
                              </a:ext>
                            </a:extLst>
                          </xdr:cNvPr>
                          <xdr:cNvCxnSpPr/>
                        </xdr:nvCxnSpPr>
                        <xdr:spPr>
                          <a:xfrm flipH="1">
                            <a:off x="2355979" y="268268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9" name="Straight Connector 26202">
                            <a:extLst>
                              <a:ext uri="{FF2B5EF4-FFF2-40B4-BE49-F238E27FC236}">
                                <a16:creationId xmlns:a16="http://schemas.microsoft.com/office/drawing/2014/main" id="{0101E183-1CE3-2B11-F951-3B190AF75B0A}"/>
                              </a:ext>
                            </a:extLst>
                          </xdr:cNvPr>
                          <xdr:cNvCxnSpPr/>
                        </xdr:nvCxnSpPr>
                        <xdr:spPr>
                          <a:xfrm flipH="1">
                            <a:off x="2360743" y="517953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nvGrpSpPr>
                        <xdr:cNvPr id="50" name="Group 26071">
                          <a:extLst>
                            <a:ext uri="{FF2B5EF4-FFF2-40B4-BE49-F238E27FC236}">
                              <a16:creationId xmlns:a16="http://schemas.microsoft.com/office/drawing/2014/main" id="{D2E2178C-8152-45BE-2950-4478F226CBE6}"/>
                            </a:ext>
                          </a:extLst>
                        </xdr:cNvPr>
                        <xdr:cNvGrpSpPr/>
                      </xdr:nvGrpSpPr>
                      <xdr:grpSpPr>
                        <a:xfrm rot="5400000">
                          <a:off x="9227571" y="13755396"/>
                          <a:ext cx="138111" cy="1018251"/>
                          <a:chOff x="1056526" y="2677592"/>
                          <a:chExt cx="138111" cy="2470765"/>
                        </a:xfrm>
                      </xdr:grpSpPr>
                      <xdr:cxnSp macro="">
                        <xdr:nvCxnSpPr>
                          <xdr:cNvPr id="44144" name="Straight Connector 26197">
                            <a:extLst>
                              <a:ext uri="{FF2B5EF4-FFF2-40B4-BE49-F238E27FC236}">
                                <a16:creationId xmlns:a16="http://schemas.microsoft.com/office/drawing/2014/main" id="{B559C748-7EA0-C8C0-655E-9B8173338F35}"/>
                              </a:ext>
                            </a:extLst>
                          </xdr:cNvPr>
                          <xdr:cNvCxnSpPr/>
                        </xdr:nvCxnSpPr>
                        <xdr:spPr>
                          <a:xfrm rot="16200000">
                            <a:off x="-112179" y="3912981"/>
                            <a:ext cx="24707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5" name="Straight Connector 26198">
                            <a:extLst>
                              <a:ext uri="{FF2B5EF4-FFF2-40B4-BE49-F238E27FC236}">
                                <a16:creationId xmlns:a16="http://schemas.microsoft.com/office/drawing/2014/main" id="{A6BDCE7E-AC6D-BC6C-15B6-BEB2A3405C2C}"/>
                              </a:ext>
                            </a:extLst>
                          </xdr:cNvPr>
                          <xdr:cNvCxnSpPr/>
                        </xdr:nvCxnSpPr>
                        <xdr:spPr>
                          <a:xfrm rot="16200000" flipV="1">
                            <a:off x="1123201" y="2610917"/>
                            <a:ext cx="0" cy="1333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6" name="Straight Connector 26199">
                            <a:extLst>
                              <a:ext uri="{FF2B5EF4-FFF2-40B4-BE49-F238E27FC236}">
                                <a16:creationId xmlns:a16="http://schemas.microsoft.com/office/drawing/2014/main" id="{D8EFD218-B13A-69A7-516E-6BEBA45B7626}"/>
                              </a:ext>
                            </a:extLst>
                          </xdr:cNvPr>
                          <xdr:cNvCxnSpPr/>
                        </xdr:nvCxnSpPr>
                        <xdr:spPr>
                          <a:xfrm rot="16200000" flipV="1">
                            <a:off x="1127962" y="508168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1" name="TextBox 377">
                          <a:extLst>
                            <a:ext uri="{FF2B5EF4-FFF2-40B4-BE49-F238E27FC236}">
                              <a16:creationId xmlns:a16="http://schemas.microsoft.com/office/drawing/2014/main" id="{1EDDCBB1-9AB4-518F-926E-34110883304B}"/>
                            </a:ext>
                          </a:extLst>
                        </xdr:cNvPr>
                        <xdr:cNvSpPr txBox="1"/>
                      </xdr:nvSpPr>
                      <xdr:spPr>
                        <a:xfrm>
                          <a:off x="8722059" y="14232706"/>
                          <a:ext cx="361291" cy="25685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W</a:t>
                          </a:r>
                        </a:p>
                      </xdr:txBody>
                    </xdr:sp>
                    <xdr:sp macro="" textlink="">
                      <xdr:nvSpPr>
                        <xdr:cNvPr id="52" name="TextBox 382">
                          <a:extLst>
                            <a:ext uri="{FF2B5EF4-FFF2-40B4-BE49-F238E27FC236}">
                              <a16:creationId xmlns:a16="http://schemas.microsoft.com/office/drawing/2014/main" id="{D5B3A7CD-42A9-3324-F18E-9FBE1F898F1C}"/>
                            </a:ext>
                          </a:extLst>
                        </xdr:cNvPr>
                        <xdr:cNvSpPr txBox="1"/>
                      </xdr:nvSpPr>
                      <xdr:spPr>
                        <a:xfrm>
                          <a:off x="10053153" y="14645839"/>
                          <a:ext cx="655694" cy="34684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Times New Roman" panose="02020603050405020304" pitchFamily="18" charset="0"/>
                              <a:cs typeface="Times New Roman" panose="02020603050405020304" pitchFamily="18" charset="0"/>
                            </a:rPr>
                            <a:t>b</a:t>
                          </a:r>
                          <a:r>
                            <a:rPr lang="en-US" sz="1200" b="0" baseline="-25000">
                              <a:latin typeface="Times New Roman" panose="02020603050405020304" pitchFamily="18" charset="0"/>
                              <a:cs typeface="Times New Roman" panose="02020603050405020304" pitchFamily="18" charset="0"/>
                            </a:rPr>
                            <a:t>sat</a:t>
                          </a:r>
                        </a:p>
                      </xdr:txBody>
                    </xdr:sp>
                    <xdr:cxnSp macro="">
                      <xdr:nvCxnSpPr>
                        <xdr:cNvPr id="53" name="Straight Arrow Connector 26074">
                          <a:extLst>
                            <a:ext uri="{FF2B5EF4-FFF2-40B4-BE49-F238E27FC236}">
                              <a16:creationId xmlns:a16="http://schemas.microsoft.com/office/drawing/2014/main" id="{94FA0A87-BAED-C9A5-FEA1-070F36E8C06B}"/>
                            </a:ext>
                          </a:extLst>
                        </xdr:cNvPr>
                        <xdr:cNvCxnSpPr/>
                      </xdr:nvCxnSpPr>
                      <xdr:spPr>
                        <a:xfrm>
                          <a:off x="8696188" y="14842410"/>
                          <a:ext cx="588385" cy="0"/>
                        </a:xfrm>
                        <a:prstGeom prst="straightConnector1">
                          <a:avLst/>
                        </a:prstGeom>
                        <a:ln w="952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4" name="TextBox 385">
                          <a:extLst>
                            <a:ext uri="{FF2B5EF4-FFF2-40B4-BE49-F238E27FC236}">
                              <a16:creationId xmlns:a16="http://schemas.microsoft.com/office/drawing/2014/main" id="{F104996F-F7BD-4647-DB7A-2665034789A3}"/>
                            </a:ext>
                          </a:extLst>
                        </xdr:cNvPr>
                        <xdr:cNvSpPr txBox="1"/>
                      </xdr:nvSpPr>
                      <xdr:spPr>
                        <a:xfrm>
                          <a:off x="7459409" y="14713421"/>
                          <a:ext cx="1465473" cy="31028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900" b="0">
                              <a:latin typeface="Arial" panose="020B0604020202020204" pitchFamily="34" charset="0"/>
                              <a:cs typeface="Arial" panose="020B0604020202020204" pitchFamily="34" charset="0"/>
                            </a:rPr>
                            <a:t>Groundwater flow</a:t>
                          </a:r>
                        </a:p>
                      </xdr:txBody>
                    </xdr:sp>
                    <xdr:sp macro="" textlink="">
                      <xdr:nvSpPr>
                        <xdr:cNvPr id="55" name="TextBox 388">
                          <a:extLst>
                            <a:ext uri="{FF2B5EF4-FFF2-40B4-BE49-F238E27FC236}">
                              <a16:creationId xmlns:a16="http://schemas.microsoft.com/office/drawing/2014/main" id="{24DC1AB6-E1C9-F31B-17E0-AE440AA6A4D3}"/>
                            </a:ext>
                          </a:extLst>
                        </xdr:cNvPr>
                        <xdr:cNvSpPr txBox="1"/>
                      </xdr:nvSpPr>
                      <xdr:spPr>
                        <a:xfrm>
                          <a:off x="8763570" y="12908190"/>
                          <a:ext cx="1042301" cy="78633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PFAS transport</a:t>
                          </a:r>
                        </a:p>
                        <a:p>
                          <a:pPr algn="ctr"/>
                          <a:r>
                            <a:rPr lang="en-US" sz="900" b="0">
                              <a:latin typeface="Arial" panose="020B0604020202020204" pitchFamily="34" charset="0"/>
                              <a:cs typeface="Arial" panose="020B0604020202020204" pitchFamily="34" charset="0"/>
                            </a:rPr>
                            <a:t>&amp; water</a:t>
                          </a:r>
                          <a:r>
                            <a:rPr lang="en-US" sz="900" b="0" baseline="0">
                              <a:latin typeface="Arial" panose="020B0604020202020204" pitchFamily="34" charset="0"/>
                              <a:cs typeface="Arial" panose="020B0604020202020204" pitchFamily="34" charset="0"/>
                            </a:rPr>
                            <a:t> flux</a:t>
                          </a:r>
                          <a:endParaRPr lang="en-US" sz="900" b="0">
                            <a:latin typeface="Arial" panose="020B0604020202020204" pitchFamily="34" charset="0"/>
                            <a:cs typeface="Arial" panose="020B0604020202020204" pitchFamily="34" charset="0"/>
                          </a:endParaRPr>
                        </a:p>
                      </xdr:txBody>
                    </xdr:sp>
                    <xdr:cxnSp macro="">
                      <xdr:nvCxnSpPr>
                        <xdr:cNvPr id="56" name="Straight Arrow Connector 26077">
                          <a:extLst>
                            <a:ext uri="{FF2B5EF4-FFF2-40B4-BE49-F238E27FC236}">
                              <a16:creationId xmlns:a16="http://schemas.microsoft.com/office/drawing/2014/main" id="{C6D57D7F-136F-DF10-29FC-DEEDC6D6418D}"/>
                            </a:ext>
                          </a:extLst>
                        </xdr:cNvPr>
                        <xdr:cNvCxnSpPr>
                          <a:cxnSpLocks/>
                        </xdr:cNvCxnSpPr>
                      </xdr:nvCxnSpPr>
                      <xdr:spPr>
                        <a:xfrm>
                          <a:off x="9310681" y="13693512"/>
                          <a:ext cx="6175" cy="449935"/>
                        </a:xfrm>
                        <a:prstGeom prst="straightConnector1">
                          <a:avLst/>
                        </a:prstGeom>
                        <a:ln w="1270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7" name="Freeform: Shape 26078">
                          <a:extLst>
                            <a:ext uri="{FF2B5EF4-FFF2-40B4-BE49-F238E27FC236}">
                              <a16:creationId xmlns:a16="http://schemas.microsoft.com/office/drawing/2014/main" id="{CEE0E09C-4740-7836-2A79-D3B50311E39E}"/>
                            </a:ext>
                          </a:extLst>
                        </xdr:cNvPr>
                        <xdr:cNvSpPr/>
                      </xdr:nvSpPr>
                      <xdr:spPr>
                        <a:xfrm>
                          <a:off x="7735165" y="11125336"/>
                          <a:ext cx="1902667" cy="611112"/>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58" name="Group 26079">
                          <a:extLst>
                            <a:ext uri="{FF2B5EF4-FFF2-40B4-BE49-F238E27FC236}">
                              <a16:creationId xmlns:a16="http://schemas.microsoft.com/office/drawing/2014/main" id="{FA8A3E01-BB77-BD95-EC3E-16751E2C525C}"/>
                            </a:ext>
                          </a:extLst>
                        </xdr:cNvPr>
                        <xdr:cNvGrpSpPr/>
                      </xdr:nvGrpSpPr>
                      <xdr:grpSpPr>
                        <a:xfrm>
                          <a:off x="7800078" y="11790830"/>
                          <a:ext cx="1967577" cy="701468"/>
                          <a:chOff x="1242684" y="1838442"/>
                          <a:chExt cx="1967577" cy="701468"/>
                        </a:xfrm>
                      </xdr:grpSpPr>
                      <xdr:grpSp>
                        <xdr:nvGrpSpPr>
                          <xdr:cNvPr id="44091" name="Group 26144">
                            <a:extLst>
                              <a:ext uri="{FF2B5EF4-FFF2-40B4-BE49-F238E27FC236}">
                                <a16:creationId xmlns:a16="http://schemas.microsoft.com/office/drawing/2014/main" id="{BBA7F331-0637-0451-7B98-8DE9AE81660F}"/>
                              </a:ext>
                            </a:extLst>
                          </xdr:cNvPr>
                          <xdr:cNvGrpSpPr/>
                        </xdr:nvGrpSpPr>
                        <xdr:grpSpPr>
                          <a:xfrm flipH="1">
                            <a:off x="1242684" y="1838442"/>
                            <a:ext cx="1967577" cy="533995"/>
                            <a:chOff x="3284412" y="1972380"/>
                            <a:chExt cx="1595227" cy="533995"/>
                          </a:xfrm>
                        </xdr:grpSpPr>
                        <xdr:cxnSp macro="">
                          <xdr:nvCxnSpPr>
                            <xdr:cNvPr id="44099" name="Straight Connector 26152">
                              <a:extLst>
                                <a:ext uri="{FF2B5EF4-FFF2-40B4-BE49-F238E27FC236}">
                                  <a16:creationId xmlns:a16="http://schemas.microsoft.com/office/drawing/2014/main" id="{9E463D61-AEFF-583C-9B9A-3A20CCD8C282}"/>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0" name="Straight Connector 26153">
                              <a:extLst>
                                <a:ext uri="{FF2B5EF4-FFF2-40B4-BE49-F238E27FC236}">
                                  <a16:creationId xmlns:a16="http://schemas.microsoft.com/office/drawing/2014/main" id="{50E9AD3D-9E51-C2F5-C271-8D0EC8FAFD01}"/>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1" name="Straight Connector 26154">
                              <a:extLst>
                                <a:ext uri="{FF2B5EF4-FFF2-40B4-BE49-F238E27FC236}">
                                  <a16:creationId xmlns:a16="http://schemas.microsoft.com/office/drawing/2014/main" id="{EDB50906-098E-D073-0E76-A24F3FDC7D8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2" name="Straight Connector 26155">
                              <a:extLst>
                                <a:ext uri="{FF2B5EF4-FFF2-40B4-BE49-F238E27FC236}">
                                  <a16:creationId xmlns:a16="http://schemas.microsoft.com/office/drawing/2014/main" id="{392A42F4-9B5F-594A-DEDA-29E6354005EB}"/>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3" name="Straight Connector 26156">
                              <a:extLst>
                                <a:ext uri="{FF2B5EF4-FFF2-40B4-BE49-F238E27FC236}">
                                  <a16:creationId xmlns:a16="http://schemas.microsoft.com/office/drawing/2014/main" id="{F2E56A0B-83FD-5965-6B5C-7EBCE563A30E}"/>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4" name="Straight Connector 26157">
                              <a:extLst>
                                <a:ext uri="{FF2B5EF4-FFF2-40B4-BE49-F238E27FC236}">
                                  <a16:creationId xmlns:a16="http://schemas.microsoft.com/office/drawing/2014/main" id="{DC9BCA75-73A6-397D-FE12-5C10E0DD8D59}"/>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5" name="Straight Connector 26158">
                              <a:extLst>
                                <a:ext uri="{FF2B5EF4-FFF2-40B4-BE49-F238E27FC236}">
                                  <a16:creationId xmlns:a16="http://schemas.microsoft.com/office/drawing/2014/main" id="{89E53D7A-6BD3-527E-45C5-3A5F1113108C}"/>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6" name="Straight Connector 26159">
                              <a:extLst>
                                <a:ext uri="{FF2B5EF4-FFF2-40B4-BE49-F238E27FC236}">
                                  <a16:creationId xmlns:a16="http://schemas.microsoft.com/office/drawing/2014/main" id="{B6D914A8-E434-8929-1BE9-CDB0CF633942}"/>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7" name="Straight Connector 26160">
                              <a:extLst>
                                <a:ext uri="{FF2B5EF4-FFF2-40B4-BE49-F238E27FC236}">
                                  <a16:creationId xmlns:a16="http://schemas.microsoft.com/office/drawing/2014/main" id="{36365F61-21AF-84B3-E3D8-063F6D7AB83E}"/>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8" name="Straight Connector 26161">
                              <a:extLst>
                                <a:ext uri="{FF2B5EF4-FFF2-40B4-BE49-F238E27FC236}">
                                  <a16:creationId xmlns:a16="http://schemas.microsoft.com/office/drawing/2014/main" id="{C89AC5B1-F677-28BD-D4F8-9E521C95AD01}"/>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9" name="Straight Connector 26162">
                              <a:extLst>
                                <a:ext uri="{FF2B5EF4-FFF2-40B4-BE49-F238E27FC236}">
                                  <a16:creationId xmlns:a16="http://schemas.microsoft.com/office/drawing/2014/main" id="{F2FBB1EE-015A-A750-0F0C-BFCB22ED0B05}"/>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0" name="Straight Connector 26163">
                              <a:extLst>
                                <a:ext uri="{FF2B5EF4-FFF2-40B4-BE49-F238E27FC236}">
                                  <a16:creationId xmlns:a16="http://schemas.microsoft.com/office/drawing/2014/main" id="{F3E69888-79B8-62CB-D69A-2CF192E00D94}"/>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1" name="Straight Connector 26164">
                              <a:extLst>
                                <a:ext uri="{FF2B5EF4-FFF2-40B4-BE49-F238E27FC236}">
                                  <a16:creationId xmlns:a16="http://schemas.microsoft.com/office/drawing/2014/main" id="{7A3E0B87-D18D-F875-C2AE-724CBD34B8EA}"/>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2" name="Straight Connector 26165">
                              <a:extLst>
                                <a:ext uri="{FF2B5EF4-FFF2-40B4-BE49-F238E27FC236}">
                                  <a16:creationId xmlns:a16="http://schemas.microsoft.com/office/drawing/2014/main" id="{E1C01300-80D9-B162-4BF8-DD402CF90382}"/>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3" name="Straight Connector 26166">
                              <a:extLst>
                                <a:ext uri="{FF2B5EF4-FFF2-40B4-BE49-F238E27FC236}">
                                  <a16:creationId xmlns:a16="http://schemas.microsoft.com/office/drawing/2014/main" id="{5C1A1DDE-3B68-8394-9648-56CDBF93F2F2}"/>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4" name="Straight Connector 26167">
                              <a:extLst>
                                <a:ext uri="{FF2B5EF4-FFF2-40B4-BE49-F238E27FC236}">
                                  <a16:creationId xmlns:a16="http://schemas.microsoft.com/office/drawing/2014/main" id="{D6B26ECC-3300-9F44-D5A2-1299CFDE382E}"/>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5" name="Straight Connector 26168">
                              <a:extLst>
                                <a:ext uri="{FF2B5EF4-FFF2-40B4-BE49-F238E27FC236}">
                                  <a16:creationId xmlns:a16="http://schemas.microsoft.com/office/drawing/2014/main" id="{A52624AE-22B8-6131-AD23-210B4D8E6065}"/>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7" name="Straight Connector 26170">
                              <a:extLst>
                                <a:ext uri="{FF2B5EF4-FFF2-40B4-BE49-F238E27FC236}">
                                  <a16:creationId xmlns:a16="http://schemas.microsoft.com/office/drawing/2014/main" id="{3D5BF399-233E-87A4-14E3-ACA39E340CFE}"/>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9" name="Straight Connector 26172">
                              <a:extLst>
                                <a:ext uri="{FF2B5EF4-FFF2-40B4-BE49-F238E27FC236}">
                                  <a16:creationId xmlns:a16="http://schemas.microsoft.com/office/drawing/2014/main" id="{43BB4807-A1D1-2F10-4378-2286299449DD}"/>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0" name="Straight Connector 26173">
                              <a:extLst>
                                <a:ext uri="{FF2B5EF4-FFF2-40B4-BE49-F238E27FC236}">
                                  <a16:creationId xmlns:a16="http://schemas.microsoft.com/office/drawing/2014/main" id="{BE727A8F-FB34-2F28-0133-CCD18D98DDF4}"/>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1" name="Straight Connector 26174">
                              <a:extLst>
                                <a:ext uri="{FF2B5EF4-FFF2-40B4-BE49-F238E27FC236}">
                                  <a16:creationId xmlns:a16="http://schemas.microsoft.com/office/drawing/2014/main" id="{869E219A-6548-1BE1-6E78-D5D46533E3CD}"/>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2" name="Straight Connector 26175">
                              <a:extLst>
                                <a:ext uri="{FF2B5EF4-FFF2-40B4-BE49-F238E27FC236}">
                                  <a16:creationId xmlns:a16="http://schemas.microsoft.com/office/drawing/2014/main" id="{FB9999D1-5ECA-CE25-6A9C-614D3AE686E5}"/>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3" name="Straight Connector 26176">
                              <a:extLst>
                                <a:ext uri="{FF2B5EF4-FFF2-40B4-BE49-F238E27FC236}">
                                  <a16:creationId xmlns:a16="http://schemas.microsoft.com/office/drawing/2014/main" id="{35046C15-0A3F-FB62-D7AA-000406ADC55B}"/>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4" name="Straight Connector 26177">
                              <a:extLst>
                                <a:ext uri="{FF2B5EF4-FFF2-40B4-BE49-F238E27FC236}">
                                  <a16:creationId xmlns:a16="http://schemas.microsoft.com/office/drawing/2014/main" id="{60C7E58B-FCB8-7907-71D9-F4FB6D2433DB}"/>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6" name="Straight Connector 26179">
                              <a:extLst>
                                <a:ext uri="{FF2B5EF4-FFF2-40B4-BE49-F238E27FC236}">
                                  <a16:creationId xmlns:a16="http://schemas.microsoft.com/office/drawing/2014/main" id="{48381005-192C-C48D-1CD6-623E72EA05C5}"/>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7" name="Straight Connector 26180">
                              <a:extLst>
                                <a:ext uri="{FF2B5EF4-FFF2-40B4-BE49-F238E27FC236}">
                                  <a16:creationId xmlns:a16="http://schemas.microsoft.com/office/drawing/2014/main" id="{24E71354-DABD-0C0E-4FFD-F0E2C39007C3}"/>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1" name="Straight Connector 26184">
                              <a:extLst>
                                <a:ext uri="{FF2B5EF4-FFF2-40B4-BE49-F238E27FC236}">
                                  <a16:creationId xmlns:a16="http://schemas.microsoft.com/office/drawing/2014/main" id="{DC412B51-946E-26DC-8A8D-71E89EE6045B}"/>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3" name="Straight Connector 26186">
                              <a:extLst>
                                <a:ext uri="{FF2B5EF4-FFF2-40B4-BE49-F238E27FC236}">
                                  <a16:creationId xmlns:a16="http://schemas.microsoft.com/office/drawing/2014/main" id="{7CA081B9-5D66-C311-7595-88E62CE1B7A1}"/>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4" name="Straight Connector 26187">
                              <a:extLst>
                                <a:ext uri="{FF2B5EF4-FFF2-40B4-BE49-F238E27FC236}">
                                  <a16:creationId xmlns:a16="http://schemas.microsoft.com/office/drawing/2014/main" id="{CA94B63E-90C8-BBAB-78D8-8D3B7E2084FE}"/>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5" name="Straight Connector 26188">
                              <a:extLst>
                                <a:ext uri="{FF2B5EF4-FFF2-40B4-BE49-F238E27FC236}">
                                  <a16:creationId xmlns:a16="http://schemas.microsoft.com/office/drawing/2014/main" id="{2E344F6D-3FAE-6793-7F4F-083B5E1552B2}"/>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6" name="Straight Connector 26189">
                              <a:extLst>
                                <a:ext uri="{FF2B5EF4-FFF2-40B4-BE49-F238E27FC236}">
                                  <a16:creationId xmlns:a16="http://schemas.microsoft.com/office/drawing/2014/main" id="{22A30423-4735-CE41-B48A-EFA6B397387D}"/>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7" name="Straight Connector 26190">
                              <a:extLst>
                                <a:ext uri="{FF2B5EF4-FFF2-40B4-BE49-F238E27FC236}">
                                  <a16:creationId xmlns:a16="http://schemas.microsoft.com/office/drawing/2014/main" id="{DFF4D1EF-D571-2663-C9FA-A2AD52C22244}"/>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8" name="Straight Connector 26191">
                              <a:extLst>
                                <a:ext uri="{FF2B5EF4-FFF2-40B4-BE49-F238E27FC236}">
                                  <a16:creationId xmlns:a16="http://schemas.microsoft.com/office/drawing/2014/main" id="{8A931F75-D625-EBD5-F555-275E088FB72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9" name="Straight Connector 26192">
                              <a:extLst>
                                <a:ext uri="{FF2B5EF4-FFF2-40B4-BE49-F238E27FC236}">
                                  <a16:creationId xmlns:a16="http://schemas.microsoft.com/office/drawing/2014/main" id="{5340646B-728D-0C27-152C-CEF0020B282E}"/>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40" name="Straight Connector 26193">
                              <a:extLst>
                                <a:ext uri="{FF2B5EF4-FFF2-40B4-BE49-F238E27FC236}">
                                  <a16:creationId xmlns:a16="http://schemas.microsoft.com/office/drawing/2014/main" id="{240406B1-9D86-DA9C-E554-E55A067BBF2E}"/>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42" name="Straight Connector 26195">
                              <a:extLst>
                                <a:ext uri="{FF2B5EF4-FFF2-40B4-BE49-F238E27FC236}">
                                  <a16:creationId xmlns:a16="http://schemas.microsoft.com/office/drawing/2014/main" id="{7C2D641A-7EBE-1C70-EB12-5D10987DBF4C}"/>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4092" name="Straight Connector 26145">
                            <a:extLst>
                              <a:ext uri="{FF2B5EF4-FFF2-40B4-BE49-F238E27FC236}">
                                <a16:creationId xmlns:a16="http://schemas.microsoft.com/office/drawing/2014/main" id="{2A333AF3-1379-772E-88A2-E02EE8B701F8}"/>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3" name="Straight Connector 26146">
                            <a:extLst>
                              <a:ext uri="{FF2B5EF4-FFF2-40B4-BE49-F238E27FC236}">
                                <a16:creationId xmlns:a16="http://schemas.microsoft.com/office/drawing/2014/main" id="{DC1F7727-B136-A546-B58D-0C97A74E58D7}"/>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4" name="Straight Connector 26147">
                            <a:extLst>
                              <a:ext uri="{FF2B5EF4-FFF2-40B4-BE49-F238E27FC236}">
                                <a16:creationId xmlns:a16="http://schemas.microsoft.com/office/drawing/2014/main" id="{99CDF912-9745-4C07-CD34-CADC0588E63B}"/>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5" name="Straight Connector 26148">
                            <a:extLst>
                              <a:ext uri="{FF2B5EF4-FFF2-40B4-BE49-F238E27FC236}">
                                <a16:creationId xmlns:a16="http://schemas.microsoft.com/office/drawing/2014/main" id="{D15F4D85-35CE-3BDB-4750-ACA1D918EE73}"/>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1" name="Freeform: Shape 26082">
                          <a:extLst>
                            <a:ext uri="{FF2B5EF4-FFF2-40B4-BE49-F238E27FC236}">
                              <a16:creationId xmlns:a16="http://schemas.microsoft.com/office/drawing/2014/main" id="{96CB87D2-2323-C28C-0BB9-75E8EFF6D4CF}"/>
                            </a:ext>
                          </a:extLst>
                        </xdr:cNvPr>
                        <xdr:cNvSpPr/>
                      </xdr:nvSpPr>
                      <xdr:spPr>
                        <a:xfrm>
                          <a:off x="9173222"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63" name="Group 26087">
                          <a:extLst>
                            <a:ext uri="{FF2B5EF4-FFF2-40B4-BE49-F238E27FC236}">
                              <a16:creationId xmlns:a16="http://schemas.microsoft.com/office/drawing/2014/main" id="{101649BB-F522-5A87-B053-4A0F6930A579}"/>
                            </a:ext>
                          </a:extLst>
                        </xdr:cNvPr>
                        <xdr:cNvGrpSpPr/>
                      </xdr:nvGrpSpPr>
                      <xdr:grpSpPr>
                        <a:xfrm>
                          <a:off x="10045652" y="14210306"/>
                          <a:ext cx="143263" cy="743094"/>
                          <a:chOff x="187946" y="2686345"/>
                          <a:chExt cx="143263" cy="2497578"/>
                        </a:xfrm>
                      </xdr:grpSpPr>
                      <xdr:cxnSp macro="">
                        <xdr:nvCxnSpPr>
                          <xdr:cNvPr id="44035" name="Straight Connector 26088">
                            <a:extLst>
                              <a:ext uri="{FF2B5EF4-FFF2-40B4-BE49-F238E27FC236}">
                                <a16:creationId xmlns:a16="http://schemas.microsoft.com/office/drawing/2014/main" id="{E1282FA9-49CB-253B-3B7E-D879405CECC4}"/>
                              </a:ext>
                            </a:extLst>
                          </xdr:cNvPr>
                          <xdr:cNvCxnSpPr/>
                        </xdr:nvCxnSpPr>
                        <xdr:spPr>
                          <a:xfrm flipV="1">
                            <a:off x="260862" y="2686345"/>
                            <a:ext cx="0" cy="2470746"/>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036" name="Straight Connector 26089">
                            <a:extLst>
                              <a:ext uri="{FF2B5EF4-FFF2-40B4-BE49-F238E27FC236}">
                                <a16:creationId xmlns:a16="http://schemas.microsoft.com/office/drawing/2014/main" id="{C4848736-B9FF-0963-4AE2-5338378160F7}"/>
                              </a:ext>
                            </a:extLst>
                          </xdr:cNvPr>
                          <xdr:cNvCxnSpPr/>
                        </xdr:nvCxnSpPr>
                        <xdr:spPr>
                          <a:xfrm flipH="1">
                            <a:off x="197858" y="2686356"/>
                            <a:ext cx="133351"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037" name="Straight Connector 26090">
                            <a:extLst>
                              <a:ext uri="{FF2B5EF4-FFF2-40B4-BE49-F238E27FC236}">
                                <a16:creationId xmlns:a16="http://schemas.microsoft.com/office/drawing/2014/main" id="{02CC71D2-7C57-FE58-4AE8-3A82674D4D3F}"/>
                              </a:ext>
                            </a:extLst>
                          </xdr:cNvPr>
                          <xdr:cNvCxnSpPr/>
                        </xdr:nvCxnSpPr>
                        <xdr:spPr>
                          <a:xfrm flipH="1">
                            <a:off x="187946" y="5183923"/>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4032" name="TextBox 372">
                          <a:extLst>
                            <a:ext uri="{FF2B5EF4-FFF2-40B4-BE49-F238E27FC236}">
                              <a16:creationId xmlns:a16="http://schemas.microsoft.com/office/drawing/2014/main" id="{7CA3E811-13A8-BEA3-4801-154EB727E159}"/>
                            </a:ext>
                          </a:extLst>
                        </xdr:cNvPr>
                        <xdr:cNvSpPr txBox="1"/>
                      </xdr:nvSpPr>
                      <xdr:spPr>
                        <a:xfrm>
                          <a:off x="9815335" y="13371493"/>
                          <a:ext cx="284817" cy="321218"/>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L </a:t>
                          </a:r>
                        </a:p>
                      </xdr:txBody>
                    </xdr:sp>
                    <xdr:cxnSp macro="">
                      <xdr:nvCxnSpPr>
                        <xdr:cNvPr id="34" name="Straight Connector 26053">
                          <a:extLst>
                            <a:ext uri="{FF2B5EF4-FFF2-40B4-BE49-F238E27FC236}">
                              <a16:creationId xmlns:a16="http://schemas.microsoft.com/office/drawing/2014/main" id="{BBFD5141-AED5-B929-29FA-4C5D514F6BEB}"/>
                            </a:ext>
                          </a:extLst>
                        </xdr:cNvPr>
                        <xdr:cNvCxnSpPr>
                          <a:cxnSpLocks/>
                        </xdr:cNvCxnSpPr>
                      </xdr:nvCxnSpPr>
                      <xdr:spPr>
                        <a:xfrm>
                          <a:off x="7489149" y="14190573"/>
                          <a:ext cx="3657600" cy="0"/>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7" name="TextBox 385">
                        <a:extLst>
                          <a:ext uri="{FF2B5EF4-FFF2-40B4-BE49-F238E27FC236}">
                            <a16:creationId xmlns:a16="http://schemas.microsoft.com/office/drawing/2014/main" id="{5F0CC012-88E0-247C-81B1-536D551C3BF0}"/>
                          </a:ext>
                        </a:extLst>
                      </xdr:cNvPr>
                      <xdr:cNvSpPr txBox="1"/>
                    </xdr:nvSpPr>
                    <xdr:spPr>
                      <a:xfrm>
                        <a:off x="6978099" y="13478932"/>
                        <a:ext cx="975211"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U</a:t>
                        </a:r>
                        <a:r>
                          <a:rPr lang="en-US" sz="1100" b="0" i="1" baseline="-25000">
                            <a:latin typeface="Times New Roman" panose="02020603050405020304" pitchFamily="18" charset="0"/>
                            <a:cs typeface="Times New Roman" panose="02020603050405020304" pitchFamily="18" charset="0"/>
                          </a:rPr>
                          <a:t>gw</a:t>
                        </a:r>
                      </a:p>
                    </xdr:txBody>
                  </xdr:sp>
                </xdr:grpSp>
                <xdr:sp macro="" textlink="$L$33">
                  <xdr:nvSpPr>
                    <xdr:cNvPr id="21" name="TextBox 26297">
                      <a:extLst>
                        <a:ext uri="{FF2B5EF4-FFF2-40B4-BE49-F238E27FC236}">
                          <a16:creationId xmlns:a16="http://schemas.microsoft.com/office/drawing/2014/main" id="{2BB1ECE6-F5DB-6A22-8A99-2A51D9E58A0E}"/>
                        </a:ext>
                      </a:extLst>
                    </xdr:cNvPr>
                    <xdr:cNvSpPr txBox="1"/>
                  </xdr:nvSpPr>
                  <xdr:spPr>
                    <a:xfrm>
                      <a:off x="8389906" y="13438725"/>
                      <a:ext cx="1074427" cy="3758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59EDDD4-618E-48EC-B72B-049FB2D8A103}" type="TxLink">
                        <a:rPr lang="en-US" sz="1100" b="0" i="0" u="none" strike="noStrike">
                          <a:solidFill>
                            <a:srgbClr val="000000"/>
                          </a:solidFill>
                          <a:latin typeface="Arial" panose="020B0604020202020204" pitchFamily="34" charset="0"/>
                          <a:cs typeface="Arial" panose="020B0604020202020204" pitchFamily="34" charset="0"/>
                        </a:rPr>
                        <a:pPr/>
                        <a:t>= 3.00 m</a:t>
                      </a:fld>
                      <a:endParaRPr lang="en-US" sz="1400" b="0">
                        <a:latin typeface="Arial" panose="020B0604020202020204" pitchFamily="34" charset="0"/>
                        <a:cs typeface="Arial" panose="020B0604020202020204" pitchFamily="34" charset="0"/>
                      </a:endParaRPr>
                    </a:p>
                  </xdr:txBody>
                </xdr:sp>
                <xdr:sp macro="" textlink="$L$34">
                  <xdr:nvSpPr>
                    <xdr:cNvPr id="22" name="TextBox 26298">
                      <a:extLst>
                        <a:ext uri="{FF2B5EF4-FFF2-40B4-BE49-F238E27FC236}">
                          <a16:creationId xmlns:a16="http://schemas.microsoft.com/office/drawing/2014/main" id="{499FF7D3-0766-70AE-79C8-9B9711095DCF}"/>
                        </a:ext>
                      </a:extLst>
                    </xdr:cNvPr>
                    <xdr:cNvSpPr txBox="1"/>
                  </xdr:nvSpPr>
                  <xdr:spPr>
                    <a:xfrm>
                      <a:off x="9748197" y="13868368"/>
                      <a:ext cx="1515450" cy="370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95DF1A-0C31-4C51-872B-A7AC6775F9CD}" type="TxLink">
                        <a:rPr lang="en-US" sz="1100" b="0" i="0" u="none" strike="noStrike">
                          <a:solidFill>
                            <a:srgbClr val="000000"/>
                          </a:solidFill>
                          <a:latin typeface="Arial" panose="020B0604020202020204" pitchFamily="34" charset="0"/>
                          <a:cs typeface="Arial" panose="020B0604020202020204" pitchFamily="34" charset="0"/>
                        </a:rPr>
                        <a:pPr/>
                        <a:t>= 0.35 m</a:t>
                      </a:fld>
                      <a:endParaRPr lang="en-US" sz="1200" b="0">
                        <a:latin typeface="Arial" panose="020B0604020202020204" pitchFamily="34" charset="0"/>
                        <a:cs typeface="Arial" panose="020B0604020202020204" pitchFamily="34" charset="0"/>
                      </a:endParaRPr>
                    </a:p>
                  </xdr:txBody>
                </xdr:sp>
                <xdr:sp macro="" textlink="$L$35">
                  <xdr:nvSpPr>
                    <xdr:cNvPr id="23" name="TextBox 26299">
                      <a:extLst>
                        <a:ext uri="{FF2B5EF4-FFF2-40B4-BE49-F238E27FC236}">
                          <a16:creationId xmlns:a16="http://schemas.microsoft.com/office/drawing/2014/main" id="{86AC4508-797A-9B54-26B9-3CB3FB945F1A}"/>
                        </a:ext>
                      </a:extLst>
                    </xdr:cNvPr>
                    <xdr:cNvSpPr txBox="1"/>
                  </xdr:nvSpPr>
                  <xdr:spPr>
                    <a:xfrm>
                      <a:off x="10792659" y="13479923"/>
                      <a:ext cx="1989784" cy="2843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EA7BA1-6AAE-45DE-BBA1-7B8318A76865}" type="TxLink">
                        <a:rPr lang="en-US" sz="1100" b="0" i="0" u="none" strike="noStrike">
                          <a:solidFill>
                            <a:srgbClr val="000000"/>
                          </a:solidFill>
                          <a:latin typeface="Arial" panose="020B0604020202020204" pitchFamily="34" charset="0"/>
                          <a:cs typeface="Arial" panose="020B0604020202020204" pitchFamily="34" charset="0"/>
                        </a:rPr>
                        <a:pPr/>
                        <a:t>= 0.32 m</a:t>
                      </a:fld>
                      <a:endParaRPr lang="en-US" sz="1400" b="0">
                        <a:latin typeface="Arial" panose="020B0604020202020204" pitchFamily="34" charset="0"/>
                        <a:cs typeface="Arial" panose="020B0604020202020204" pitchFamily="34" charset="0"/>
                      </a:endParaRPr>
                    </a:p>
                  </xdr:txBody>
                </xdr:sp>
                <xdr:sp macro="" textlink="$L$32">
                  <xdr:nvSpPr>
                    <xdr:cNvPr id="24" name="TextBox 26300">
                      <a:extLst>
                        <a:ext uri="{FF2B5EF4-FFF2-40B4-BE49-F238E27FC236}">
                          <a16:creationId xmlns:a16="http://schemas.microsoft.com/office/drawing/2014/main" id="{9C29142E-1D35-1EC2-736B-6B1C5E7B46D8}"/>
                        </a:ext>
                      </a:extLst>
                    </xdr:cNvPr>
                    <xdr:cNvSpPr txBox="1"/>
                  </xdr:nvSpPr>
                  <xdr:spPr>
                    <a:xfrm>
                      <a:off x="7185626" y="13704600"/>
                      <a:ext cx="1612537" cy="285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1226EC5-6030-41D9-B42C-2F54DF3CF183}" type="TxLink">
                        <a:rPr lang="en-US" altLang="en-US" sz="1050" b="0" i="0" u="none" strike="noStrike">
                          <a:solidFill>
                            <a:sysClr val="windowText" lastClr="000000"/>
                          </a:solidFill>
                          <a:latin typeface="Arial" panose="020B0604020202020204" pitchFamily="34" charset="0"/>
                          <a:cs typeface="Arial" panose="020B0604020202020204" pitchFamily="34" charset="0"/>
                        </a:rPr>
                        <a:pPr/>
                        <a:t>= 365 m/yr</a:t>
                      </a:fld>
                      <a:endParaRPr lang="en-US" sz="1100" b="0">
                        <a:solidFill>
                          <a:sysClr val="windowText" lastClr="000000"/>
                        </a:solidFill>
                        <a:latin typeface="Arial" panose="020B0604020202020204" pitchFamily="34" charset="0"/>
                        <a:cs typeface="Arial" panose="020B0604020202020204" pitchFamily="34" charset="0"/>
                      </a:endParaRPr>
                    </a:p>
                  </xdr:txBody>
                </xdr:sp>
                <xdr:sp macro="" textlink="$L$31">
                  <xdr:nvSpPr>
                    <xdr:cNvPr id="25" name="TextBox 26296">
                      <a:extLst>
                        <a:ext uri="{FF2B5EF4-FFF2-40B4-BE49-F238E27FC236}">
                          <a16:creationId xmlns:a16="http://schemas.microsoft.com/office/drawing/2014/main" id="{0A99D87A-7DEF-57B2-607B-603449D8B211}"/>
                        </a:ext>
                      </a:extLst>
                    </xdr:cNvPr>
                    <xdr:cNvSpPr txBox="1"/>
                  </xdr:nvSpPr>
                  <xdr:spPr>
                    <a:xfrm>
                      <a:off x="9402099" y="12584787"/>
                      <a:ext cx="1347695" cy="3067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D818CF-C1E9-4A42-B2A9-BB0F50C33EBE}" type="TxLink">
                        <a:rPr lang="en-US" sz="1100" b="0" i="0" u="none" strike="noStrike">
                          <a:solidFill>
                            <a:srgbClr val="000000"/>
                          </a:solidFill>
                          <a:latin typeface="Arial" panose="020B0604020202020204" pitchFamily="34" charset="0"/>
                          <a:cs typeface="Arial" panose="020B0604020202020204" pitchFamily="34" charset="0"/>
                        </a:rPr>
                        <a:pPr/>
                        <a:t>= 300 cm</a:t>
                      </a:fld>
                      <a:endParaRPr lang="en-US" sz="1200" b="0">
                        <a:latin typeface="Arial" panose="020B0604020202020204" pitchFamily="34" charset="0"/>
                        <a:cs typeface="Arial" panose="020B0604020202020204" pitchFamily="34" charset="0"/>
                      </a:endParaRPr>
                    </a:p>
                  </xdr:txBody>
                </xdr:sp>
              </xdr:grpSp>
              <xdr:sp macro="" textlink="">
                <xdr:nvSpPr>
                  <xdr:cNvPr id="18" name="TextBox 377">
                    <a:extLst>
                      <a:ext uri="{FF2B5EF4-FFF2-40B4-BE49-F238E27FC236}">
                        <a16:creationId xmlns:a16="http://schemas.microsoft.com/office/drawing/2014/main" id="{21336A59-A546-5F71-2438-44EE936C3FB2}"/>
                      </a:ext>
                    </a:extLst>
                  </xdr:cNvPr>
                  <xdr:cNvSpPr txBox="1"/>
                </xdr:nvSpPr>
                <xdr:spPr>
                  <a:xfrm>
                    <a:off x="10140185" y="12547180"/>
                    <a:ext cx="678308"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I</a:t>
                    </a:r>
                    <a:r>
                      <a:rPr lang="en-US" sz="1100" b="0" i="1" baseline="-25000">
                        <a:latin typeface="Times New Roman" panose="02020603050405020304" pitchFamily="18" charset="0"/>
                        <a:cs typeface="Times New Roman" panose="02020603050405020304" pitchFamily="18" charset="0"/>
                      </a:rPr>
                      <a:t>f</a:t>
                    </a:r>
                  </a:p>
                </xdr:txBody>
              </xdr:sp>
              <xdr:sp macro="" textlink="$L$36">
                <xdr:nvSpPr>
                  <xdr:cNvPr id="19" name="TextBox 26304">
                    <a:extLst>
                      <a:ext uri="{FF2B5EF4-FFF2-40B4-BE49-F238E27FC236}">
                        <a16:creationId xmlns:a16="http://schemas.microsoft.com/office/drawing/2014/main" id="{7BF4A86D-3E8D-623E-D328-D4C5B53168BC}"/>
                      </a:ext>
                    </a:extLst>
                  </xdr:cNvPr>
                  <xdr:cNvSpPr txBox="1"/>
                </xdr:nvSpPr>
                <xdr:spPr>
                  <a:xfrm>
                    <a:off x="10286218" y="12560347"/>
                    <a:ext cx="1831862" cy="301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D2A784-663C-4B63-A89C-C4AC4B57B74E}" type="TxLink">
                      <a:rPr lang="en-US" sz="1100" b="0" i="0" u="none" strike="noStrike">
                        <a:solidFill>
                          <a:srgbClr val="000000"/>
                        </a:solidFill>
                        <a:latin typeface="Arial" panose="020B0604020202020204" pitchFamily="34" charset="0"/>
                        <a:cs typeface="Arial" panose="020B0604020202020204" pitchFamily="34" charset="0"/>
                      </a:rPr>
                      <a:pPr/>
                      <a:t>= 25.92 cm/yr</a:t>
                    </a:fld>
                    <a:endParaRPr lang="en-US" sz="1400" b="0">
                      <a:latin typeface="Arial" panose="020B0604020202020204" pitchFamily="34" charset="0"/>
                      <a:cs typeface="Arial" panose="020B0604020202020204" pitchFamily="34" charset="0"/>
                    </a:endParaRPr>
                  </a:p>
                </xdr:txBody>
              </xdr:sp>
            </xdr:grpSp>
            <xdr:sp macro="" textlink="">
              <xdr:nvSpPr>
                <xdr:cNvPr id="11" name="Cylinder 25">
                  <a:extLst>
                    <a:ext uri="{FF2B5EF4-FFF2-40B4-BE49-F238E27FC236}">
                      <a16:creationId xmlns:a16="http://schemas.microsoft.com/office/drawing/2014/main" id="{747D2D77-B754-A504-AABA-0E2496617EBC}"/>
                    </a:ext>
                  </a:extLst>
                </xdr:cNvPr>
                <xdr:cNvSpPr/>
              </xdr:nvSpPr>
              <xdr:spPr>
                <a:xfrm>
                  <a:off x="16317324" y="8164270"/>
                  <a:ext cx="71330" cy="299525"/>
                </a:xfrm>
                <a:prstGeom prst="can">
                  <a:avLst/>
                </a:prstGeom>
                <a:blipFill>
                  <a:blip xmlns:r="http://schemas.openxmlformats.org/officeDocument/2006/relationships" r:embed="rId4"/>
                  <a:tile tx="0" ty="0" sx="100000" sy="100000" flip="none" algn="tl"/>
                </a:blip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8" name="TextBox 110">
                  <a:extLst>
                    <a:ext uri="{FF2B5EF4-FFF2-40B4-BE49-F238E27FC236}">
                      <a16:creationId xmlns:a16="http://schemas.microsoft.com/office/drawing/2014/main" id="{FA309584-FEAB-1B00-5B3C-2DEFC257816C}"/>
                    </a:ext>
                  </a:extLst>
                </xdr:cNvPr>
                <xdr:cNvSpPr txBox="1"/>
              </xdr:nvSpPr>
              <xdr:spPr>
                <a:xfrm>
                  <a:off x="15747010" y="6160211"/>
                  <a:ext cx="1354175"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50" b="0">
                      <a:latin typeface="Arial" panose="020B0604020202020204" pitchFamily="34" charset="0"/>
                      <a:cs typeface="Arial" panose="020B0604020202020204" pitchFamily="34" charset="0"/>
                    </a:rPr>
                    <a:t>PFAS-contaminated site</a:t>
                  </a:r>
                </a:p>
              </xdr:txBody>
            </xdr:sp>
            <xdr:cxnSp macro="">
              <xdr:nvCxnSpPr>
                <xdr:cNvPr id="9" name="Straight Arrow Connector 21">
                  <a:extLst>
                    <a:ext uri="{FF2B5EF4-FFF2-40B4-BE49-F238E27FC236}">
                      <a16:creationId xmlns:a16="http://schemas.microsoft.com/office/drawing/2014/main" id="{51557555-6F52-0958-A62B-164858E8A305}"/>
                    </a:ext>
                  </a:extLst>
                </xdr:cNvPr>
                <xdr:cNvCxnSpPr>
                  <a:cxnSpLocks/>
                </xdr:cNvCxnSpPr>
              </xdr:nvCxnSpPr>
              <xdr:spPr>
                <a:xfrm flipH="1">
                  <a:off x="15658069" y="6407238"/>
                  <a:ext cx="352421" cy="28524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pic>
              <xdr:nvPicPr>
                <xdr:cNvPr id="12" name="Picture 26">
                  <a:extLst>
                    <a:ext uri="{FF2B5EF4-FFF2-40B4-BE49-F238E27FC236}">
                      <a16:creationId xmlns:a16="http://schemas.microsoft.com/office/drawing/2014/main" id="{65171CCF-0475-F9A3-2010-674B7B5E8BA1}"/>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flipH="1">
                  <a:off x="16152610" y="6555569"/>
                  <a:ext cx="344266" cy="368811"/>
                </a:xfrm>
                <a:prstGeom prst="rect">
                  <a:avLst/>
                </a:prstGeom>
                <a:effectLst/>
              </xdr:spPr>
            </xdr:pic>
            <xdr:sp macro="" textlink="">
              <xdr:nvSpPr>
                <xdr:cNvPr id="10" name="Rectangle 24">
                  <a:extLst>
                    <a:ext uri="{FF2B5EF4-FFF2-40B4-BE49-F238E27FC236}">
                      <a16:creationId xmlns:a16="http://schemas.microsoft.com/office/drawing/2014/main" id="{005AB70C-742E-5D2F-587B-C33A41F89984}"/>
                    </a:ext>
                  </a:extLst>
                </xdr:cNvPr>
                <xdr:cNvSpPr/>
              </xdr:nvSpPr>
              <xdr:spPr>
                <a:xfrm>
                  <a:off x="16322060" y="6893113"/>
                  <a:ext cx="60630" cy="1281993"/>
                </a:xfrm>
                <a:prstGeom prst="rect">
                  <a:avLst/>
                </a:prstGeom>
                <a:solidFill>
                  <a:schemeClr val="accent3">
                    <a:lumMod val="75000"/>
                  </a:schemeClr>
                </a:solid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xnSp macro="">
            <xdr:nvCxnSpPr>
              <xdr:cNvPr id="13" name="Straight Arrow Connector 27">
                <a:extLst>
                  <a:ext uri="{FF2B5EF4-FFF2-40B4-BE49-F238E27FC236}">
                    <a16:creationId xmlns:a16="http://schemas.microsoft.com/office/drawing/2014/main" id="{04141D31-4DF8-FAF5-F75E-1787064D335D}"/>
                  </a:ext>
                </a:extLst>
              </xdr:cNvPr>
              <xdr:cNvCxnSpPr>
                <a:cxnSpLocks/>
              </xdr:cNvCxnSpPr>
            </xdr:nvCxnSpPr>
            <xdr:spPr>
              <a:xfrm flipH="1" flipV="1">
                <a:off x="16395946" y="7133083"/>
                <a:ext cx="372785" cy="443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4" name="TextBox 110">
                <a:extLst>
                  <a:ext uri="{FF2B5EF4-FFF2-40B4-BE49-F238E27FC236}">
                    <a16:creationId xmlns:a16="http://schemas.microsoft.com/office/drawing/2014/main" id="{140890F0-CBA0-5A9E-4B3D-9441F81B4F7B}"/>
                  </a:ext>
                </a:extLst>
              </xdr:cNvPr>
              <xdr:cNvSpPr txBox="1"/>
            </xdr:nvSpPr>
            <xdr:spPr>
              <a:xfrm>
                <a:off x="16580673" y="6969224"/>
                <a:ext cx="1025346"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Receptor well (drinking water)</a:t>
                </a:r>
              </a:p>
            </xdr:txBody>
          </xdr:sp>
        </xdr:grpSp>
      </xdr:grpSp>
      <xdr:cxnSp macro="">
        <xdr:nvCxnSpPr>
          <xdr:cNvPr id="4" name="Straight Connector 26053">
            <a:extLst>
              <a:ext uri="{FF2B5EF4-FFF2-40B4-BE49-F238E27FC236}">
                <a16:creationId xmlns:a16="http://schemas.microsoft.com/office/drawing/2014/main" id="{15211855-2950-40FE-B8C6-C7A9214D718D}"/>
              </a:ext>
            </a:extLst>
          </xdr:cNvPr>
          <xdr:cNvCxnSpPr>
            <a:cxnSpLocks/>
          </xdr:cNvCxnSpPr>
        </xdr:nvCxnSpPr>
        <xdr:spPr>
          <a:xfrm flipV="1">
            <a:off x="9549368" y="6720961"/>
            <a:ext cx="1208557" cy="918819"/>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0</xdr:colOff>
      <xdr:row>9</xdr:row>
      <xdr:rowOff>0</xdr:rowOff>
    </xdr:from>
    <xdr:to>
      <xdr:col>15</xdr:col>
      <xdr:colOff>357187</xdr:colOff>
      <xdr:row>22</xdr:row>
      <xdr:rowOff>107157</xdr:rowOff>
    </xdr:to>
    <xdr:graphicFrame macro="">
      <xdr:nvGraphicFramePr>
        <xdr:cNvPr id="5" name="Chart 4">
          <a:extLst>
            <a:ext uri="{FF2B5EF4-FFF2-40B4-BE49-F238E27FC236}">
              <a16:creationId xmlns:a16="http://schemas.microsoft.com/office/drawing/2014/main" id="{4DCCC2DA-8C16-BCE1-2C29-90622E245E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881102</xdr:colOff>
      <xdr:row>26</xdr:row>
      <xdr:rowOff>23147</xdr:rowOff>
    </xdr:from>
    <xdr:to>
      <xdr:col>7</xdr:col>
      <xdr:colOff>1076373</xdr:colOff>
      <xdr:row>26</xdr:row>
      <xdr:rowOff>192347</xdr:rowOff>
    </xdr:to>
    <xdr:pic>
      <xdr:nvPicPr>
        <xdr:cNvPr id="2" name="Graphic 1" descr="Raised hand">
          <a:extLst>
            <a:ext uri="{FF2B5EF4-FFF2-40B4-BE49-F238E27FC236}">
              <a16:creationId xmlns:a16="http://schemas.microsoft.com/office/drawing/2014/main" id="{AE658A2C-A8E7-4959-8D04-DE8AD452AEC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6167959" y="6575192"/>
          <a:ext cx="195271" cy="169200"/>
        </a:xfrm>
        <a:prstGeom prst="rect">
          <a:avLst/>
        </a:prstGeom>
      </xdr:spPr>
    </xdr:pic>
    <xdr:clientData/>
  </xdr:twoCellAnchor>
  <xdr:twoCellAnchor>
    <xdr:from>
      <xdr:col>10</xdr:col>
      <xdr:colOff>2068324</xdr:colOff>
      <xdr:row>6</xdr:row>
      <xdr:rowOff>26453</xdr:rowOff>
    </xdr:from>
    <xdr:to>
      <xdr:col>10</xdr:col>
      <xdr:colOff>2263595</xdr:colOff>
      <xdr:row>6</xdr:row>
      <xdr:rowOff>195653</xdr:rowOff>
    </xdr:to>
    <xdr:pic>
      <xdr:nvPicPr>
        <xdr:cNvPr id="3" name="Graphic 2" descr="Raised hand">
          <a:extLst>
            <a:ext uri="{FF2B5EF4-FFF2-40B4-BE49-F238E27FC236}">
              <a16:creationId xmlns:a16="http://schemas.microsoft.com/office/drawing/2014/main" id="{FCC868E3-8F1F-4437-A888-F8FB8402863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8870521" y="2297059"/>
          <a:ext cx="195271" cy="1692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647700</xdr:colOff>
          <xdr:row>4</xdr:row>
          <xdr:rowOff>0</xdr:rowOff>
        </xdr:from>
        <xdr:to>
          <xdr:col>5</xdr:col>
          <xdr:colOff>508000</xdr:colOff>
          <xdr:row>4</xdr:row>
          <xdr:rowOff>444500</xdr:rowOff>
        </xdr:to>
        <xdr:sp macro="" textlink="">
          <xdr:nvSpPr>
            <xdr:cNvPr id="45060" name="Button 14" hidden="1">
              <a:extLst>
                <a:ext uri="{63B3BB69-23CF-44E3-9099-C40C66FF867C}">
                  <a14:compatExt spid="_x0000_s45060"/>
                </a:ext>
                <a:ext uri="{FF2B5EF4-FFF2-40B4-BE49-F238E27FC236}">
                  <a16:creationId xmlns:a16="http://schemas.microsoft.com/office/drawing/2014/main" id="{00000000-0008-0000-0200-000004B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600" b="0" i="0" u="none" strike="noStrike" baseline="0">
                  <a:solidFill>
                    <a:srgbClr val="000000"/>
                  </a:solidFill>
                  <a:latin typeface="Arial" pitchFamily="2" charset="0"/>
                  <a:cs typeface="Arial" pitchFamily="2" charset="0"/>
                </a:rPr>
                <a:t>Download data</a:t>
              </a:r>
            </a:p>
          </xdr:txBody>
        </xdr:sp>
        <xdr:clientData fPrintsWithSheet="0"/>
      </xdr:twoCellAnchor>
    </mc:Choice>
    <mc:Fallback/>
  </mc:AlternateContent>
  <xdr:twoCellAnchor>
    <xdr:from>
      <xdr:col>2</xdr:col>
      <xdr:colOff>3487140</xdr:colOff>
      <xdr:row>3</xdr:row>
      <xdr:rowOff>118321</xdr:rowOff>
    </xdr:from>
    <xdr:to>
      <xdr:col>2</xdr:col>
      <xdr:colOff>3791606</xdr:colOff>
      <xdr:row>3</xdr:row>
      <xdr:rowOff>379995</xdr:rowOff>
    </xdr:to>
    <xdr:pic>
      <xdr:nvPicPr>
        <xdr:cNvPr id="24" name="Graphic 23" descr="Raised hand">
          <a:extLst>
            <a:ext uri="{FF2B5EF4-FFF2-40B4-BE49-F238E27FC236}">
              <a16:creationId xmlns:a16="http://schemas.microsoft.com/office/drawing/2014/main" id="{E7F1D111-029C-449F-92FC-1B868605B9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4223740" y="2048721"/>
          <a:ext cx="304466" cy="261674"/>
        </a:xfrm>
        <a:prstGeom prst="rect">
          <a:avLst/>
        </a:prstGeom>
      </xdr:spPr>
    </xdr:pic>
    <xdr:clientData/>
  </xdr:twoCellAnchor>
  <xdr:twoCellAnchor>
    <xdr:from>
      <xdr:col>1</xdr:col>
      <xdr:colOff>57150</xdr:colOff>
      <xdr:row>6</xdr:row>
      <xdr:rowOff>163354</xdr:rowOff>
    </xdr:from>
    <xdr:to>
      <xdr:col>5</xdr:col>
      <xdr:colOff>827405</xdr:colOff>
      <xdr:row>15</xdr:row>
      <xdr:rowOff>444024</xdr:rowOff>
    </xdr:to>
    <xdr:graphicFrame macro="">
      <xdr:nvGraphicFramePr>
        <xdr:cNvPr id="6" name="Chart 5">
          <a:extLst>
            <a:ext uri="{FF2B5EF4-FFF2-40B4-BE49-F238E27FC236}">
              <a16:creationId xmlns:a16="http://schemas.microsoft.com/office/drawing/2014/main" id="{F5B1E55B-46A3-F1EA-BC24-57C94194EC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10</xdr:col>
      <xdr:colOff>14882</xdr:colOff>
      <xdr:row>23</xdr:row>
      <xdr:rowOff>147195</xdr:rowOff>
    </xdr:from>
    <xdr:to>
      <xdr:col>11</xdr:col>
      <xdr:colOff>26644</xdr:colOff>
      <xdr:row>24</xdr:row>
      <xdr:rowOff>134284</xdr:rowOff>
    </xdr:to>
    <xdr:sp macro="[0]!M1_Set_default_PFAS" textlink="">
      <xdr:nvSpPr>
        <xdr:cNvPr id="13" name="矩形 12">
          <a:extLst>
            <a:ext uri="{FF2B5EF4-FFF2-40B4-BE49-F238E27FC236}">
              <a16:creationId xmlns:a16="http://schemas.microsoft.com/office/drawing/2014/main" id="{47FB12C6-202D-B2A2-FC57-2F73A14829A2}"/>
            </a:ext>
          </a:extLst>
        </xdr:cNvPr>
        <xdr:cNvSpPr/>
      </xdr:nvSpPr>
      <xdr:spPr>
        <a:xfrm>
          <a:off x="8134945" y="6495608"/>
          <a:ext cx="1326212" cy="187114"/>
        </a:xfrm>
        <a:prstGeom prst="rect">
          <a:avLst/>
        </a:prstGeom>
        <a:solidFill>
          <a:schemeClr val="accent6">
            <a:lumMod val="40000"/>
            <a:lumOff val="60000"/>
          </a:schemeClr>
        </a:solid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Set</a:t>
          </a:r>
          <a:r>
            <a:rPr lang="en-US" altLang="zh-CN" sz="1000" b="0" baseline="0">
              <a:solidFill>
                <a:sysClr val="windowText" lastClr="000000"/>
              </a:solidFill>
              <a:latin typeface="Arial" panose="020B0604020202020204" pitchFamily="34" charset="0"/>
              <a:cs typeface="Arial" panose="020B0604020202020204" pitchFamily="34" charset="0"/>
            </a:rPr>
            <a:t> Default Values</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9</xdr:col>
      <xdr:colOff>88306</xdr:colOff>
      <xdr:row>28</xdr:row>
      <xdr:rowOff>160249</xdr:rowOff>
    </xdr:from>
    <xdr:to>
      <xdr:col>11</xdr:col>
      <xdr:colOff>87931</xdr:colOff>
      <xdr:row>29</xdr:row>
      <xdr:rowOff>149749</xdr:rowOff>
    </xdr:to>
    <xdr:sp macro="[0]!M1_PFAS_FillBoundCells" textlink="">
      <xdr:nvSpPr>
        <xdr:cNvPr id="16" name="矩形 15">
          <a:extLst>
            <a:ext uri="{FF2B5EF4-FFF2-40B4-BE49-F238E27FC236}">
              <a16:creationId xmlns:a16="http://schemas.microsoft.com/office/drawing/2014/main" id="{711C1E2A-DD1A-4CE8-95FF-B0B3E9A83E7D}"/>
            </a:ext>
          </a:extLst>
        </xdr:cNvPr>
        <xdr:cNvSpPr/>
      </xdr:nvSpPr>
      <xdr:spPr>
        <a:xfrm>
          <a:off x="8042229" y="7626973"/>
          <a:ext cx="1477642" cy="202992"/>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a:t>
          </a:r>
          <a:r>
            <a:rPr lang="en-US" altLang="zh-CN" sz="900" b="0">
              <a:solidFill>
                <a:sysClr val="windowText" lastClr="000000"/>
              </a:solidFill>
              <a:latin typeface="Arial" panose="020B0604020202020204" pitchFamily="34" charset="0"/>
              <a:cs typeface="Arial" panose="020B0604020202020204" pitchFamily="34" charset="0"/>
            </a:rPr>
            <a:t>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9</xdr:col>
      <xdr:colOff>88306</xdr:colOff>
      <xdr:row>41</xdr:row>
      <xdr:rowOff>5987</xdr:rowOff>
    </xdr:from>
    <xdr:to>
      <xdr:col>11</xdr:col>
      <xdr:colOff>87931</xdr:colOff>
      <xdr:row>41</xdr:row>
      <xdr:rowOff>185987</xdr:rowOff>
    </xdr:to>
    <xdr:sp macro="[0]!M1_DF_FillBoundCells" textlink="">
      <xdr:nvSpPr>
        <xdr:cNvPr id="18" name="矩形 17">
          <a:extLst>
            <a:ext uri="{FF2B5EF4-FFF2-40B4-BE49-F238E27FC236}">
              <a16:creationId xmlns:a16="http://schemas.microsoft.com/office/drawing/2014/main" id="{9767FA61-573C-4D61-AC86-AC3F860AADA4}"/>
            </a:ext>
          </a:extLst>
        </xdr:cNvPr>
        <xdr:cNvSpPr/>
      </xdr:nvSpPr>
      <xdr:spPr>
        <a:xfrm>
          <a:off x="8042229" y="10357582"/>
          <a:ext cx="1477642" cy="180000"/>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a:t>
          </a:r>
          <a:r>
            <a:rPr lang="en-US" altLang="zh-CN" sz="900" b="0">
              <a:solidFill>
                <a:sysClr val="windowText" lastClr="000000"/>
              </a:solidFill>
              <a:latin typeface="Arial" panose="020B0604020202020204" pitchFamily="34" charset="0"/>
              <a:cs typeface="Arial" panose="020B0604020202020204" pitchFamily="34" charset="0"/>
            </a:rPr>
            <a:t>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10</xdr:col>
          <xdr:colOff>25400</xdr:colOff>
          <xdr:row>18</xdr:row>
          <xdr:rowOff>0</xdr:rowOff>
        </xdr:from>
        <xdr:to>
          <xdr:col>11</xdr:col>
          <xdr:colOff>38100</xdr:colOff>
          <xdr:row>18</xdr:row>
          <xdr:rowOff>190500</xdr:rowOff>
        </xdr:to>
        <xdr:sp macro="" textlink="">
          <xdr:nvSpPr>
            <xdr:cNvPr id="25619" name="Button 19" hidden="1">
              <a:extLst>
                <a:ext uri="{63B3BB69-23CF-44E3-9099-C40C66FF867C}">
                  <a14:compatExt spid="_x0000_s25619"/>
                </a:ext>
                <a:ext uri="{FF2B5EF4-FFF2-40B4-BE49-F238E27FC236}">
                  <a16:creationId xmlns:a16="http://schemas.microsoft.com/office/drawing/2014/main" id="{00000000-0008-0000-0400-000013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a:t>
              </a:r>
              <a:r>
                <a:rPr lang="en-US" sz="1000" b="0" i="1" u="none" strike="noStrike" baseline="0">
                  <a:solidFill>
                    <a:srgbClr val="000000"/>
                  </a:solidFill>
                  <a:latin typeface="Arial" pitchFamily="2" charset="0"/>
                  <a:cs typeface="Arial" pitchFamily="2" charset="0"/>
                </a:rPr>
                <a:t> α</a:t>
              </a:r>
              <a:r>
                <a:rPr lang="en-US" sz="1000" b="0" i="1" u="none" strike="noStrike" baseline="-25000">
                  <a:solidFill>
                    <a:srgbClr val="000000"/>
                  </a:solidFill>
                  <a:latin typeface="Arial" pitchFamily="2" charset="0"/>
                  <a:cs typeface="Arial" pitchFamily="2" charset="0"/>
                </a:rPr>
                <a:t>L</a:t>
              </a:r>
              <a:r>
                <a:rPr lang="en-US" sz="1000" b="0" i="0" u="none" strike="noStrike" baseline="0">
                  <a:solidFill>
                    <a:srgbClr val="000000"/>
                  </a:solidFill>
                  <a:latin typeface="Arial" pitchFamily="2" charset="0"/>
                  <a:cs typeface="Arial" pitchFamily="2" charset="0"/>
                </a:rPr>
                <a:t>  </a:t>
              </a:r>
            </a:p>
            <a:p>
              <a:pPr algn="l" rtl="0">
                <a:defRPr sz="1000"/>
              </a:pPr>
              <a:endParaRPr lang="en-US"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25400</xdr:colOff>
          <xdr:row>19</xdr:row>
          <xdr:rowOff>0</xdr:rowOff>
        </xdr:from>
        <xdr:to>
          <xdr:col>11</xdr:col>
          <xdr:colOff>38100</xdr:colOff>
          <xdr:row>19</xdr:row>
          <xdr:rowOff>190500</xdr:rowOff>
        </xdr:to>
        <xdr:sp macro="" textlink="">
          <xdr:nvSpPr>
            <xdr:cNvPr id="25620" name="Button 20" hidden="1">
              <a:extLst>
                <a:ext uri="{63B3BB69-23CF-44E3-9099-C40C66FF867C}">
                  <a14:compatExt spid="_x0000_s25620"/>
                </a:ext>
                <a:ext uri="{FF2B5EF4-FFF2-40B4-BE49-F238E27FC236}">
                  <a16:creationId xmlns:a16="http://schemas.microsoft.com/office/drawing/2014/main" id="{00000000-0008-0000-0400-000014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θ</a:t>
              </a: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25400</xdr:colOff>
          <xdr:row>20</xdr:row>
          <xdr:rowOff>12700</xdr:rowOff>
        </xdr:from>
        <xdr:to>
          <xdr:col>11</xdr:col>
          <xdr:colOff>38100</xdr:colOff>
          <xdr:row>20</xdr:row>
          <xdr:rowOff>203200</xdr:rowOff>
        </xdr:to>
        <xdr:sp macro="" textlink="">
          <xdr:nvSpPr>
            <xdr:cNvPr id="25621" name="Button 21" hidden="1">
              <a:extLst>
                <a:ext uri="{63B3BB69-23CF-44E3-9099-C40C66FF867C}">
                  <a14:compatExt spid="_x0000_s25621"/>
                </a:ext>
                <a:ext uri="{FF2B5EF4-FFF2-40B4-BE49-F238E27FC236}">
                  <a16:creationId xmlns:a16="http://schemas.microsoft.com/office/drawing/2014/main" id="{00000000-0008-0000-0400-000015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SF</a:t>
              </a: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25400</xdr:colOff>
          <xdr:row>21</xdr:row>
          <xdr:rowOff>12700</xdr:rowOff>
        </xdr:from>
        <xdr:to>
          <xdr:col>11</xdr:col>
          <xdr:colOff>38100</xdr:colOff>
          <xdr:row>21</xdr:row>
          <xdr:rowOff>203200</xdr:rowOff>
        </xdr:to>
        <xdr:sp macro="" textlink="">
          <xdr:nvSpPr>
            <xdr:cNvPr id="25622" name="Button 22" hidden="1">
              <a:extLst>
                <a:ext uri="{63B3BB69-23CF-44E3-9099-C40C66FF867C}">
                  <a14:compatExt spid="_x0000_s25622"/>
                </a:ext>
                <a:ext uri="{FF2B5EF4-FFF2-40B4-BE49-F238E27FC236}">
                  <a16:creationId xmlns:a16="http://schemas.microsoft.com/office/drawing/2014/main" id="{00000000-0008-0000-0400-000016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A</a:t>
              </a:r>
              <a:r>
                <a:rPr lang="en-US" sz="1000" b="0" i="1" u="none" strike="noStrike" baseline="-25000">
                  <a:solidFill>
                    <a:srgbClr val="000000"/>
                  </a:solidFill>
                  <a:latin typeface="Arial" pitchFamily="2" charset="0"/>
                  <a:cs typeface="Arial" pitchFamily="2" charset="0"/>
                </a:rPr>
                <a:t>aw</a:t>
              </a: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32</xdr:row>
          <xdr:rowOff>0</xdr:rowOff>
        </xdr:from>
        <xdr:to>
          <xdr:col>11</xdr:col>
          <xdr:colOff>12700</xdr:colOff>
          <xdr:row>32</xdr:row>
          <xdr:rowOff>203200</xdr:rowOff>
        </xdr:to>
        <xdr:sp macro="" textlink="">
          <xdr:nvSpPr>
            <xdr:cNvPr id="25624" name="Button 24" hidden="1">
              <a:extLst>
                <a:ext uri="{63B3BB69-23CF-44E3-9099-C40C66FF867C}">
                  <a14:compatExt spid="_x0000_s25624"/>
                </a:ext>
                <a:ext uri="{FF2B5EF4-FFF2-40B4-BE49-F238E27FC236}">
                  <a16:creationId xmlns:a16="http://schemas.microsoft.com/office/drawing/2014/main" id="{00000000-0008-0000-0400-000018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K</a:t>
              </a:r>
              <a:r>
                <a:rPr lang="en-US" sz="1000" b="0" i="1" u="none" strike="noStrike" baseline="-25000">
                  <a:solidFill>
                    <a:srgbClr val="000000"/>
                  </a:solidFill>
                  <a:latin typeface="Arial" pitchFamily="2" charset="0"/>
                  <a:cs typeface="Arial" pitchFamily="2" charset="0"/>
                </a:rPr>
                <a:t>d</a:t>
              </a: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33</xdr:row>
          <xdr:rowOff>25400</xdr:rowOff>
        </xdr:from>
        <xdr:to>
          <xdr:col>11</xdr:col>
          <xdr:colOff>12700</xdr:colOff>
          <xdr:row>33</xdr:row>
          <xdr:rowOff>215900</xdr:rowOff>
        </xdr:to>
        <xdr:sp macro="" textlink="">
          <xdr:nvSpPr>
            <xdr:cNvPr id="25625" name="Button 25" hidden="1">
              <a:extLst>
                <a:ext uri="{63B3BB69-23CF-44E3-9099-C40C66FF867C}">
                  <a14:compatExt spid="_x0000_s25625"/>
                </a:ext>
                <a:ext uri="{FF2B5EF4-FFF2-40B4-BE49-F238E27FC236}">
                  <a16:creationId xmlns:a16="http://schemas.microsoft.com/office/drawing/2014/main" id="{00000000-0008-0000-0400-000019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K</a:t>
              </a:r>
              <a:r>
                <a:rPr lang="en-US" sz="1000" b="0" i="1" u="none" strike="noStrike" baseline="-25000">
                  <a:solidFill>
                    <a:srgbClr val="000000"/>
                  </a:solidFill>
                  <a:latin typeface="Arial" pitchFamily="2" charset="0"/>
                  <a:cs typeface="Arial" pitchFamily="2" charset="0"/>
                </a:rPr>
                <a:t>aw</a:t>
              </a:r>
            </a:p>
          </xdr:txBody>
        </xdr:sp>
        <xdr:clientData fPrintsWithSheet="0"/>
      </xdr:twoCellAnchor>
    </mc:Choice>
    <mc:Fallback/>
  </mc:AlternateContent>
  <xdr:twoCellAnchor>
    <xdr:from>
      <xdr:col>9</xdr:col>
      <xdr:colOff>88306</xdr:colOff>
      <xdr:row>10</xdr:row>
      <xdr:rowOff>154425</xdr:rowOff>
    </xdr:from>
    <xdr:to>
      <xdr:col>11</xdr:col>
      <xdr:colOff>87931</xdr:colOff>
      <xdr:row>11</xdr:row>
      <xdr:rowOff>143925</xdr:rowOff>
    </xdr:to>
    <xdr:sp macro="[0]!M1_Soil_FillBoundCells" textlink="">
      <xdr:nvSpPr>
        <xdr:cNvPr id="3" name="矩形 15">
          <a:extLst>
            <a:ext uri="{FF2B5EF4-FFF2-40B4-BE49-F238E27FC236}">
              <a16:creationId xmlns:a16="http://schemas.microsoft.com/office/drawing/2014/main" id="{60CCFA4A-4E1A-4717-B724-03789C6F4E72}"/>
            </a:ext>
          </a:extLst>
        </xdr:cNvPr>
        <xdr:cNvSpPr/>
      </xdr:nvSpPr>
      <xdr:spPr>
        <a:xfrm>
          <a:off x="8042229" y="3674296"/>
          <a:ext cx="1477642" cy="202991"/>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17</xdr:col>
      <xdr:colOff>232306</xdr:colOff>
      <xdr:row>41</xdr:row>
      <xdr:rowOff>82954</xdr:rowOff>
    </xdr:from>
    <xdr:to>
      <xdr:col>19</xdr:col>
      <xdr:colOff>737683</xdr:colOff>
      <xdr:row>42</xdr:row>
      <xdr:rowOff>94247</xdr:rowOff>
    </xdr:to>
    <xdr:sp macro="[0]!M1_Module1_Input_1201_equili" textlink="">
      <xdr:nvSpPr>
        <xdr:cNvPr id="8" name="矩形: 圆角 44251">
          <a:extLst>
            <a:ext uri="{FF2B5EF4-FFF2-40B4-BE49-F238E27FC236}">
              <a16:creationId xmlns:a16="http://schemas.microsoft.com/office/drawing/2014/main" id="{BBCD5B58-230F-4BB1-8A66-C3C0FFE76A0D}"/>
            </a:ext>
          </a:extLst>
        </xdr:cNvPr>
        <xdr:cNvSpPr/>
      </xdr:nvSpPr>
      <xdr:spPr>
        <a:xfrm>
          <a:off x="15127025" y="10231048"/>
          <a:ext cx="1620596" cy="225606"/>
        </a:xfrm>
        <a:prstGeom prst="roundRect">
          <a:avLst/>
        </a:prstGeom>
        <a:solidFill>
          <a:schemeClr val="accent2">
            <a:lumMod val="40000"/>
            <a:lumOff val="60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Basic Solver </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17</xdr:col>
      <xdr:colOff>244958</xdr:colOff>
      <xdr:row>43</xdr:row>
      <xdr:rowOff>153771</xdr:rowOff>
    </xdr:from>
    <xdr:to>
      <xdr:col>19</xdr:col>
      <xdr:colOff>754062</xdr:colOff>
      <xdr:row>44</xdr:row>
      <xdr:rowOff>168798</xdr:rowOff>
    </xdr:to>
    <xdr:sp macro="[0]!M1_Module1_Input_1201_Kinetic" textlink="">
      <xdr:nvSpPr>
        <xdr:cNvPr id="9" name="矩形: 圆角 44252">
          <a:extLst>
            <a:ext uri="{FF2B5EF4-FFF2-40B4-BE49-F238E27FC236}">
              <a16:creationId xmlns:a16="http://schemas.microsoft.com/office/drawing/2014/main" id="{E6297250-F299-48CB-825C-5C8EA90C5DF0}"/>
            </a:ext>
          </a:extLst>
        </xdr:cNvPr>
        <xdr:cNvSpPr/>
      </xdr:nvSpPr>
      <xdr:spPr>
        <a:xfrm>
          <a:off x="15139677" y="10730490"/>
          <a:ext cx="1624323" cy="229340"/>
        </a:xfrm>
        <a:prstGeom prst="roundRect">
          <a:avLst/>
        </a:prstGeom>
        <a:solidFill>
          <a:schemeClr val="accent2">
            <a:lumMod val="40000"/>
            <a:lumOff val="60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Advanced Solver</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10</xdr:col>
      <xdr:colOff>14774</xdr:colOff>
      <xdr:row>4</xdr:row>
      <xdr:rowOff>152448</xdr:rowOff>
    </xdr:from>
    <xdr:to>
      <xdr:col>11</xdr:col>
      <xdr:colOff>26536</xdr:colOff>
      <xdr:row>5</xdr:row>
      <xdr:rowOff>139536</xdr:rowOff>
    </xdr:to>
    <xdr:sp macro="[0]!M1_Set_default_Soil" textlink="">
      <xdr:nvSpPr>
        <xdr:cNvPr id="14" name="矩形 13">
          <a:extLst>
            <a:ext uri="{FF2B5EF4-FFF2-40B4-BE49-F238E27FC236}">
              <a16:creationId xmlns:a16="http://schemas.microsoft.com/office/drawing/2014/main" id="{DC37ED13-2A6E-D4C9-EDF2-22AE17319E6A}"/>
            </a:ext>
          </a:extLst>
        </xdr:cNvPr>
        <xdr:cNvSpPr/>
      </xdr:nvSpPr>
      <xdr:spPr>
        <a:xfrm>
          <a:off x="8076006" y="2141492"/>
          <a:ext cx="1328454" cy="190195"/>
        </a:xfrm>
        <a:prstGeom prst="rect">
          <a:avLst/>
        </a:prstGeom>
        <a:solidFill>
          <a:schemeClr val="accent6">
            <a:lumMod val="40000"/>
            <a:lumOff val="60000"/>
          </a:schemeClr>
        </a:solid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Set</a:t>
          </a:r>
          <a:r>
            <a:rPr lang="en-US" altLang="zh-CN" sz="1000" b="0" baseline="0">
              <a:solidFill>
                <a:sysClr val="windowText" lastClr="000000"/>
              </a:solidFill>
              <a:latin typeface="Arial" panose="020B0604020202020204" pitchFamily="34" charset="0"/>
              <a:cs typeface="Arial" panose="020B0604020202020204" pitchFamily="34" charset="0"/>
            </a:rPr>
            <a:t> Default Values</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13</xdr:col>
      <xdr:colOff>1984657</xdr:colOff>
      <xdr:row>6</xdr:row>
      <xdr:rowOff>28581</xdr:rowOff>
    </xdr:from>
    <xdr:to>
      <xdr:col>13</xdr:col>
      <xdr:colOff>2172465</xdr:colOff>
      <xdr:row>6</xdr:row>
      <xdr:rowOff>196264</xdr:rowOff>
    </xdr:to>
    <xdr:pic>
      <xdr:nvPicPr>
        <xdr:cNvPr id="55" name="Graphic 54" descr="Raised hand">
          <a:extLst>
            <a:ext uri="{FF2B5EF4-FFF2-40B4-BE49-F238E27FC236}">
              <a16:creationId xmlns:a16="http://schemas.microsoft.com/office/drawing/2014/main" id="{55CEAEFE-86D2-459D-8FAA-D4A1898309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819597" y="3007033"/>
          <a:ext cx="187808" cy="167683"/>
        </a:xfrm>
        <a:prstGeom prst="rect">
          <a:avLst/>
        </a:prstGeom>
      </xdr:spPr>
    </xdr:pic>
    <xdr:clientData/>
  </xdr:twoCellAnchor>
  <xdr:twoCellAnchor>
    <xdr:from>
      <xdr:col>10</xdr:col>
      <xdr:colOff>1024469</xdr:colOff>
      <xdr:row>8</xdr:row>
      <xdr:rowOff>35801</xdr:rowOff>
    </xdr:from>
    <xdr:to>
      <xdr:col>10</xdr:col>
      <xdr:colOff>1212741</xdr:colOff>
      <xdr:row>8</xdr:row>
      <xdr:rowOff>204150</xdr:rowOff>
    </xdr:to>
    <xdr:pic>
      <xdr:nvPicPr>
        <xdr:cNvPr id="56" name="Graphic 55" descr="Raised hand">
          <a:extLst>
            <a:ext uri="{FF2B5EF4-FFF2-40B4-BE49-F238E27FC236}">
              <a16:creationId xmlns:a16="http://schemas.microsoft.com/office/drawing/2014/main" id="{B9A52384-FD3A-436E-A969-62237F81D2B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9450066" y="3011771"/>
          <a:ext cx="188272" cy="168349"/>
        </a:xfrm>
        <a:prstGeom prst="rect">
          <a:avLst/>
        </a:prstGeom>
      </xdr:spPr>
    </xdr:pic>
    <xdr:clientData/>
  </xdr:twoCellAnchor>
  <xdr:twoCellAnchor>
    <xdr:from>
      <xdr:col>10</xdr:col>
      <xdr:colOff>1042725</xdr:colOff>
      <xdr:row>26</xdr:row>
      <xdr:rowOff>30538</xdr:rowOff>
    </xdr:from>
    <xdr:to>
      <xdr:col>10</xdr:col>
      <xdr:colOff>1230533</xdr:colOff>
      <xdr:row>26</xdr:row>
      <xdr:rowOff>198221</xdr:rowOff>
    </xdr:to>
    <xdr:pic>
      <xdr:nvPicPr>
        <xdr:cNvPr id="57" name="Graphic 56" descr="Raised hand">
          <a:extLst>
            <a:ext uri="{FF2B5EF4-FFF2-40B4-BE49-F238E27FC236}">
              <a16:creationId xmlns:a16="http://schemas.microsoft.com/office/drawing/2014/main" id="{5A6F8686-6545-4278-AE76-D0A48F6690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9160872" y="7070279"/>
          <a:ext cx="187808" cy="167683"/>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0</xdr:colOff>
          <xdr:row>43</xdr:row>
          <xdr:rowOff>203200</xdr:rowOff>
        </xdr:from>
        <xdr:to>
          <xdr:col>11</xdr:col>
          <xdr:colOff>25400</xdr:colOff>
          <xdr:row>44</xdr:row>
          <xdr:rowOff>203200</xdr:rowOff>
        </xdr:to>
        <xdr:sp macro="" textlink="">
          <xdr:nvSpPr>
            <xdr:cNvPr id="25628" name="Button 28" hidden="1">
              <a:extLst>
                <a:ext uri="{63B3BB69-23CF-44E3-9099-C40C66FF867C}">
                  <a14:compatExt spid="_x0000_s25628"/>
                </a:ext>
                <a:ext uri="{FF2B5EF4-FFF2-40B4-BE49-F238E27FC236}">
                  <a16:creationId xmlns:a16="http://schemas.microsoft.com/office/drawing/2014/main" id="{00000000-0008-0000-0400-00001C6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Estimate α</a:t>
              </a:r>
              <a:r>
                <a:rPr lang="en-US" sz="1000" b="0" i="0" u="none" strike="noStrike" baseline="-25000">
                  <a:solidFill>
                    <a:srgbClr val="000000"/>
                  </a:solidFill>
                  <a:latin typeface="Arial" pitchFamily="2" charset="0"/>
                  <a:cs typeface="Arial" pitchFamily="2" charset="0"/>
                </a:rPr>
                <a:t>v</a:t>
              </a:r>
              <a:r>
                <a:rPr lang="en-US" sz="1000" b="0" i="0" u="none" strike="noStrike" baseline="0">
                  <a:solidFill>
                    <a:srgbClr val="000000"/>
                  </a:solidFill>
                  <a:latin typeface="Arial" pitchFamily="2" charset="0"/>
                  <a:cs typeface="Arial" pitchFamily="2" charset="0"/>
                </a:rPr>
                <a:t>, δ</a:t>
              </a:r>
              <a:r>
                <a:rPr lang="en-US" sz="1000" b="0" i="0" u="none" strike="noStrike" baseline="-25000">
                  <a:solidFill>
                    <a:srgbClr val="000000"/>
                  </a:solidFill>
                  <a:latin typeface="Arial" pitchFamily="2" charset="0"/>
                  <a:cs typeface="Arial" pitchFamily="2" charset="0"/>
                </a:rPr>
                <a:t>gw</a:t>
              </a:r>
              <a:r>
                <a:rPr lang="en-US" sz="1000" b="0" i="0" u="none" strike="noStrike" baseline="0">
                  <a:solidFill>
                    <a:srgbClr val="000000"/>
                  </a:solidFill>
                  <a:latin typeface="Arial" pitchFamily="2" charset="0"/>
                  <a:cs typeface="Arial" pitchFamily="2" charset="0"/>
                </a:rPr>
                <a:t>, </a:t>
              </a:r>
              <a:r>
                <a:rPr lang="en-US" sz="1000" b="0" i="1" u="none" strike="noStrike" baseline="0">
                  <a:solidFill>
                    <a:srgbClr val="000000"/>
                  </a:solidFill>
                  <a:latin typeface="Arial" pitchFamily="2" charset="0"/>
                  <a:cs typeface="Arial" pitchFamily="2" charset="0"/>
                </a:rPr>
                <a:t>DF</a:t>
              </a:r>
            </a:p>
          </xdr:txBody>
        </xdr:sp>
        <xdr:clientData fPrintsWithSheet="0"/>
      </xdr:twoCellAnchor>
    </mc:Choice>
    <mc:Fallback/>
  </mc:AlternateContent>
  <xdr:twoCellAnchor>
    <xdr:from>
      <xdr:col>13</xdr:col>
      <xdr:colOff>250072</xdr:colOff>
      <xdr:row>22</xdr:row>
      <xdr:rowOff>159808</xdr:rowOff>
    </xdr:from>
    <xdr:to>
      <xdr:col>18</xdr:col>
      <xdr:colOff>242661</xdr:colOff>
      <xdr:row>39</xdr:row>
      <xdr:rowOff>275677</xdr:rowOff>
    </xdr:to>
    <xdr:grpSp>
      <xdr:nvGrpSpPr>
        <xdr:cNvPr id="22" name="Group 21">
          <a:extLst>
            <a:ext uri="{FF2B5EF4-FFF2-40B4-BE49-F238E27FC236}">
              <a16:creationId xmlns:a16="http://schemas.microsoft.com/office/drawing/2014/main" id="{A6A5DBB8-715D-4E77-BC9A-434D33612520}"/>
            </a:ext>
          </a:extLst>
        </xdr:cNvPr>
        <xdr:cNvGrpSpPr/>
      </xdr:nvGrpSpPr>
      <xdr:grpSpPr>
        <a:xfrm>
          <a:off x="10950187" y="6320038"/>
          <a:ext cx="5525118" cy="3940467"/>
          <a:chOff x="6971912" y="5190499"/>
          <a:chExt cx="4204427" cy="3140567"/>
        </a:xfrm>
      </xdr:grpSpPr>
      <xdr:grpSp>
        <xdr:nvGrpSpPr>
          <xdr:cNvPr id="26" name="Group 25">
            <a:extLst>
              <a:ext uri="{FF2B5EF4-FFF2-40B4-BE49-F238E27FC236}">
                <a16:creationId xmlns:a16="http://schemas.microsoft.com/office/drawing/2014/main" id="{478035E6-0435-EF45-5CC1-969735F17C94}"/>
              </a:ext>
            </a:extLst>
          </xdr:cNvPr>
          <xdr:cNvGrpSpPr/>
        </xdr:nvGrpSpPr>
        <xdr:grpSpPr>
          <a:xfrm>
            <a:off x="6971912" y="5190499"/>
            <a:ext cx="4204427" cy="3140567"/>
            <a:chOff x="14416511" y="5941452"/>
            <a:chExt cx="4165706" cy="3330297"/>
          </a:xfrm>
        </xdr:grpSpPr>
        <xdr:sp macro="" textlink="">
          <xdr:nvSpPr>
            <xdr:cNvPr id="29" name="Rectangle 26306">
              <a:extLst>
                <a:ext uri="{FF2B5EF4-FFF2-40B4-BE49-F238E27FC236}">
                  <a16:creationId xmlns:a16="http://schemas.microsoft.com/office/drawing/2014/main" id="{437BF49A-B2CC-1F86-C10C-1E87D88AA5B7}"/>
                </a:ext>
              </a:extLst>
            </xdr:cNvPr>
            <xdr:cNvSpPr/>
          </xdr:nvSpPr>
          <xdr:spPr>
            <a:xfrm>
              <a:off x="14450565" y="7268344"/>
              <a:ext cx="2532444" cy="1921467"/>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8" name="Group 37">
              <a:extLst>
                <a:ext uri="{FF2B5EF4-FFF2-40B4-BE49-F238E27FC236}">
                  <a16:creationId xmlns:a16="http://schemas.microsoft.com/office/drawing/2014/main" id="{E8B64E4E-B1B7-0183-D86A-41E157B728B6}"/>
                </a:ext>
              </a:extLst>
            </xdr:cNvPr>
            <xdr:cNvGrpSpPr/>
          </xdr:nvGrpSpPr>
          <xdr:grpSpPr>
            <a:xfrm>
              <a:off x="14416511" y="5941452"/>
              <a:ext cx="4165706" cy="3330297"/>
              <a:chOff x="13996097" y="5570306"/>
              <a:chExt cx="4165706" cy="3330297"/>
            </a:xfrm>
          </xdr:grpSpPr>
          <xdr:grpSp>
            <xdr:nvGrpSpPr>
              <xdr:cNvPr id="39" name="Group 38">
                <a:extLst>
                  <a:ext uri="{FF2B5EF4-FFF2-40B4-BE49-F238E27FC236}">
                    <a16:creationId xmlns:a16="http://schemas.microsoft.com/office/drawing/2014/main" id="{90444C5A-209F-31D4-4D1C-FD3BC26D7D02}"/>
                  </a:ext>
                </a:extLst>
              </xdr:cNvPr>
              <xdr:cNvGrpSpPr/>
            </xdr:nvGrpSpPr>
            <xdr:grpSpPr>
              <a:xfrm>
                <a:off x="13996097" y="5570306"/>
                <a:ext cx="4165706" cy="3330297"/>
                <a:chOff x="13996097" y="5570306"/>
                <a:chExt cx="4165706" cy="3330297"/>
              </a:xfrm>
            </xdr:grpSpPr>
            <xdr:grpSp>
              <xdr:nvGrpSpPr>
                <xdr:cNvPr id="26048" name="Group 26305">
                  <a:extLst>
                    <a:ext uri="{FF2B5EF4-FFF2-40B4-BE49-F238E27FC236}">
                      <a16:creationId xmlns:a16="http://schemas.microsoft.com/office/drawing/2014/main" id="{A464C44D-30E1-9B1F-8657-F6D07E7BC5C4}"/>
                    </a:ext>
                  </a:extLst>
                </xdr:cNvPr>
                <xdr:cNvGrpSpPr/>
              </xdr:nvGrpSpPr>
              <xdr:grpSpPr>
                <a:xfrm>
                  <a:off x="13996097" y="5570306"/>
                  <a:ext cx="4165706" cy="3330297"/>
                  <a:chOff x="10116768" y="10989375"/>
                  <a:chExt cx="6042953" cy="3934725"/>
                </a:xfrm>
              </xdr:grpSpPr>
              <xdr:grpSp>
                <xdr:nvGrpSpPr>
                  <xdr:cNvPr id="26054" name="Group 26302">
                    <a:extLst>
                      <a:ext uri="{FF2B5EF4-FFF2-40B4-BE49-F238E27FC236}">
                        <a16:creationId xmlns:a16="http://schemas.microsoft.com/office/drawing/2014/main" id="{6A3844FD-C24F-266D-94AC-082F1DA166AA}"/>
                      </a:ext>
                    </a:extLst>
                  </xdr:cNvPr>
                  <xdr:cNvGrpSpPr/>
                </xdr:nvGrpSpPr>
                <xdr:grpSpPr>
                  <a:xfrm>
                    <a:off x="10116768" y="10989375"/>
                    <a:ext cx="6042953" cy="3934725"/>
                    <a:chOff x="6886570" y="10335913"/>
                    <a:chExt cx="6052026" cy="3933520"/>
                  </a:xfrm>
                </xdr:grpSpPr>
                <xdr:grpSp>
                  <xdr:nvGrpSpPr>
                    <xdr:cNvPr id="26057" name="Group 26295">
                      <a:extLst>
                        <a:ext uri="{FF2B5EF4-FFF2-40B4-BE49-F238E27FC236}">
                          <a16:creationId xmlns:a16="http://schemas.microsoft.com/office/drawing/2014/main" id="{B6E45F84-5E9E-4629-61FD-C509262AB610}"/>
                        </a:ext>
                      </a:extLst>
                    </xdr:cNvPr>
                    <xdr:cNvGrpSpPr/>
                  </xdr:nvGrpSpPr>
                  <xdr:grpSpPr>
                    <a:xfrm>
                      <a:off x="6886570" y="10335913"/>
                      <a:ext cx="6052026" cy="3933520"/>
                      <a:chOff x="6971799" y="10136492"/>
                      <a:chExt cx="6052572" cy="3918846"/>
                    </a:xfrm>
                  </xdr:grpSpPr>
                  <xdr:grpSp>
                    <xdr:nvGrpSpPr>
                      <xdr:cNvPr id="26063" name="Group 26292">
                        <a:extLst>
                          <a:ext uri="{FF2B5EF4-FFF2-40B4-BE49-F238E27FC236}">
                            <a16:creationId xmlns:a16="http://schemas.microsoft.com/office/drawing/2014/main" id="{8E335F7E-EF53-78CA-A703-B1BC7E5BED4A}"/>
                          </a:ext>
                        </a:extLst>
                      </xdr:cNvPr>
                      <xdr:cNvGrpSpPr/>
                    </xdr:nvGrpSpPr>
                    <xdr:grpSpPr>
                      <a:xfrm>
                        <a:off x="6971799" y="10136492"/>
                        <a:ext cx="6052572" cy="3918846"/>
                        <a:chOff x="7443625" y="11125336"/>
                        <a:chExt cx="6036971" cy="3934424"/>
                      </a:xfrm>
                    </xdr:grpSpPr>
                    <xdr:sp macro="" textlink="">
                      <xdr:nvSpPr>
                        <xdr:cNvPr id="26065" name="Freeform: Shape 26047">
                          <a:extLst>
                            <a:ext uri="{FF2B5EF4-FFF2-40B4-BE49-F238E27FC236}">
                              <a16:creationId xmlns:a16="http://schemas.microsoft.com/office/drawing/2014/main" id="{F32EA8CD-9792-F1E3-BC92-5D83095E6DB2}"/>
                            </a:ext>
                          </a:extLst>
                        </xdr:cNvPr>
                        <xdr:cNvSpPr/>
                      </xdr:nvSpPr>
                      <xdr:spPr>
                        <a:xfrm>
                          <a:off x="11146075" y="13053831"/>
                          <a:ext cx="1737854" cy="1918209"/>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 name="connsiteX0" fmla="*/ 0 w 2258705"/>
                            <a:gd name="connsiteY0" fmla="*/ 2193878 h 2193878"/>
                            <a:gd name="connsiteX1" fmla="*/ 2258705 w 2258705"/>
                            <a:gd name="connsiteY1" fmla="*/ 764275 h 2193878"/>
                            <a:gd name="connsiteX2" fmla="*/ 2255293 w 2258705"/>
                            <a:gd name="connsiteY2" fmla="*/ 0 h 2193878"/>
                            <a:gd name="connsiteX3" fmla="*/ 9635 w 2258705"/>
                            <a:gd name="connsiteY3" fmla="*/ 1277518 h 2193878"/>
                            <a:gd name="connsiteX4" fmla="*/ 0 w 2258705"/>
                            <a:gd name="connsiteY4" fmla="*/ 2193878 h 2193878"/>
                            <a:gd name="connsiteX0" fmla="*/ 0 w 2255344"/>
                            <a:gd name="connsiteY0" fmla="*/ 2193878 h 2193878"/>
                            <a:gd name="connsiteX1" fmla="*/ 2239436 w 2255344"/>
                            <a:gd name="connsiteY1" fmla="*/ 836050 h 2193878"/>
                            <a:gd name="connsiteX2" fmla="*/ 2255293 w 2255344"/>
                            <a:gd name="connsiteY2" fmla="*/ 0 h 2193878"/>
                            <a:gd name="connsiteX3" fmla="*/ 9635 w 2255344"/>
                            <a:gd name="connsiteY3" fmla="*/ 1277518 h 2193878"/>
                            <a:gd name="connsiteX4" fmla="*/ 0 w 2255344"/>
                            <a:gd name="connsiteY4" fmla="*/ 2193878 h 2193878"/>
                            <a:gd name="connsiteX0" fmla="*/ 0 w 2255370"/>
                            <a:gd name="connsiteY0" fmla="*/ 2193878 h 2193878"/>
                            <a:gd name="connsiteX1" fmla="*/ 2245859 w 2255370"/>
                            <a:gd name="connsiteY1" fmla="*/ 897570 h 2193878"/>
                            <a:gd name="connsiteX2" fmla="*/ 2255293 w 2255370"/>
                            <a:gd name="connsiteY2" fmla="*/ 0 h 2193878"/>
                            <a:gd name="connsiteX3" fmla="*/ 9635 w 2255370"/>
                            <a:gd name="connsiteY3" fmla="*/ 1277518 h 2193878"/>
                            <a:gd name="connsiteX4" fmla="*/ 0 w 2255370"/>
                            <a:gd name="connsiteY4" fmla="*/ 2193878 h 2193878"/>
                            <a:gd name="connsiteX0" fmla="*/ 0 w 2255331"/>
                            <a:gd name="connsiteY0" fmla="*/ 2193878 h 2193878"/>
                            <a:gd name="connsiteX1" fmla="*/ 2233013 w 2255331"/>
                            <a:gd name="connsiteY1" fmla="*/ 889879 h 2193878"/>
                            <a:gd name="connsiteX2" fmla="*/ 2255293 w 2255331"/>
                            <a:gd name="connsiteY2" fmla="*/ 0 h 2193878"/>
                            <a:gd name="connsiteX3" fmla="*/ 9635 w 2255331"/>
                            <a:gd name="connsiteY3" fmla="*/ 1277518 h 2193878"/>
                            <a:gd name="connsiteX4" fmla="*/ 0 w 2255331"/>
                            <a:gd name="connsiteY4" fmla="*/ 2193878 h 2193878"/>
                            <a:gd name="connsiteX0" fmla="*/ 0 w 2248921"/>
                            <a:gd name="connsiteY0" fmla="*/ 2193878 h 2193878"/>
                            <a:gd name="connsiteX1" fmla="*/ 2233013 w 2248921"/>
                            <a:gd name="connsiteY1" fmla="*/ 889879 h 2193878"/>
                            <a:gd name="connsiteX2" fmla="*/ 2248871 w 2248921"/>
                            <a:gd name="connsiteY2" fmla="*/ 0 h 2193878"/>
                            <a:gd name="connsiteX3" fmla="*/ 9635 w 2248921"/>
                            <a:gd name="connsiteY3" fmla="*/ 1277518 h 2193878"/>
                            <a:gd name="connsiteX4" fmla="*/ 0 w 2248921"/>
                            <a:gd name="connsiteY4" fmla="*/ 2193878 h 2193878"/>
                            <a:gd name="connsiteX0" fmla="*/ 0 w 2249601"/>
                            <a:gd name="connsiteY0" fmla="*/ 2193878 h 2193878"/>
                            <a:gd name="connsiteX1" fmla="*/ 2249601 w 2249601"/>
                            <a:gd name="connsiteY1" fmla="*/ 889879 h 2193878"/>
                            <a:gd name="connsiteX2" fmla="*/ 2248871 w 2249601"/>
                            <a:gd name="connsiteY2" fmla="*/ 0 h 2193878"/>
                            <a:gd name="connsiteX3" fmla="*/ 9635 w 2249601"/>
                            <a:gd name="connsiteY3" fmla="*/ 1277518 h 2193878"/>
                            <a:gd name="connsiteX4" fmla="*/ 0 w 2249601"/>
                            <a:gd name="connsiteY4" fmla="*/ 2193878 h 2193878"/>
                            <a:gd name="connsiteX0" fmla="*/ 0 w 2251002"/>
                            <a:gd name="connsiteY0" fmla="*/ 2193878 h 2193878"/>
                            <a:gd name="connsiteX1" fmla="*/ 2249601 w 2251002"/>
                            <a:gd name="connsiteY1" fmla="*/ 889879 h 2193878"/>
                            <a:gd name="connsiteX2" fmla="*/ 2248871 w 2251002"/>
                            <a:gd name="connsiteY2" fmla="*/ 0 h 2193878"/>
                            <a:gd name="connsiteX3" fmla="*/ 9635 w 2251002"/>
                            <a:gd name="connsiteY3" fmla="*/ 1277518 h 2193878"/>
                            <a:gd name="connsiteX4" fmla="*/ 0 w 2251002"/>
                            <a:gd name="connsiteY4" fmla="*/ 2193878 h 2193878"/>
                            <a:gd name="connsiteX0" fmla="*/ 0 w 2258419"/>
                            <a:gd name="connsiteY0" fmla="*/ 2193878 h 2193878"/>
                            <a:gd name="connsiteX1" fmla="*/ 2257895 w 2258419"/>
                            <a:gd name="connsiteY1" fmla="*/ 883491 h 2193878"/>
                            <a:gd name="connsiteX2" fmla="*/ 2248871 w 2258419"/>
                            <a:gd name="connsiteY2" fmla="*/ 0 h 2193878"/>
                            <a:gd name="connsiteX3" fmla="*/ 9635 w 2258419"/>
                            <a:gd name="connsiteY3" fmla="*/ 1277518 h 2193878"/>
                            <a:gd name="connsiteX4" fmla="*/ 0 w 2258419"/>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19" h="2193878">
                              <a:moveTo>
                                <a:pt x="0" y="2193878"/>
                              </a:moveTo>
                              <a:lnTo>
                                <a:pt x="2257895" y="883491"/>
                              </a:lnTo>
                              <a:cubicBezTo>
                                <a:pt x="2260904" y="625538"/>
                                <a:pt x="2250008" y="254758"/>
                                <a:pt x="2248871" y="0"/>
                              </a:cubicBezTo>
                              <a:lnTo>
                                <a:pt x="9635" y="1277518"/>
                              </a:lnTo>
                              <a:lnTo>
                                <a:pt x="0" y="2193878"/>
                              </a:lnTo>
                              <a:close/>
                            </a:path>
                          </a:pathLst>
                        </a:cu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6" name="Freeform: Shape 26048">
                          <a:extLst>
                            <a:ext uri="{FF2B5EF4-FFF2-40B4-BE49-F238E27FC236}">
                              <a16:creationId xmlns:a16="http://schemas.microsoft.com/office/drawing/2014/main" id="{AED4A847-9C59-CE4B-4B92-1C42EBF9376B}"/>
                            </a:ext>
                          </a:extLst>
                        </xdr:cNvPr>
                        <xdr:cNvSpPr/>
                      </xdr:nvSpPr>
                      <xdr:spPr>
                        <a:xfrm>
                          <a:off x="11152597" y="11592804"/>
                          <a:ext cx="1733596" cy="2583698"/>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 name="connsiteX0" fmla="*/ 9025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9025 w 2258458"/>
                            <a:gd name="connsiteY4" fmla="*/ 2930486 h 2930486"/>
                            <a:gd name="connsiteX0" fmla="*/ 622 w 2262088"/>
                            <a:gd name="connsiteY0" fmla="*/ 2933138 h 2933138"/>
                            <a:gd name="connsiteX1" fmla="*/ 3630 w 2262088"/>
                            <a:gd name="connsiteY1" fmla="*/ 1413831 h 2933138"/>
                            <a:gd name="connsiteX2" fmla="*/ 2262088 w 2262088"/>
                            <a:gd name="connsiteY2" fmla="*/ 0 h 2933138"/>
                            <a:gd name="connsiteX3" fmla="*/ 2258416 w 2262088"/>
                            <a:gd name="connsiteY3" fmla="*/ 1501966 h 2933138"/>
                            <a:gd name="connsiteX4" fmla="*/ 622 w 2262088"/>
                            <a:gd name="connsiteY4" fmla="*/ 2933138 h 2933138"/>
                            <a:gd name="connsiteX0" fmla="*/ 1246 w 2262712"/>
                            <a:gd name="connsiteY0" fmla="*/ 2933138 h 2933138"/>
                            <a:gd name="connsiteX1" fmla="*/ 4254 w 2262712"/>
                            <a:gd name="connsiteY1" fmla="*/ 1413831 h 2933138"/>
                            <a:gd name="connsiteX2" fmla="*/ 2262712 w 2262712"/>
                            <a:gd name="connsiteY2" fmla="*/ 0 h 2933138"/>
                            <a:gd name="connsiteX3" fmla="*/ 2259040 w 2262712"/>
                            <a:gd name="connsiteY3" fmla="*/ 1501966 h 2933138"/>
                            <a:gd name="connsiteX4" fmla="*/ 1246 w 2262712"/>
                            <a:gd name="connsiteY4" fmla="*/ 2933138 h 2933138"/>
                            <a:gd name="connsiteX0" fmla="*/ 3907 w 2265373"/>
                            <a:gd name="connsiteY0" fmla="*/ 2933138 h 2933138"/>
                            <a:gd name="connsiteX1" fmla="*/ 6915 w 2265373"/>
                            <a:gd name="connsiteY1" fmla="*/ 1413831 h 2933138"/>
                            <a:gd name="connsiteX2" fmla="*/ 2265373 w 2265373"/>
                            <a:gd name="connsiteY2" fmla="*/ 0 h 2933138"/>
                            <a:gd name="connsiteX3" fmla="*/ 2261701 w 2265373"/>
                            <a:gd name="connsiteY3" fmla="*/ 1501966 h 2933138"/>
                            <a:gd name="connsiteX4" fmla="*/ 3907 w 2265373"/>
                            <a:gd name="connsiteY4" fmla="*/ 2933138 h 2933138"/>
                            <a:gd name="connsiteX0" fmla="*/ 3907 w 2265373"/>
                            <a:gd name="connsiteY0" fmla="*/ 2622861 h 2622861"/>
                            <a:gd name="connsiteX1" fmla="*/ 6915 w 2265373"/>
                            <a:gd name="connsiteY1" fmla="*/ 1103554 h 2622861"/>
                            <a:gd name="connsiteX2" fmla="*/ 2265373 w 2265373"/>
                            <a:gd name="connsiteY2" fmla="*/ 0 h 2622861"/>
                            <a:gd name="connsiteX3" fmla="*/ 2261701 w 2265373"/>
                            <a:gd name="connsiteY3" fmla="*/ 1191689 h 2622861"/>
                            <a:gd name="connsiteX4" fmla="*/ 3907 w 2265373"/>
                            <a:gd name="connsiteY4" fmla="*/ 2622861 h 2622861"/>
                            <a:gd name="connsiteX0" fmla="*/ 3907 w 2299092"/>
                            <a:gd name="connsiteY0" fmla="*/ 2659604 h 2659604"/>
                            <a:gd name="connsiteX1" fmla="*/ 6915 w 2299092"/>
                            <a:gd name="connsiteY1" fmla="*/ 1140297 h 2659604"/>
                            <a:gd name="connsiteX2" fmla="*/ 2299092 w 2299092"/>
                            <a:gd name="connsiteY2" fmla="*/ 0 h 2659604"/>
                            <a:gd name="connsiteX3" fmla="*/ 2261701 w 2299092"/>
                            <a:gd name="connsiteY3" fmla="*/ 1228432 h 2659604"/>
                            <a:gd name="connsiteX4" fmla="*/ 3907 w 2299092"/>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1701 w 2270993"/>
                            <a:gd name="connsiteY3" fmla="*/ 1228432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56081 w 2270993"/>
                            <a:gd name="connsiteY3" fmla="*/ 1473388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7784 w 2270993"/>
                            <a:gd name="connsiteY3" fmla="*/ 1514214 h 2659604"/>
                            <a:gd name="connsiteX4" fmla="*/ 3907 w 2270993"/>
                            <a:gd name="connsiteY4" fmla="*/ 2659604 h 2659604"/>
                            <a:gd name="connsiteX0" fmla="*/ 3907 w 2268104"/>
                            <a:gd name="connsiteY0" fmla="*/ 2626942 h 2626942"/>
                            <a:gd name="connsiteX1" fmla="*/ 6915 w 2268104"/>
                            <a:gd name="connsiteY1" fmla="*/ 1107635 h 2626942"/>
                            <a:gd name="connsiteX2" fmla="*/ 2253440 w 2268104"/>
                            <a:gd name="connsiteY2" fmla="*/ 0 h 2626942"/>
                            <a:gd name="connsiteX3" fmla="*/ 2267784 w 2268104"/>
                            <a:gd name="connsiteY3" fmla="*/ 1481552 h 2626942"/>
                            <a:gd name="connsiteX4" fmla="*/ 3907 w 2268104"/>
                            <a:gd name="connsiteY4" fmla="*/ 2626942 h 2626942"/>
                            <a:gd name="connsiteX0" fmla="*/ 3907 w 2267940"/>
                            <a:gd name="connsiteY0" fmla="*/ 2614694 h 2614694"/>
                            <a:gd name="connsiteX1" fmla="*/ 6915 w 2267940"/>
                            <a:gd name="connsiteY1" fmla="*/ 1095387 h 2614694"/>
                            <a:gd name="connsiteX2" fmla="*/ 2229696 w 2267940"/>
                            <a:gd name="connsiteY2" fmla="*/ 0 h 2614694"/>
                            <a:gd name="connsiteX3" fmla="*/ 2267784 w 2267940"/>
                            <a:gd name="connsiteY3" fmla="*/ 1469304 h 2614694"/>
                            <a:gd name="connsiteX4" fmla="*/ 3907 w 2267940"/>
                            <a:gd name="connsiteY4" fmla="*/ 2614694 h 2614694"/>
                            <a:gd name="connsiteX0" fmla="*/ 3907 w 2250230"/>
                            <a:gd name="connsiteY0" fmla="*/ 2614694 h 2614694"/>
                            <a:gd name="connsiteX1" fmla="*/ 6915 w 2250230"/>
                            <a:gd name="connsiteY1" fmla="*/ 1095387 h 2614694"/>
                            <a:gd name="connsiteX2" fmla="*/ 2229696 w 2250230"/>
                            <a:gd name="connsiteY2" fmla="*/ 0 h 2614694"/>
                            <a:gd name="connsiteX3" fmla="*/ 2249978 w 2250230"/>
                            <a:gd name="connsiteY3" fmla="*/ 1481550 h 2614694"/>
                            <a:gd name="connsiteX4" fmla="*/ 3907 w 2250230"/>
                            <a:gd name="connsiteY4" fmla="*/ 2614694 h 2614694"/>
                            <a:gd name="connsiteX0" fmla="*/ 3907 w 2232849"/>
                            <a:gd name="connsiteY0" fmla="*/ 2614694 h 2614694"/>
                            <a:gd name="connsiteX1" fmla="*/ 6915 w 2232849"/>
                            <a:gd name="connsiteY1" fmla="*/ 1095387 h 2614694"/>
                            <a:gd name="connsiteX2" fmla="*/ 2229696 w 2232849"/>
                            <a:gd name="connsiteY2" fmla="*/ 0 h 2614694"/>
                            <a:gd name="connsiteX3" fmla="*/ 2232170 w 2232849"/>
                            <a:gd name="connsiteY3" fmla="*/ 1489715 h 2614694"/>
                            <a:gd name="connsiteX4" fmla="*/ 3907 w 2232849"/>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25801 w 2229695"/>
                            <a:gd name="connsiteY3" fmla="*/ 1505046 h 2614694"/>
                            <a:gd name="connsiteX4" fmla="*/ 3907 w 2229695"/>
                            <a:gd name="connsiteY4" fmla="*/ 2614694 h 2614694"/>
                            <a:gd name="connsiteX0" fmla="*/ 3907 w 2229697"/>
                            <a:gd name="connsiteY0" fmla="*/ 2614694 h 2614694"/>
                            <a:gd name="connsiteX1" fmla="*/ 6915 w 2229697"/>
                            <a:gd name="connsiteY1" fmla="*/ 1095387 h 2614694"/>
                            <a:gd name="connsiteX2" fmla="*/ 2229696 w 2229697"/>
                            <a:gd name="connsiteY2" fmla="*/ 0 h 2614694"/>
                            <a:gd name="connsiteX3" fmla="*/ 2222616 w 2229697"/>
                            <a:gd name="connsiteY3" fmla="*/ 1513807 h 2614694"/>
                            <a:gd name="connsiteX4" fmla="*/ 3907 w 2229697"/>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14408 w 2229695"/>
                            <a:gd name="connsiteY3" fmla="*/ 1477066 h 2614694"/>
                            <a:gd name="connsiteX4" fmla="*/ 3907 w 2229695"/>
                            <a:gd name="connsiteY4" fmla="*/ 2614694 h 261469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29695" h="2614694">
                              <a:moveTo>
                                <a:pt x="3907" y="2614694"/>
                              </a:moveTo>
                              <a:cubicBezTo>
                                <a:pt x="-5117" y="2101186"/>
                                <a:pt x="3906" y="1603591"/>
                                <a:pt x="6915" y="1095387"/>
                              </a:cubicBezTo>
                              <a:lnTo>
                                <a:pt x="2229696" y="0"/>
                              </a:lnTo>
                              <a:cubicBezTo>
                                <a:pt x="2226599" y="409477"/>
                                <a:pt x="2217505" y="1067589"/>
                                <a:pt x="2214408" y="1477066"/>
                              </a:cubicBezTo>
                              <a:lnTo>
                                <a:pt x="3907" y="2614694"/>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8" name="Rectangle 26049">
                          <a:extLst>
                            <a:ext uri="{FF2B5EF4-FFF2-40B4-BE49-F238E27FC236}">
                              <a16:creationId xmlns:a16="http://schemas.microsoft.com/office/drawing/2014/main" id="{3E5C8726-EC9D-C1D3-9467-22B00BB87DAE}"/>
                            </a:ext>
                          </a:extLst>
                        </xdr:cNvPr>
                        <xdr:cNvSpPr/>
                      </xdr:nvSpPr>
                      <xdr:spPr>
                        <a:xfrm>
                          <a:off x="7488847" y="14185486"/>
                          <a:ext cx="3667390" cy="778759"/>
                        </a:xfrm>
                        <a:prstGeom prst="rect">
                          <a:avLst/>
                        </a:pr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9" name="Rectangle 26050">
                          <a:extLst>
                            <a:ext uri="{FF2B5EF4-FFF2-40B4-BE49-F238E27FC236}">
                              <a16:creationId xmlns:a16="http://schemas.microsoft.com/office/drawing/2014/main" id="{DB27F018-A195-4919-F38A-4720C335A1A8}"/>
                            </a:ext>
                          </a:extLst>
                        </xdr:cNvPr>
                        <xdr:cNvSpPr/>
                      </xdr:nvSpPr>
                      <xdr:spPr>
                        <a:xfrm>
                          <a:off x="7492670" y="12689182"/>
                          <a:ext cx="3669910" cy="1502123"/>
                        </a:xfrm>
                        <a:custGeom>
                          <a:avLst/>
                          <a:gdLst>
                            <a:gd name="connsiteX0" fmla="*/ 0 w 2549834"/>
                            <a:gd name="connsiteY0" fmla="*/ 0 h 1185879"/>
                            <a:gd name="connsiteX1" fmla="*/ 2549834 w 2549834"/>
                            <a:gd name="connsiteY1" fmla="*/ 0 h 1185879"/>
                            <a:gd name="connsiteX2" fmla="*/ 2549834 w 2549834"/>
                            <a:gd name="connsiteY2" fmla="*/ 1185879 h 1185879"/>
                            <a:gd name="connsiteX3" fmla="*/ 0 w 2549834"/>
                            <a:gd name="connsiteY3" fmla="*/ 1185879 h 1185879"/>
                            <a:gd name="connsiteX4" fmla="*/ 0 w 2549834"/>
                            <a:gd name="connsiteY4" fmla="*/ 0 h 1185879"/>
                            <a:gd name="connsiteX0" fmla="*/ 0 w 2556156"/>
                            <a:gd name="connsiteY0" fmla="*/ 0 h 1190093"/>
                            <a:gd name="connsiteX1" fmla="*/ 2549834 w 2556156"/>
                            <a:gd name="connsiteY1" fmla="*/ 0 h 1190093"/>
                            <a:gd name="connsiteX2" fmla="*/ 2556156 w 2556156"/>
                            <a:gd name="connsiteY2" fmla="*/ 1190093 h 1190093"/>
                            <a:gd name="connsiteX3" fmla="*/ 0 w 2556156"/>
                            <a:gd name="connsiteY3" fmla="*/ 1185879 h 1190093"/>
                            <a:gd name="connsiteX4" fmla="*/ 0 w 2556156"/>
                            <a:gd name="connsiteY4" fmla="*/ 0 h 119009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56156" h="1190093">
                              <a:moveTo>
                                <a:pt x="0" y="0"/>
                              </a:moveTo>
                              <a:lnTo>
                                <a:pt x="2549834" y="0"/>
                              </a:lnTo>
                              <a:cubicBezTo>
                                <a:pt x="2551941" y="396698"/>
                                <a:pt x="2554049" y="793395"/>
                                <a:pt x="2556156" y="1190093"/>
                              </a:cubicBezTo>
                              <a:lnTo>
                                <a:pt x="0" y="1185879"/>
                              </a:lnTo>
                              <a:lnTo>
                                <a:pt x="0" y="0"/>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70" name="Freeform: Shape 26051">
                          <a:extLst>
                            <a:ext uri="{FF2B5EF4-FFF2-40B4-BE49-F238E27FC236}">
                              <a16:creationId xmlns:a16="http://schemas.microsoft.com/office/drawing/2014/main" id="{AC3F0E74-A19A-39F1-B350-CFE33CD7F725}"/>
                            </a:ext>
                          </a:extLst>
                        </xdr:cNvPr>
                        <xdr:cNvSpPr/>
                      </xdr:nvSpPr>
                      <xdr:spPr>
                        <a:xfrm>
                          <a:off x="7493893" y="11597329"/>
                          <a:ext cx="5394265" cy="1091849"/>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 name="connsiteX0" fmla="*/ 0 w 5907819"/>
                            <a:gd name="connsiteY0" fmla="*/ 1427259 h 1427259"/>
                            <a:gd name="connsiteX1" fmla="*/ 2270098 w 5907819"/>
                            <a:gd name="connsiteY1" fmla="*/ 0 h 1427259"/>
                            <a:gd name="connsiteX2" fmla="*/ 5907819 w 5907819"/>
                            <a:gd name="connsiteY2" fmla="*/ 3975 h 1427259"/>
                            <a:gd name="connsiteX3" fmla="*/ 4208711 w 5907819"/>
                            <a:gd name="connsiteY3" fmla="*/ 1417874 h 1427259"/>
                            <a:gd name="connsiteX4" fmla="*/ 0 w 5907819"/>
                            <a:gd name="connsiteY4" fmla="*/ 1427259 h 1427259"/>
                            <a:gd name="connsiteX0" fmla="*/ 0 w 6114976"/>
                            <a:gd name="connsiteY0" fmla="*/ 1427259 h 1427259"/>
                            <a:gd name="connsiteX1" fmla="*/ 2270098 w 6114976"/>
                            <a:gd name="connsiteY1" fmla="*/ 0 h 1427259"/>
                            <a:gd name="connsiteX2" fmla="*/ 6114976 w 6114976"/>
                            <a:gd name="connsiteY2" fmla="*/ 9384 h 1427259"/>
                            <a:gd name="connsiteX3" fmla="*/ 4208711 w 6114976"/>
                            <a:gd name="connsiteY3" fmla="*/ 1417874 h 1427259"/>
                            <a:gd name="connsiteX4" fmla="*/ 0 w 6114976"/>
                            <a:gd name="connsiteY4" fmla="*/ 1427259 h 1427259"/>
                            <a:gd name="connsiteX0" fmla="*/ 0 w 6136223"/>
                            <a:gd name="connsiteY0" fmla="*/ 1434101 h 1434101"/>
                            <a:gd name="connsiteX1" fmla="*/ 2270098 w 6136223"/>
                            <a:gd name="connsiteY1" fmla="*/ 6842 h 1434101"/>
                            <a:gd name="connsiteX2" fmla="*/ 6136223 w 6136223"/>
                            <a:gd name="connsiteY2" fmla="*/ 0 h 1434101"/>
                            <a:gd name="connsiteX3" fmla="*/ 4208711 w 6136223"/>
                            <a:gd name="connsiteY3" fmla="*/ 1424716 h 1434101"/>
                            <a:gd name="connsiteX4" fmla="*/ 0 w 6136223"/>
                            <a:gd name="connsiteY4" fmla="*/ 1434101 h 1434101"/>
                            <a:gd name="connsiteX0" fmla="*/ 0 w 6189340"/>
                            <a:gd name="connsiteY0" fmla="*/ 1450327 h 1450327"/>
                            <a:gd name="connsiteX1" fmla="*/ 2270098 w 6189340"/>
                            <a:gd name="connsiteY1" fmla="*/ 23068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33782 w 6189340"/>
                            <a:gd name="connsiteY1" fmla="*/ 50862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81787 w 6189340"/>
                            <a:gd name="connsiteY1" fmla="*/ 15620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3684 h 1453684"/>
                            <a:gd name="connsiteX1" fmla="*/ 1900455 w 6189340"/>
                            <a:gd name="connsiteY1" fmla="*/ 0 h 1453684"/>
                            <a:gd name="connsiteX2" fmla="*/ 6189340 w 6189340"/>
                            <a:gd name="connsiteY2" fmla="*/ 3357 h 1453684"/>
                            <a:gd name="connsiteX3" fmla="*/ 4208711 w 6189340"/>
                            <a:gd name="connsiteY3" fmla="*/ 1444299 h 1453684"/>
                            <a:gd name="connsiteX4" fmla="*/ 0 w 6189340"/>
                            <a:gd name="connsiteY4" fmla="*/ 1453684 h 14536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6189340" h="1453684">
                              <a:moveTo>
                                <a:pt x="0" y="1453684"/>
                              </a:moveTo>
                              <a:lnTo>
                                <a:pt x="1900455" y="0"/>
                              </a:lnTo>
                              <a:lnTo>
                                <a:pt x="6189340" y="3357"/>
                              </a:lnTo>
                              <a:lnTo>
                                <a:pt x="4208711" y="1444299"/>
                              </a:lnTo>
                              <a:lnTo>
                                <a:pt x="0" y="1453684"/>
                              </a:lnTo>
                              <a:close/>
                            </a:path>
                          </a:pathLst>
                        </a:custGeom>
                        <a:solidFill>
                          <a:schemeClr val="accent6">
                            <a:lumMod val="60000"/>
                            <a:lumOff val="40000"/>
                          </a:schemeClr>
                        </a:solidFill>
                        <a:ln>
                          <a:noFill/>
                        </a:ln>
                        <a:effectLst>
                          <a:glow rad="12700">
                            <a:schemeClr val="accent6">
                              <a:satMod val="175000"/>
                              <a:alpha val="22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071" name="Group 26052">
                          <a:extLst>
                            <a:ext uri="{FF2B5EF4-FFF2-40B4-BE49-F238E27FC236}">
                              <a16:creationId xmlns:a16="http://schemas.microsoft.com/office/drawing/2014/main" id="{B7C949DF-C742-6424-83A8-3B25D7AB548D}"/>
                            </a:ext>
                          </a:extLst>
                        </xdr:cNvPr>
                        <xdr:cNvGrpSpPr/>
                      </xdr:nvGrpSpPr>
                      <xdr:grpSpPr>
                        <a:xfrm>
                          <a:off x="7505369" y="11244869"/>
                          <a:ext cx="5975227" cy="3814891"/>
                          <a:chOff x="4267200" y="2205315"/>
                          <a:chExt cx="5975227" cy="3814891"/>
                        </a:xfrm>
                      </xdr:grpSpPr>
                      <xdr:sp macro="" textlink="">
                        <xdr:nvSpPr>
                          <xdr:cNvPr id="26386" name="Rectangle 26286">
                            <a:extLst>
                              <a:ext uri="{FF2B5EF4-FFF2-40B4-BE49-F238E27FC236}">
                                <a16:creationId xmlns:a16="http://schemas.microsoft.com/office/drawing/2014/main" id="{266418DE-F799-797B-3503-D11304C7CC97}"/>
                              </a:ext>
                            </a:extLst>
                          </xdr:cNvPr>
                          <xdr:cNvSpPr/>
                        </xdr:nvSpPr>
                        <xdr:spPr>
                          <a:xfrm>
                            <a:off x="4267200" y="3641650"/>
                            <a:ext cx="3657600" cy="2286000"/>
                          </a:xfrm>
                          <a:prstGeom prst="rect">
                            <a:avLst/>
                          </a:prstGeom>
                          <a:noFill/>
                          <a:ln w="25400">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26387" name="Straight Connector 26287">
                            <a:extLst>
                              <a:ext uri="{FF2B5EF4-FFF2-40B4-BE49-F238E27FC236}">
                                <a16:creationId xmlns:a16="http://schemas.microsoft.com/office/drawing/2014/main" id="{1EF2E08B-34F7-1F58-F052-3592FEE9ECEA}"/>
                              </a:ext>
                            </a:extLst>
                          </xdr:cNvPr>
                          <xdr:cNvCxnSpPr>
                            <a:cxnSpLocks/>
                          </xdr:cNvCxnSpPr>
                        </xdr:nvCxnSpPr>
                        <xdr:spPr>
                          <a:xfrm flipV="1">
                            <a:off x="4267200" y="2212041"/>
                            <a:ext cx="2268071"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88" name="Straight Connector 26288">
                            <a:extLst>
                              <a:ext uri="{FF2B5EF4-FFF2-40B4-BE49-F238E27FC236}">
                                <a16:creationId xmlns:a16="http://schemas.microsoft.com/office/drawing/2014/main" id="{6673AC19-9B39-4118-D62D-B4055D57B23B}"/>
                              </a:ext>
                            </a:extLst>
                          </xdr:cNvPr>
                          <xdr:cNvCxnSpPr>
                            <a:cxnSpLocks/>
                            <a:endCxn id="26070" idx="2"/>
                          </xdr:cNvCxnSpPr>
                        </xdr:nvCxnSpPr>
                        <xdr:spPr>
                          <a:xfrm flipV="1">
                            <a:off x="7924800" y="2560296"/>
                            <a:ext cx="1725190" cy="1081353"/>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89" name="Straight Connector 26289">
                            <a:extLst>
                              <a:ext uri="{FF2B5EF4-FFF2-40B4-BE49-F238E27FC236}">
                                <a16:creationId xmlns:a16="http://schemas.microsoft.com/office/drawing/2014/main" id="{8F2D4D94-515C-BCAB-3250-465455AE589A}"/>
                              </a:ext>
                            </a:extLst>
                          </xdr:cNvPr>
                          <xdr:cNvCxnSpPr>
                            <a:cxnSpLocks/>
                          </xdr:cNvCxnSpPr>
                        </xdr:nvCxnSpPr>
                        <xdr:spPr>
                          <a:xfrm>
                            <a:off x="6535271" y="2212040"/>
                            <a:ext cx="3657600" cy="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90" name="Straight Connector 26290">
                            <a:extLst>
                              <a:ext uri="{FF2B5EF4-FFF2-40B4-BE49-F238E27FC236}">
                                <a16:creationId xmlns:a16="http://schemas.microsoft.com/office/drawing/2014/main" id="{3F21640D-8627-88AD-3915-CA6AA1966154}"/>
                              </a:ext>
                            </a:extLst>
                          </xdr:cNvPr>
                          <xdr:cNvCxnSpPr>
                            <a:cxnSpLocks/>
                          </xdr:cNvCxnSpPr>
                        </xdr:nvCxnSpPr>
                        <xdr:spPr>
                          <a:xfrm flipV="1">
                            <a:off x="7974355" y="4590596"/>
                            <a:ext cx="2268072"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91" name="Straight Connector 26291">
                            <a:extLst>
                              <a:ext uri="{FF2B5EF4-FFF2-40B4-BE49-F238E27FC236}">
                                <a16:creationId xmlns:a16="http://schemas.microsoft.com/office/drawing/2014/main" id="{5E8CCCDF-15C8-912D-6DA8-0C20E22FF375}"/>
                              </a:ext>
                            </a:extLst>
                          </xdr:cNvPr>
                          <xdr:cNvCxnSpPr>
                            <a:cxnSpLocks/>
                          </xdr:cNvCxnSpPr>
                        </xdr:nvCxnSpPr>
                        <xdr:spPr>
                          <a:xfrm>
                            <a:off x="10186146" y="2205315"/>
                            <a:ext cx="0" cy="2295144"/>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grpSp>
                    <xdr:cxnSp macro="">
                      <xdr:nvCxnSpPr>
                        <xdr:cNvPr id="26072" name="Straight Connector 26054">
                          <a:extLst>
                            <a:ext uri="{FF2B5EF4-FFF2-40B4-BE49-F238E27FC236}">
                              <a16:creationId xmlns:a16="http://schemas.microsoft.com/office/drawing/2014/main" id="{AD2475E4-3179-E03F-1569-44BC18DC8464}"/>
                            </a:ext>
                          </a:extLst>
                        </xdr:cNvPr>
                        <xdr:cNvCxnSpPr>
                          <a:cxnSpLocks/>
                        </xdr:cNvCxnSpPr>
                      </xdr:nvCxnSpPr>
                      <xdr:spPr>
                        <a:xfrm flipV="1">
                          <a:off x="11162968" y="12771374"/>
                          <a:ext cx="2268071" cy="1429610"/>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sp macro="" textlink="">
                      <xdr:nvSpPr>
                        <xdr:cNvPr id="26073" name="Isosceles Triangle 26055">
                          <a:extLst>
                            <a:ext uri="{FF2B5EF4-FFF2-40B4-BE49-F238E27FC236}">
                              <a16:creationId xmlns:a16="http://schemas.microsoft.com/office/drawing/2014/main" id="{F9F7188E-22E4-E034-62D2-C1E61E219A88}"/>
                            </a:ext>
                          </a:extLst>
                        </xdr:cNvPr>
                        <xdr:cNvSpPr/>
                      </xdr:nvSpPr>
                      <xdr:spPr>
                        <a:xfrm rot="10800000">
                          <a:off x="7626316" y="14118621"/>
                          <a:ext cx="71719" cy="5266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74" name="Freeform: Shape 26056">
                          <a:extLst>
                            <a:ext uri="{FF2B5EF4-FFF2-40B4-BE49-F238E27FC236}">
                              <a16:creationId xmlns:a16="http://schemas.microsoft.com/office/drawing/2014/main" id="{EBCDFF2C-5FFF-4054-C960-0C1B90988C45}"/>
                            </a:ext>
                          </a:extLst>
                        </xdr:cNvPr>
                        <xdr:cNvSpPr/>
                      </xdr:nvSpPr>
                      <xdr:spPr>
                        <a:xfrm>
                          <a:off x="8795759" y="12292192"/>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26075" name="Straight Connector 26057">
                          <a:extLst>
                            <a:ext uri="{FF2B5EF4-FFF2-40B4-BE49-F238E27FC236}">
                              <a16:creationId xmlns:a16="http://schemas.microsoft.com/office/drawing/2014/main" id="{A4EA302F-7FAD-C4DA-0A72-04C6FB13BE02}"/>
                            </a:ext>
                          </a:extLst>
                        </xdr:cNvPr>
                        <xdr:cNvCxnSpPr>
                          <a:cxnSpLocks/>
                        </xdr:cNvCxnSpPr>
                      </xdr:nvCxnSpPr>
                      <xdr:spPr>
                        <a:xfrm>
                          <a:off x="8789883" y="12691637"/>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076" name="Straight Connector 26058">
                          <a:extLst>
                            <a:ext uri="{FF2B5EF4-FFF2-40B4-BE49-F238E27FC236}">
                              <a16:creationId xmlns:a16="http://schemas.microsoft.com/office/drawing/2014/main" id="{B6576FFD-3431-BCA1-5691-A716E26E0A71}"/>
                            </a:ext>
                          </a:extLst>
                        </xdr:cNvPr>
                        <xdr:cNvCxnSpPr>
                          <a:cxnSpLocks/>
                        </xdr:cNvCxnSpPr>
                      </xdr:nvCxnSpPr>
                      <xdr:spPr>
                        <a:xfrm>
                          <a:off x="9801851" y="12681200"/>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26077" name="Freeform: Shape 26059">
                          <a:extLst>
                            <a:ext uri="{FF2B5EF4-FFF2-40B4-BE49-F238E27FC236}">
                              <a16:creationId xmlns:a16="http://schemas.microsoft.com/office/drawing/2014/main" id="{CF22D796-D321-17CA-54D8-CE7EAE807CC9}"/>
                            </a:ext>
                          </a:extLst>
                        </xdr:cNvPr>
                        <xdr:cNvSpPr/>
                      </xdr:nvSpPr>
                      <xdr:spPr>
                        <a:xfrm>
                          <a:off x="8778890" y="14188989"/>
                          <a:ext cx="2376510" cy="516443"/>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26078" name="Picture 26060">
                          <a:extLst>
                            <a:ext uri="{FF2B5EF4-FFF2-40B4-BE49-F238E27FC236}">
                              <a16:creationId xmlns:a16="http://schemas.microsoft.com/office/drawing/2014/main" id="{97B3CF54-79DD-385E-4539-034BD0C10283}"/>
                            </a:ext>
                          </a:extLst>
                        </xdr:cNvPr>
                        <xdr:cNvPicPr>
                          <a:picLocks noChangeAspect="1"/>
                        </xdr:cNvPicPr>
                      </xdr:nvPicPr>
                      <xdr:blipFill>
                        <a:blip xmlns:r="http://schemas.openxmlformats.org/officeDocument/2006/relationships" r:embed="rId3"/>
                        <a:stretch>
                          <a:fillRect/>
                        </a:stretch>
                      </xdr:blipFill>
                      <xdr:spPr>
                        <a:xfrm>
                          <a:off x="8792735" y="12689013"/>
                          <a:ext cx="1016055" cy="1499684"/>
                        </a:xfrm>
                        <a:prstGeom prst="rect">
                          <a:avLst/>
                        </a:prstGeom>
                        <a:ln w="0">
                          <a:solidFill>
                            <a:schemeClr val="tx1"/>
                          </a:solidFill>
                        </a:ln>
                      </xdr:spPr>
                    </xdr:pic>
                    <xdr:grpSp>
                      <xdr:nvGrpSpPr>
                        <xdr:cNvPr id="26079" name="Group 26061">
                          <a:extLst>
                            <a:ext uri="{FF2B5EF4-FFF2-40B4-BE49-F238E27FC236}">
                              <a16:creationId xmlns:a16="http://schemas.microsoft.com/office/drawing/2014/main" id="{39943ECA-8667-5E2C-5021-8041948D7B85}"/>
                            </a:ext>
                          </a:extLst>
                        </xdr:cNvPr>
                        <xdr:cNvGrpSpPr/>
                      </xdr:nvGrpSpPr>
                      <xdr:grpSpPr>
                        <a:xfrm>
                          <a:off x="10451743" y="11724938"/>
                          <a:ext cx="107546" cy="77250"/>
                          <a:chOff x="5315884" y="3648789"/>
                          <a:chExt cx="107546" cy="77250"/>
                        </a:xfrm>
                      </xdr:grpSpPr>
                      <xdr:grpSp>
                        <xdr:nvGrpSpPr>
                          <xdr:cNvPr id="26371" name="Group 26266">
                            <a:extLst>
                              <a:ext uri="{FF2B5EF4-FFF2-40B4-BE49-F238E27FC236}">
                                <a16:creationId xmlns:a16="http://schemas.microsoft.com/office/drawing/2014/main" id="{97ACCCE0-168D-EB98-5037-E9E2FB41734D}"/>
                              </a:ext>
                            </a:extLst>
                          </xdr:cNvPr>
                          <xdr:cNvGrpSpPr/>
                        </xdr:nvGrpSpPr>
                        <xdr:grpSpPr>
                          <a:xfrm>
                            <a:off x="5315884" y="3665776"/>
                            <a:ext cx="21904" cy="48867"/>
                            <a:chOff x="5082563" y="3134920"/>
                            <a:chExt cx="21904" cy="69330"/>
                          </a:xfrm>
                        </xdr:grpSpPr>
                        <xdr:cxnSp macro="">
                          <xdr:nvCxnSpPr>
                            <xdr:cNvPr id="26384" name="Straight Connector 26283">
                              <a:extLst>
                                <a:ext uri="{FF2B5EF4-FFF2-40B4-BE49-F238E27FC236}">
                                  <a16:creationId xmlns:a16="http://schemas.microsoft.com/office/drawing/2014/main" id="{ECCD5A33-5BA8-0209-54B3-C3D90861F688}"/>
                                </a:ext>
                              </a:extLst>
                            </xdr:cNvPr>
                            <xdr:cNvCxnSpPr>
                              <a:cxnSpLocks/>
                            </xdr:cNvCxnSpPr>
                          </xdr:nvCxnSpPr>
                          <xdr:spPr>
                            <a:xfrm flipV="1">
                              <a:off x="5104015" y="3134920"/>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5" name="Straight Connector 26285">
                              <a:extLst>
                                <a:ext uri="{FF2B5EF4-FFF2-40B4-BE49-F238E27FC236}">
                                  <a16:creationId xmlns:a16="http://schemas.microsoft.com/office/drawing/2014/main" id="{82107FE2-2134-2E01-9640-3CE5BBE30A7A}"/>
                                </a:ext>
                              </a:extLst>
                            </xdr:cNvPr>
                            <xdr:cNvCxnSpPr>
                              <a:cxnSpLocks/>
                            </xdr:cNvCxnSpPr>
                          </xdr:nvCxnSpPr>
                          <xdr:spPr>
                            <a:xfrm flipH="1" flipV="1">
                              <a:off x="5082563" y="3171117"/>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2" name="Group 26267">
                            <a:extLst>
                              <a:ext uri="{FF2B5EF4-FFF2-40B4-BE49-F238E27FC236}">
                                <a16:creationId xmlns:a16="http://schemas.microsoft.com/office/drawing/2014/main" id="{24B599BA-1AB7-A425-E1F8-B513B03F86FA}"/>
                              </a:ext>
                            </a:extLst>
                          </xdr:cNvPr>
                          <xdr:cNvGrpSpPr/>
                        </xdr:nvGrpSpPr>
                        <xdr:grpSpPr>
                          <a:xfrm>
                            <a:off x="5339806" y="3661568"/>
                            <a:ext cx="43094" cy="48192"/>
                            <a:chOff x="5082563" y="3131410"/>
                            <a:chExt cx="43094" cy="68371"/>
                          </a:xfrm>
                        </xdr:grpSpPr>
                        <xdr:cxnSp macro="">
                          <xdr:nvCxnSpPr>
                            <xdr:cNvPr id="26381" name="Straight Connector 26280">
                              <a:extLst>
                                <a:ext uri="{FF2B5EF4-FFF2-40B4-BE49-F238E27FC236}">
                                  <a16:creationId xmlns:a16="http://schemas.microsoft.com/office/drawing/2014/main" id="{D14E7C19-5E70-94C8-78DB-5124C8EDA84C}"/>
                                </a:ext>
                              </a:extLst>
                            </xdr:cNvPr>
                            <xdr:cNvCxnSpPr>
                              <a:cxnSpLocks/>
                            </xdr:cNvCxnSpPr>
                          </xdr:nvCxnSpPr>
                          <xdr:spPr>
                            <a:xfrm flipV="1">
                              <a:off x="5104015" y="3139378"/>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2" name="Straight Connector 26281">
                              <a:extLst>
                                <a:ext uri="{FF2B5EF4-FFF2-40B4-BE49-F238E27FC236}">
                                  <a16:creationId xmlns:a16="http://schemas.microsoft.com/office/drawing/2014/main" id="{D0E582EC-7904-7994-5EA6-7DC4577ECF74}"/>
                                </a:ext>
                              </a:extLst>
                            </xdr:cNvPr>
                            <xdr:cNvCxnSpPr>
                              <a:cxnSpLocks/>
                            </xdr:cNvCxnSpPr>
                          </xdr:nvCxnSpPr>
                          <xdr:spPr>
                            <a:xfrm flipV="1">
                              <a:off x="5100909" y="3131410"/>
                              <a:ext cx="24748"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3" name="Straight Connector 26282">
                              <a:extLst>
                                <a:ext uri="{FF2B5EF4-FFF2-40B4-BE49-F238E27FC236}">
                                  <a16:creationId xmlns:a16="http://schemas.microsoft.com/office/drawing/2014/main" id="{BB9AA583-A1BE-8CA1-5D75-719B39C52770}"/>
                                </a:ext>
                              </a:extLst>
                            </xdr:cNvPr>
                            <xdr:cNvCxnSpPr>
                              <a:cxnSpLocks/>
                            </xdr:cNvCxnSpPr>
                          </xdr:nvCxnSpPr>
                          <xdr:spPr>
                            <a:xfrm flipH="1" flipV="1">
                              <a:off x="5082563" y="3166648"/>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3" name="Group 26268">
                            <a:extLst>
                              <a:ext uri="{FF2B5EF4-FFF2-40B4-BE49-F238E27FC236}">
                                <a16:creationId xmlns:a16="http://schemas.microsoft.com/office/drawing/2014/main" id="{CB73719F-1AE4-C96A-84BF-BEFCB363B4A4}"/>
                              </a:ext>
                            </a:extLst>
                          </xdr:cNvPr>
                          <xdr:cNvGrpSpPr/>
                        </xdr:nvGrpSpPr>
                        <xdr:grpSpPr>
                          <a:xfrm>
                            <a:off x="5364895" y="3648789"/>
                            <a:ext cx="43094" cy="77250"/>
                            <a:chOff x="5082563" y="3117021"/>
                            <a:chExt cx="43094" cy="109596"/>
                          </a:xfrm>
                        </xdr:grpSpPr>
                        <xdr:cxnSp macro="">
                          <xdr:nvCxnSpPr>
                            <xdr:cNvPr id="26378" name="Straight Connector 26277">
                              <a:extLst>
                                <a:ext uri="{FF2B5EF4-FFF2-40B4-BE49-F238E27FC236}">
                                  <a16:creationId xmlns:a16="http://schemas.microsoft.com/office/drawing/2014/main" id="{056742E3-0DE6-29CA-205A-5F6A9FB54313}"/>
                                </a:ext>
                              </a:extLst>
                            </xdr:cNvPr>
                            <xdr:cNvCxnSpPr>
                              <a:cxnSpLocks/>
                            </xdr:cNvCxnSpPr>
                          </xdr:nvCxnSpPr>
                          <xdr:spPr>
                            <a:xfrm flipV="1">
                              <a:off x="5104015" y="3117021"/>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9" name="Straight Connector 26278">
                              <a:extLst>
                                <a:ext uri="{FF2B5EF4-FFF2-40B4-BE49-F238E27FC236}">
                                  <a16:creationId xmlns:a16="http://schemas.microsoft.com/office/drawing/2014/main" id="{328E2B5F-B7C0-6DBE-BEF2-0D5A3E030707}"/>
                                </a:ext>
                              </a:extLst>
                            </xdr:cNvPr>
                            <xdr:cNvCxnSpPr>
                              <a:cxnSpLocks/>
                            </xdr:cNvCxnSpPr>
                          </xdr:nvCxnSpPr>
                          <xdr:spPr>
                            <a:xfrm flipV="1">
                              <a:off x="5100909" y="3198508"/>
                              <a:ext cx="24748" cy="28109"/>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0" name="Straight Connector 26279">
                              <a:extLst>
                                <a:ext uri="{FF2B5EF4-FFF2-40B4-BE49-F238E27FC236}">
                                  <a16:creationId xmlns:a16="http://schemas.microsoft.com/office/drawing/2014/main" id="{F128A198-116D-EF1C-63DF-3B763674AC38}"/>
                                </a:ext>
                              </a:extLst>
                            </xdr:cNvPr>
                            <xdr:cNvCxnSpPr>
                              <a:cxnSpLocks/>
                            </xdr:cNvCxnSpPr>
                          </xdr:nvCxnSpPr>
                          <xdr:spPr>
                            <a:xfrm flipH="1" flipV="1">
                              <a:off x="5082563" y="3162162"/>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4" name="Group 26269">
                            <a:extLst>
                              <a:ext uri="{FF2B5EF4-FFF2-40B4-BE49-F238E27FC236}">
                                <a16:creationId xmlns:a16="http://schemas.microsoft.com/office/drawing/2014/main" id="{6AE59AB1-6EA5-68FD-717B-8C185A10BD9F}"/>
                              </a:ext>
                            </a:extLst>
                          </xdr:cNvPr>
                          <xdr:cNvGrpSpPr/>
                        </xdr:nvGrpSpPr>
                        <xdr:grpSpPr>
                          <a:xfrm>
                            <a:off x="5397352" y="3651333"/>
                            <a:ext cx="26078" cy="56461"/>
                            <a:chOff x="5099579" y="3121497"/>
                            <a:chExt cx="26078" cy="80107"/>
                          </a:xfrm>
                        </xdr:grpSpPr>
                        <xdr:cxnSp macro="">
                          <xdr:nvCxnSpPr>
                            <xdr:cNvPr id="26375" name="Straight Connector 26274">
                              <a:extLst>
                                <a:ext uri="{FF2B5EF4-FFF2-40B4-BE49-F238E27FC236}">
                                  <a16:creationId xmlns:a16="http://schemas.microsoft.com/office/drawing/2014/main" id="{1DC9DA46-8303-536E-809E-4CED44C55F66}"/>
                                </a:ext>
                              </a:extLst>
                            </xdr:cNvPr>
                            <xdr:cNvCxnSpPr>
                              <a:cxnSpLocks/>
                            </xdr:cNvCxnSpPr>
                          </xdr:nvCxnSpPr>
                          <xdr:spPr>
                            <a:xfrm flipV="1">
                              <a:off x="5104015" y="3121497"/>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6" name="Straight Connector 26275">
                              <a:extLst>
                                <a:ext uri="{FF2B5EF4-FFF2-40B4-BE49-F238E27FC236}">
                                  <a16:creationId xmlns:a16="http://schemas.microsoft.com/office/drawing/2014/main" id="{8BF16733-5C68-6804-31A3-A7CA4A94800B}"/>
                                </a:ext>
                              </a:extLst>
                            </xdr:cNvPr>
                            <xdr:cNvCxnSpPr>
                              <a:cxnSpLocks/>
                            </xdr:cNvCxnSpPr>
                          </xdr:nvCxnSpPr>
                          <xdr:spPr>
                            <a:xfrm flipV="1">
                              <a:off x="5100909" y="3162746"/>
                              <a:ext cx="24748"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7" name="Straight Connector 26276">
                              <a:extLst>
                                <a:ext uri="{FF2B5EF4-FFF2-40B4-BE49-F238E27FC236}">
                                  <a16:creationId xmlns:a16="http://schemas.microsoft.com/office/drawing/2014/main" id="{9DC4D1DC-7C88-47EC-9180-ACD52FBC1B19}"/>
                                </a:ext>
                              </a:extLst>
                            </xdr:cNvPr>
                            <xdr:cNvCxnSpPr>
                              <a:cxnSpLocks/>
                            </xdr:cNvCxnSpPr>
                          </xdr:nvCxnSpPr>
                          <xdr:spPr>
                            <a:xfrm flipH="1">
                              <a:off x="5099579" y="3141647"/>
                              <a:ext cx="4888" cy="59957"/>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0" name="Group 26062">
                          <a:extLst>
                            <a:ext uri="{FF2B5EF4-FFF2-40B4-BE49-F238E27FC236}">
                              <a16:creationId xmlns:a16="http://schemas.microsoft.com/office/drawing/2014/main" id="{22340A27-1AFA-AE2C-43AF-5C6331135EE6}"/>
                            </a:ext>
                          </a:extLst>
                        </xdr:cNvPr>
                        <xdr:cNvGrpSpPr/>
                      </xdr:nvGrpSpPr>
                      <xdr:grpSpPr>
                        <a:xfrm>
                          <a:off x="9793225" y="12300767"/>
                          <a:ext cx="133214" cy="50618"/>
                          <a:chOff x="5315884" y="3396043"/>
                          <a:chExt cx="133214" cy="50618"/>
                        </a:xfrm>
                      </xdr:grpSpPr>
                      <xdr:grpSp>
                        <xdr:nvGrpSpPr>
                          <xdr:cNvPr id="26351" name="Group 26246">
                            <a:extLst>
                              <a:ext uri="{FF2B5EF4-FFF2-40B4-BE49-F238E27FC236}">
                                <a16:creationId xmlns:a16="http://schemas.microsoft.com/office/drawing/2014/main" id="{45C4306E-AAC0-454B-94E6-EA32BB87981C}"/>
                              </a:ext>
                            </a:extLst>
                          </xdr:cNvPr>
                          <xdr:cNvGrpSpPr/>
                        </xdr:nvGrpSpPr>
                        <xdr:grpSpPr>
                          <a:xfrm>
                            <a:off x="5315884" y="3400942"/>
                            <a:ext cx="43094" cy="45719"/>
                            <a:chOff x="5082563" y="2759244"/>
                            <a:chExt cx="43094" cy="64865"/>
                          </a:xfrm>
                        </xdr:grpSpPr>
                        <xdr:cxnSp macro="">
                          <xdr:nvCxnSpPr>
                            <xdr:cNvPr id="26368" name="Straight Connector 26263">
                              <a:extLst>
                                <a:ext uri="{FF2B5EF4-FFF2-40B4-BE49-F238E27FC236}">
                                  <a16:creationId xmlns:a16="http://schemas.microsoft.com/office/drawing/2014/main" id="{909D7E40-EAB5-0A18-BEB3-5AEBAC55420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9" name="Straight Connector 26264">
                              <a:extLst>
                                <a:ext uri="{FF2B5EF4-FFF2-40B4-BE49-F238E27FC236}">
                                  <a16:creationId xmlns:a16="http://schemas.microsoft.com/office/drawing/2014/main" id="{F1D8327C-2EE8-A81F-1A9B-105765908422}"/>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0" name="Straight Connector 26265">
                              <a:extLst>
                                <a:ext uri="{FF2B5EF4-FFF2-40B4-BE49-F238E27FC236}">
                                  <a16:creationId xmlns:a16="http://schemas.microsoft.com/office/drawing/2014/main" id="{A8AB7F0C-916A-3AC8-1A37-425DCDE80DE8}"/>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2" name="Group 26247">
                            <a:extLst>
                              <a:ext uri="{FF2B5EF4-FFF2-40B4-BE49-F238E27FC236}">
                                <a16:creationId xmlns:a16="http://schemas.microsoft.com/office/drawing/2014/main" id="{2A22DA85-0485-1D14-38D0-72745CFFDA64}"/>
                              </a:ext>
                            </a:extLst>
                          </xdr:cNvPr>
                          <xdr:cNvGrpSpPr/>
                        </xdr:nvGrpSpPr>
                        <xdr:grpSpPr>
                          <a:xfrm>
                            <a:off x="5339806" y="3399172"/>
                            <a:ext cx="43094" cy="45719"/>
                            <a:chOff x="5082563" y="2759244"/>
                            <a:chExt cx="43094" cy="64865"/>
                          </a:xfrm>
                        </xdr:grpSpPr>
                        <xdr:cxnSp macro="">
                          <xdr:nvCxnSpPr>
                            <xdr:cNvPr id="26365" name="Straight Connector 26260">
                              <a:extLst>
                                <a:ext uri="{FF2B5EF4-FFF2-40B4-BE49-F238E27FC236}">
                                  <a16:creationId xmlns:a16="http://schemas.microsoft.com/office/drawing/2014/main" id="{A42C9AAE-AAF0-F7DB-4A20-F505E441975F}"/>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6" name="Straight Connector 26261">
                              <a:extLst>
                                <a:ext uri="{FF2B5EF4-FFF2-40B4-BE49-F238E27FC236}">
                                  <a16:creationId xmlns:a16="http://schemas.microsoft.com/office/drawing/2014/main" id="{7C014131-7D7F-285E-ADBF-AEAAE658022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7" name="Straight Connector 26262">
                              <a:extLst>
                                <a:ext uri="{FF2B5EF4-FFF2-40B4-BE49-F238E27FC236}">
                                  <a16:creationId xmlns:a16="http://schemas.microsoft.com/office/drawing/2014/main" id="{17A02416-2794-6AC0-6D44-A473D7B9240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3" name="Group 26248">
                            <a:extLst>
                              <a:ext uri="{FF2B5EF4-FFF2-40B4-BE49-F238E27FC236}">
                                <a16:creationId xmlns:a16="http://schemas.microsoft.com/office/drawing/2014/main" id="{32AD0564-A99A-11A7-F39B-D7E8BF5EFDA0}"/>
                              </a:ext>
                            </a:extLst>
                          </xdr:cNvPr>
                          <xdr:cNvGrpSpPr/>
                        </xdr:nvGrpSpPr>
                        <xdr:grpSpPr>
                          <a:xfrm>
                            <a:off x="5364895" y="3396537"/>
                            <a:ext cx="43094" cy="45719"/>
                            <a:chOff x="5082563" y="2759244"/>
                            <a:chExt cx="43094" cy="64865"/>
                          </a:xfrm>
                        </xdr:grpSpPr>
                        <xdr:cxnSp macro="">
                          <xdr:nvCxnSpPr>
                            <xdr:cNvPr id="26362" name="Straight Connector 26257">
                              <a:extLst>
                                <a:ext uri="{FF2B5EF4-FFF2-40B4-BE49-F238E27FC236}">
                                  <a16:creationId xmlns:a16="http://schemas.microsoft.com/office/drawing/2014/main" id="{2ACF9127-2A21-4442-9F83-0C2AE9986A5A}"/>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3" name="Straight Connector 26258">
                              <a:extLst>
                                <a:ext uri="{FF2B5EF4-FFF2-40B4-BE49-F238E27FC236}">
                                  <a16:creationId xmlns:a16="http://schemas.microsoft.com/office/drawing/2014/main" id="{D485A41E-047A-BF5B-C45D-E92847A89BF1}"/>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4" name="Straight Connector 26259">
                              <a:extLst>
                                <a:ext uri="{FF2B5EF4-FFF2-40B4-BE49-F238E27FC236}">
                                  <a16:creationId xmlns:a16="http://schemas.microsoft.com/office/drawing/2014/main" id="{171DA3C0-EBC6-31C7-9AF3-FB62D2D18F3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4" name="Group 26249">
                            <a:extLst>
                              <a:ext uri="{FF2B5EF4-FFF2-40B4-BE49-F238E27FC236}">
                                <a16:creationId xmlns:a16="http://schemas.microsoft.com/office/drawing/2014/main" id="{E1E8A24D-9967-46C2-4035-DF80A3A68EFA}"/>
                              </a:ext>
                            </a:extLst>
                          </xdr:cNvPr>
                          <xdr:cNvGrpSpPr/>
                        </xdr:nvGrpSpPr>
                        <xdr:grpSpPr>
                          <a:xfrm>
                            <a:off x="5380336" y="3396043"/>
                            <a:ext cx="43094" cy="45719"/>
                            <a:chOff x="5082563" y="2759244"/>
                            <a:chExt cx="43094" cy="64865"/>
                          </a:xfrm>
                        </xdr:grpSpPr>
                        <xdr:cxnSp macro="">
                          <xdr:nvCxnSpPr>
                            <xdr:cNvPr id="26359" name="Straight Connector 26254">
                              <a:extLst>
                                <a:ext uri="{FF2B5EF4-FFF2-40B4-BE49-F238E27FC236}">
                                  <a16:creationId xmlns:a16="http://schemas.microsoft.com/office/drawing/2014/main" id="{3DF214B3-07E9-2E96-839E-55D83B052DED}"/>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0" name="Straight Connector 26255">
                              <a:extLst>
                                <a:ext uri="{FF2B5EF4-FFF2-40B4-BE49-F238E27FC236}">
                                  <a16:creationId xmlns:a16="http://schemas.microsoft.com/office/drawing/2014/main" id="{76B61F3E-4F91-B43D-BF9D-942560B162AA}"/>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1" name="Straight Connector 26256">
                              <a:extLst>
                                <a:ext uri="{FF2B5EF4-FFF2-40B4-BE49-F238E27FC236}">
                                  <a16:creationId xmlns:a16="http://schemas.microsoft.com/office/drawing/2014/main" id="{C27420C9-2FFA-C37D-5921-9FE6CF5EB9E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5" name="Group 26250">
                            <a:extLst>
                              <a:ext uri="{FF2B5EF4-FFF2-40B4-BE49-F238E27FC236}">
                                <a16:creationId xmlns:a16="http://schemas.microsoft.com/office/drawing/2014/main" id="{4C417A38-24A3-96D2-E73A-0D464E24400B}"/>
                              </a:ext>
                            </a:extLst>
                          </xdr:cNvPr>
                          <xdr:cNvGrpSpPr/>
                        </xdr:nvGrpSpPr>
                        <xdr:grpSpPr>
                          <a:xfrm>
                            <a:off x="5406004" y="3399172"/>
                            <a:ext cx="43094" cy="45719"/>
                            <a:chOff x="5082563" y="2759244"/>
                            <a:chExt cx="43094" cy="64865"/>
                          </a:xfrm>
                        </xdr:grpSpPr>
                        <xdr:cxnSp macro="">
                          <xdr:nvCxnSpPr>
                            <xdr:cNvPr id="26356" name="Straight Connector 26251">
                              <a:extLst>
                                <a:ext uri="{FF2B5EF4-FFF2-40B4-BE49-F238E27FC236}">
                                  <a16:creationId xmlns:a16="http://schemas.microsoft.com/office/drawing/2014/main" id="{A651F69D-D721-144A-0616-825D4F7410C8}"/>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7" name="Straight Connector 26252">
                              <a:extLst>
                                <a:ext uri="{FF2B5EF4-FFF2-40B4-BE49-F238E27FC236}">
                                  <a16:creationId xmlns:a16="http://schemas.microsoft.com/office/drawing/2014/main" id="{43026A9E-A3B2-51E1-E344-4C9D03037B9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8" name="Straight Connector 26253">
                              <a:extLst>
                                <a:ext uri="{FF2B5EF4-FFF2-40B4-BE49-F238E27FC236}">
                                  <a16:creationId xmlns:a16="http://schemas.microsoft.com/office/drawing/2014/main" id="{32CCE71A-84A2-82F3-D8D4-791A2DC6CF0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3" name="Group 26063">
                          <a:extLst>
                            <a:ext uri="{FF2B5EF4-FFF2-40B4-BE49-F238E27FC236}">
                              <a16:creationId xmlns:a16="http://schemas.microsoft.com/office/drawing/2014/main" id="{0B016705-8A90-7981-A996-03FB99993006}"/>
                            </a:ext>
                          </a:extLst>
                        </xdr:cNvPr>
                        <xdr:cNvGrpSpPr/>
                      </xdr:nvGrpSpPr>
                      <xdr:grpSpPr>
                        <a:xfrm>
                          <a:off x="11919487" y="11690934"/>
                          <a:ext cx="133214" cy="82290"/>
                          <a:chOff x="5315884" y="3522399"/>
                          <a:chExt cx="133214" cy="82290"/>
                        </a:xfrm>
                      </xdr:grpSpPr>
                      <xdr:grpSp>
                        <xdr:nvGrpSpPr>
                          <xdr:cNvPr id="26297" name="Group 26226">
                            <a:extLst>
                              <a:ext uri="{FF2B5EF4-FFF2-40B4-BE49-F238E27FC236}">
                                <a16:creationId xmlns:a16="http://schemas.microsoft.com/office/drawing/2014/main" id="{8BF29719-D8D3-C3C0-C45E-E24707FC93D9}"/>
                              </a:ext>
                            </a:extLst>
                          </xdr:cNvPr>
                          <xdr:cNvGrpSpPr/>
                        </xdr:nvGrpSpPr>
                        <xdr:grpSpPr>
                          <a:xfrm>
                            <a:off x="5315884" y="3555784"/>
                            <a:ext cx="78323" cy="48905"/>
                            <a:chOff x="5082563" y="2978965"/>
                            <a:chExt cx="78323" cy="69386"/>
                          </a:xfrm>
                        </xdr:grpSpPr>
                        <xdr:cxnSp macro="">
                          <xdr:nvCxnSpPr>
                            <xdr:cNvPr id="26348" name="Straight Connector 26243">
                              <a:extLst>
                                <a:ext uri="{FF2B5EF4-FFF2-40B4-BE49-F238E27FC236}">
                                  <a16:creationId xmlns:a16="http://schemas.microsoft.com/office/drawing/2014/main" id="{540F3A2E-8B68-FD2A-713E-0ABEAD4AAEF9}"/>
                                </a:ext>
                              </a:extLst>
                            </xdr:cNvPr>
                            <xdr:cNvCxnSpPr>
                              <a:cxnSpLocks/>
                            </xdr:cNvCxnSpPr>
                          </xdr:nvCxnSpPr>
                          <xdr:spPr>
                            <a:xfrm flipV="1">
                              <a:off x="5104015" y="2990959"/>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9" name="Straight Connector 26244">
                              <a:extLst>
                                <a:ext uri="{FF2B5EF4-FFF2-40B4-BE49-F238E27FC236}">
                                  <a16:creationId xmlns:a16="http://schemas.microsoft.com/office/drawing/2014/main" id="{4DA62FF3-2BD9-526F-763F-C78C8A284497}"/>
                                </a:ext>
                              </a:extLst>
                            </xdr:cNvPr>
                            <xdr:cNvCxnSpPr>
                              <a:cxnSpLocks/>
                            </xdr:cNvCxnSpPr>
                          </xdr:nvCxnSpPr>
                          <xdr:spPr>
                            <a:xfrm flipV="1">
                              <a:off x="5136135" y="2979626"/>
                              <a:ext cx="24751" cy="28114"/>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0" name="Straight Connector 26245">
                              <a:extLst>
                                <a:ext uri="{FF2B5EF4-FFF2-40B4-BE49-F238E27FC236}">
                                  <a16:creationId xmlns:a16="http://schemas.microsoft.com/office/drawing/2014/main" id="{953AECE1-2AAC-F513-2DCF-7B63FD1BB3EC}"/>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98" name="Group 26227">
                            <a:extLst>
                              <a:ext uri="{FF2B5EF4-FFF2-40B4-BE49-F238E27FC236}">
                                <a16:creationId xmlns:a16="http://schemas.microsoft.com/office/drawing/2014/main" id="{CFBE7DFC-C5AB-7DE5-5D08-A00B152A160F}"/>
                              </a:ext>
                            </a:extLst>
                          </xdr:cNvPr>
                          <xdr:cNvGrpSpPr/>
                        </xdr:nvGrpSpPr>
                        <xdr:grpSpPr>
                          <a:xfrm>
                            <a:off x="5339806" y="3540859"/>
                            <a:ext cx="43094" cy="40450"/>
                            <a:chOff x="5082563" y="2960350"/>
                            <a:chExt cx="43094" cy="57391"/>
                          </a:xfrm>
                        </xdr:grpSpPr>
                        <xdr:cxnSp macro="">
                          <xdr:nvCxnSpPr>
                            <xdr:cNvPr id="26345" name="Straight Connector 26240">
                              <a:extLst>
                                <a:ext uri="{FF2B5EF4-FFF2-40B4-BE49-F238E27FC236}">
                                  <a16:creationId xmlns:a16="http://schemas.microsoft.com/office/drawing/2014/main" id="{DFA479DF-9265-5852-8D36-A71456794FEF}"/>
                                </a:ext>
                              </a:extLst>
                            </xdr:cNvPr>
                            <xdr:cNvCxnSpPr>
                              <a:cxnSpLocks/>
                            </xdr:cNvCxnSpPr>
                          </xdr:nvCxnSpPr>
                          <xdr:spPr>
                            <a:xfrm flipV="1">
                              <a:off x="5104015" y="2960350"/>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6" name="Straight Connector 26241">
                              <a:extLst>
                                <a:ext uri="{FF2B5EF4-FFF2-40B4-BE49-F238E27FC236}">
                                  <a16:creationId xmlns:a16="http://schemas.microsoft.com/office/drawing/2014/main" id="{1DD10A0B-AC94-A3F2-069F-5EF9F12CB496}"/>
                                </a:ext>
                              </a:extLst>
                            </xdr:cNvPr>
                            <xdr:cNvCxnSpPr>
                              <a:cxnSpLocks/>
                            </xdr:cNvCxnSpPr>
                          </xdr:nvCxnSpPr>
                          <xdr:spPr>
                            <a:xfrm flipV="1">
                              <a:off x="5100907" y="2988365"/>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7" name="Straight Connector 26242">
                              <a:extLst>
                                <a:ext uri="{FF2B5EF4-FFF2-40B4-BE49-F238E27FC236}">
                                  <a16:creationId xmlns:a16="http://schemas.microsoft.com/office/drawing/2014/main" id="{567C4CD3-0110-0802-0AA7-9FBC1387093F}"/>
                                </a:ext>
                              </a:extLst>
                            </xdr:cNvPr>
                            <xdr:cNvCxnSpPr>
                              <a:cxnSpLocks/>
                            </xdr:cNvCxnSpPr>
                          </xdr:nvCxnSpPr>
                          <xdr:spPr>
                            <a:xfrm flipH="1" flipV="1">
                              <a:off x="5082563" y="2974592"/>
                              <a:ext cx="21904" cy="3313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99" name="Group 26228">
                            <a:extLst>
                              <a:ext uri="{FF2B5EF4-FFF2-40B4-BE49-F238E27FC236}">
                                <a16:creationId xmlns:a16="http://schemas.microsoft.com/office/drawing/2014/main" id="{2E33C45A-9434-9F53-E3F3-D601E1D803B3}"/>
                              </a:ext>
                            </a:extLst>
                          </xdr:cNvPr>
                          <xdr:cNvGrpSpPr/>
                        </xdr:nvGrpSpPr>
                        <xdr:grpSpPr>
                          <a:xfrm>
                            <a:off x="5364895" y="3525912"/>
                            <a:ext cx="43094" cy="45725"/>
                            <a:chOff x="5082563" y="2942866"/>
                            <a:chExt cx="43094" cy="64875"/>
                          </a:xfrm>
                        </xdr:grpSpPr>
                        <xdr:cxnSp macro="">
                          <xdr:nvCxnSpPr>
                            <xdr:cNvPr id="26341" name="Straight Connector 26237">
                              <a:extLst>
                                <a:ext uri="{FF2B5EF4-FFF2-40B4-BE49-F238E27FC236}">
                                  <a16:creationId xmlns:a16="http://schemas.microsoft.com/office/drawing/2014/main" id="{E7F73C64-B1D3-1C43-557B-E70F8C1B4CDC}"/>
                                </a:ext>
                              </a:extLst>
                            </xdr:cNvPr>
                            <xdr:cNvCxnSpPr>
                              <a:cxnSpLocks/>
                            </xdr:cNvCxnSpPr>
                          </xdr:nvCxnSpPr>
                          <xdr:spPr>
                            <a:xfrm flipV="1">
                              <a:off x="5104015" y="2942866"/>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3" name="Straight Connector 26238">
                              <a:extLst>
                                <a:ext uri="{FF2B5EF4-FFF2-40B4-BE49-F238E27FC236}">
                                  <a16:creationId xmlns:a16="http://schemas.microsoft.com/office/drawing/2014/main" id="{F339BFDC-BDD1-84FA-CA5F-0BB5919CC839}"/>
                                </a:ext>
                              </a:extLst>
                            </xdr:cNvPr>
                            <xdr:cNvCxnSpPr>
                              <a:cxnSpLocks/>
                            </xdr:cNvCxnSpPr>
                          </xdr:nvCxnSpPr>
                          <xdr:spPr>
                            <a:xfrm flipV="1">
                              <a:off x="5100907" y="2979626"/>
                              <a:ext cx="24750" cy="28115"/>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4" name="Straight Connector 26239">
                              <a:extLst>
                                <a:ext uri="{FF2B5EF4-FFF2-40B4-BE49-F238E27FC236}">
                                  <a16:creationId xmlns:a16="http://schemas.microsoft.com/office/drawing/2014/main" id="{D67D9F8B-BD1A-9A49-D41A-BBDCA40F7C67}"/>
                                </a:ext>
                              </a:extLst>
                            </xdr:cNvPr>
                            <xdr:cNvCxnSpPr>
                              <a:cxnSpLocks/>
                            </xdr:cNvCxnSpPr>
                          </xdr:nvCxnSpPr>
                          <xdr:spPr>
                            <a:xfrm flipH="1" flipV="1">
                              <a:off x="5082563" y="2965864"/>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00" name="Group 26229">
                            <a:extLst>
                              <a:ext uri="{FF2B5EF4-FFF2-40B4-BE49-F238E27FC236}">
                                <a16:creationId xmlns:a16="http://schemas.microsoft.com/office/drawing/2014/main" id="{9230B636-4BE3-85A5-5D61-C9CB92EF4665}"/>
                              </a:ext>
                            </a:extLst>
                          </xdr:cNvPr>
                          <xdr:cNvGrpSpPr/>
                        </xdr:nvGrpSpPr>
                        <xdr:grpSpPr>
                          <a:xfrm>
                            <a:off x="5380336" y="3539014"/>
                            <a:ext cx="43094" cy="60767"/>
                            <a:chOff x="5082563" y="2962136"/>
                            <a:chExt cx="43094" cy="86216"/>
                          </a:xfrm>
                        </xdr:grpSpPr>
                        <xdr:cxnSp macro="">
                          <xdr:nvCxnSpPr>
                            <xdr:cNvPr id="26306" name="Straight Connector 26234">
                              <a:extLst>
                                <a:ext uri="{FF2B5EF4-FFF2-40B4-BE49-F238E27FC236}">
                                  <a16:creationId xmlns:a16="http://schemas.microsoft.com/office/drawing/2014/main" id="{BC289330-F7FC-D126-3CDF-5466EA28040E}"/>
                                </a:ext>
                              </a:extLst>
                            </xdr:cNvPr>
                            <xdr:cNvCxnSpPr>
                              <a:cxnSpLocks/>
                            </xdr:cNvCxnSpPr>
                          </xdr:nvCxnSpPr>
                          <xdr:spPr>
                            <a:xfrm flipV="1">
                              <a:off x="5104015" y="2990960"/>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7" name="Straight Connector 26235">
                              <a:extLst>
                                <a:ext uri="{FF2B5EF4-FFF2-40B4-BE49-F238E27FC236}">
                                  <a16:creationId xmlns:a16="http://schemas.microsoft.com/office/drawing/2014/main" id="{4E58F50F-3B12-B102-7C3A-BCC51828709D}"/>
                                </a:ext>
                              </a:extLst>
                            </xdr:cNvPr>
                            <xdr:cNvCxnSpPr>
                              <a:cxnSpLocks/>
                            </xdr:cNvCxnSpPr>
                          </xdr:nvCxnSpPr>
                          <xdr:spPr>
                            <a:xfrm flipV="1">
                              <a:off x="5100907" y="2962136"/>
                              <a:ext cx="24750"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8" name="Straight Connector 26236">
                              <a:extLst>
                                <a:ext uri="{FF2B5EF4-FFF2-40B4-BE49-F238E27FC236}">
                                  <a16:creationId xmlns:a16="http://schemas.microsoft.com/office/drawing/2014/main" id="{5F9BB4D3-FADE-29E4-7B86-69C824E85A74}"/>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01" name="Group 26230">
                            <a:extLst>
                              <a:ext uri="{FF2B5EF4-FFF2-40B4-BE49-F238E27FC236}">
                                <a16:creationId xmlns:a16="http://schemas.microsoft.com/office/drawing/2014/main" id="{F7699A12-49BB-9DE0-07C5-2615159C4C33}"/>
                              </a:ext>
                            </a:extLst>
                          </xdr:cNvPr>
                          <xdr:cNvGrpSpPr/>
                        </xdr:nvGrpSpPr>
                        <xdr:grpSpPr>
                          <a:xfrm>
                            <a:off x="5406004" y="3522399"/>
                            <a:ext cx="43094" cy="54955"/>
                            <a:chOff x="5082563" y="2934124"/>
                            <a:chExt cx="43094" cy="77970"/>
                          </a:xfrm>
                        </xdr:grpSpPr>
                        <xdr:cxnSp macro="">
                          <xdr:nvCxnSpPr>
                            <xdr:cNvPr id="26303" name="Straight Connector 26231">
                              <a:extLst>
                                <a:ext uri="{FF2B5EF4-FFF2-40B4-BE49-F238E27FC236}">
                                  <a16:creationId xmlns:a16="http://schemas.microsoft.com/office/drawing/2014/main" id="{4BCE1D8C-93E9-B91A-4B8D-F2B7FF214D4F}"/>
                                </a:ext>
                              </a:extLst>
                            </xdr:cNvPr>
                            <xdr:cNvCxnSpPr>
                              <a:cxnSpLocks/>
                            </xdr:cNvCxnSpPr>
                          </xdr:nvCxnSpPr>
                          <xdr:spPr>
                            <a:xfrm flipV="1">
                              <a:off x="5104015" y="2934124"/>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4" name="Straight Connector 26232">
                              <a:extLst>
                                <a:ext uri="{FF2B5EF4-FFF2-40B4-BE49-F238E27FC236}">
                                  <a16:creationId xmlns:a16="http://schemas.microsoft.com/office/drawing/2014/main" id="{BDFBE9CD-5267-F093-EEC3-A6F313796070}"/>
                                </a:ext>
                              </a:extLst>
                            </xdr:cNvPr>
                            <xdr:cNvCxnSpPr>
                              <a:cxnSpLocks/>
                            </xdr:cNvCxnSpPr>
                          </xdr:nvCxnSpPr>
                          <xdr:spPr>
                            <a:xfrm flipV="1">
                              <a:off x="5100907" y="2983983"/>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5" name="Straight Connector 26233">
                              <a:extLst>
                                <a:ext uri="{FF2B5EF4-FFF2-40B4-BE49-F238E27FC236}">
                                  <a16:creationId xmlns:a16="http://schemas.microsoft.com/office/drawing/2014/main" id="{502CF1FC-2770-DC0F-B6EF-B8356B7D6559}"/>
                                </a:ext>
                              </a:extLst>
                            </xdr:cNvPr>
                            <xdr:cNvCxnSpPr>
                              <a:cxnSpLocks/>
                            </xdr:cNvCxnSpPr>
                          </xdr:nvCxnSpPr>
                          <xdr:spPr>
                            <a:xfrm flipH="1" flipV="1">
                              <a:off x="5082563" y="2974589"/>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8" name="Group 26064">
                          <a:extLst>
                            <a:ext uri="{FF2B5EF4-FFF2-40B4-BE49-F238E27FC236}">
                              <a16:creationId xmlns:a16="http://schemas.microsoft.com/office/drawing/2014/main" id="{28B9537E-D62C-7BDE-95B9-586ECFCF8A09}"/>
                            </a:ext>
                          </a:extLst>
                        </xdr:cNvPr>
                        <xdr:cNvGrpSpPr/>
                      </xdr:nvGrpSpPr>
                      <xdr:grpSpPr>
                        <a:xfrm>
                          <a:off x="9172513" y="11895503"/>
                          <a:ext cx="133214" cy="50618"/>
                          <a:chOff x="5315884" y="3396043"/>
                          <a:chExt cx="133214" cy="50618"/>
                        </a:xfrm>
                      </xdr:grpSpPr>
                      <xdr:grpSp>
                        <xdr:nvGrpSpPr>
                          <xdr:cNvPr id="26276" name="Group 26206">
                            <a:extLst>
                              <a:ext uri="{FF2B5EF4-FFF2-40B4-BE49-F238E27FC236}">
                                <a16:creationId xmlns:a16="http://schemas.microsoft.com/office/drawing/2014/main" id="{6B9DDCDB-1043-B664-1E83-B601C1D32D81}"/>
                              </a:ext>
                            </a:extLst>
                          </xdr:cNvPr>
                          <xdr:cNvGrpSpPr/>
                        </xdr:nvGrpSpPr>
                        <xdr:grpSpPr>
                          <a:xfrm>
                            <a:off x="5315884" y="3400942"/>
                            <a:ext cx="43094" cy="45719"/>
                            <a:chOff x="5082563" y="2759244"/>
                            <a:chExt cx="43094" cy="64865"/>
                          </a:xfrm>
                        </xdr:grpSpPr>
                        <xdr:cxnSp macro="">
                          <xdr:nvCxnSpPr>
                            <xdr:cNvPr id="26293" name="Straight Connector 26223">
                              <a:extLst>
                                <a:ext uri="{FF2B5EF4-FFF2-40B4-BE49-F238E27FC236}">
                                  <a16:creationId xmlns:a16="http://schemas.microsoft.com/office/drawing/2014/main" id="{E5A7D787-854E-6840-BAC3-11DD5AFCCEED}"/>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5" name="Straight Connector 26224">
                              <a:extLst>
                                <a:ext uri="{FF2B5EF4-FFF2-40B4-BE49-F238E27FC236}">
                                  <a16:creationId xmlns:a16="http://schemas.microsoft.com/office/drawing/2014/main" id="{01F58E72-028B-F9CE-3D6D-35B968A74B7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6" name="Straight Connector 26225">
                              <a:extLst>
                                <a:ext uri="{FF2B5EF4-FFF2-40B4-BE49-F238E27FC236}">
                                  <a16:creationId xmlns:a16="http://schemas.microsoft.com/office/drawing/2014/main" id="{D95FD297-E1BB-6E48-11EA-0E578F6E980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7" name="Group 26207">
                            <a:extLst>
                              <a:ext uri="{FF2B5EF4-FFF2-40B4-BE49-F238E27FC236}">
                                <a16:creationId xmlns:a16="http://schemas.microsoft.com/office/drawing/2014/main" id="{A2D76970-8BF7-3CC4-15A4-A89C7F84EF0D}"/>
                              </a:ext>
                            </a:extLst>
                          </xdr:cNvPr>
                          <xdr:cNvGrpSpPr/>
                        </xdr:nvGrpSpPr>
                        <xdr:grpSpPr>
                          <a:xfrm>
                            <a:off x="5339806" y="3399172"/>
                            <a:ext cx="43094" cy="45719"/>
                            <a:chOff x="5082563" y="2759244"/>
                            <a:chExt cx="43094" cy="64865"/>
                          </a:xfrm>
                        </xdr:grpSpPr>
                        <xdr:cxnSp macro="">
                          <xdr:nvCxnSpPr>
                            <xdr:cNvPr id="26290" name="Straight Connector 26220">
                              <a:extLst>
                                <a:ext uri="{FF2B5EF4-FFF2-40B4-BE49-F238E27FC236}">
                                  <a16:creationId xmlns:a16="http://schemas.microsoft.com/office/drawing/2014/main" id="{4C159948-A96A-3C7B-22AE-2F9E5AE1859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1" name="Straight Connector 26221">
                              <a:extLst>
                                <a:ext uri="{FF2B5EF4-FFF2-40B4-BE49-F238E27FC236}">
                                  <a16:creationId xmlns:a16="http://schemas.microsoft.com/office/drawing/2014/main" id="{C1C18DD3-C3B7-D609-D1DF-FE4A4BE5ACA8}"/>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2" name="Straight Connector 26222">
                              <a:extLst>
                                <a:ext uri="{FF2B5EF4-FFF2-40B4-BE49-F238E27FC236}">
                                  <a16:creationId xmlns:a16="http://schemas.microsoft.com/office/drawing/2014/main" id="{9545CFAB-8E28-2542-4AEC-717095B1F26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8" name="Group 26208">
                            <a:extLst>
                              <a:ext uri="{FF2B5EF4-FFF2-40B4-BE49-F238E27FC236}">
                                <a16:creationId xmlns:a16="http://schemas.microsoft.com/office/drawing/2014/main" id="{C873019E-89EE-6C28-108C-49194B6F5707}"/>
                              </a:ext>
                            </a:extLst>
                          </xdr:cNvPr>
                          <xdr:cNvGrpSpPr/>
                        </xdr:nvGrpSpPr>
                        <xdr:grpSpPr>
                          <a:xfrm>
                            <a:off x="5364895" y="3396537"/>
                            <a:ext cx="43094" cy="45719"/>
                            <a:chOff x="5082563" y="2759244"/>
                            <a:chExt cx="43094" cy="64865"/>
                          </a:xfrm>
                        </xdr:grpSpPr>
                        <xdr:cxnSp macro="">
                          <xdr:nvCxnSpPr>
                            <xdr:cNvPr id="26287" name="Straight Connector 26217">
                              <a:extLst>
                                <a:ext uri="{FF2B5EF4-FFF2-40B4-BE49-F238E27FC236}">
                                  <a16:creationId xmlns:a16="http://schemas.microsoft.com/office/drawing/2014/main" id="{904F0F1A-32CC-EBB9-8709-3BFC0D1CF77F}"/>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8" name="Straight Connector 26218">
                              <a:extLst>
                                <a:ext uri="{FF2B5EF4-FFF2-40B4-BE49-F238E27FC236}">
                                  <a16:creationId xmlns:a16="http://schemas.microsoft.com/office/drawing/2014/main" id="{A7CF989A-7970-AE09-24C9-4E051B3CBF4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9" name="Straight Connector 26219">
                              <a:extLst>
                                <a:ext uri="{FF2B5EF4-FFF2-40B4-BE49-F238E27FC236}">
                                  <a16:creationId xmlns:a16="http://schemas.microsoft.com/office/drawing/2014/main" id="{5124C8CD-6AB5-F86A-72C8-F5F386D7A85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9" name="Group 26209">
                            <a:extLst>
                              <a:ext uri="{FF2B5EF4-FFF2-40B4-BE49-F238E27FC236}">
                                <a16:creationId xmlns:a16="http://schemas.microsoft.com/office/drawing/2014/main" id="{A147181F-13B9-04B3-BA9F-0B2EC2C580C4}"/>
                              </a:ext>
                            </a:extLst>
                          </xdr:cNvPr>
                          <xdr:cNvGrpSpPr/>
                        </xdr:nvGrpSpPr>
                        <xdr:grpSpPr>
                          <a:xfrm>
                            <a:off x="5380336" y="3396043"/>
                            <a:ext cx="43094" cy="45719"/>
                            <a:chOff x="5082563" y="2759244"/>
                            <a:chExt cx="43094" cy="64865"/>
                          </a:xfrm>
                        </xdr:grpSpPr>
                        <xdr:cxnSp macro="">
                          <xdr:nvCxnSpPr>
                            <xdr:cNvPr id="26284" name="Straight Connector 26214">
                              <a:extLst>
                                <a:ext uri="{FF2B5EF4-FFF2-40B4-BE49-F238E27FC236}">
                                  <a16:creationId xmlns:a16="http://schemas.microsoft.com/office/drawing/2014/main" id="{EA0BABB1-9C06-C24D-9C7A-8522BD6F84E4}"/>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5" name="Straight Connector 26215">
                              <a:extLst>
                                <a:ext uri="{FF2B5EF4-FFF2-40B4-BE49-F238E27FC236}">
                                  <a16:creationId xmlns:a16="http://schemas.microsoft.com/office/drawing/2014/main" id="{AD045001-71C7-D166-E2C4-15E78E344C8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6" name="Straight Connector 26216">
                              <a:extLst>
                                <a:ext uri="{FF2B5EF4-FFF2-40B4-BE49-F238E27FC236}">
                                  <a16:creationId xmlns:a16="http://schemas.microsoft.com/office/drawing/2014/main" id="{FCB861F8-117D-93FA-4378-BE0CC84525B6}"/>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80" name="Group 26210">
                            <a:extLst>
                              <a:ext uri="{FF2B5EF4-FFF2-40B4-BE49-F238E27FC236}">
                                <a16:creationId xmlns:a16="http://schemas.microsoft.com/office/drawing/2014/main" id="{446BC03A-DA09-3EC4-D25A-05AC2DE26A33}"/>
                              </a:ext>
                            </a:extLst>
                          </xdr:cNvPr>
                          <xdr:cNvGrpSpPr/>
                        </xdr:nvGrpSpPr>
                        <xdr:grpSpPr>
                          <a:xfrm>
                            <a:off x="5406004" y="3399172"/>
                            <a:ext cx="43094" cy="45719"/>
                            <a:chOff x="5082563" y="2759244"/>
                            <a:chExt cx="43094" cy="64865"/>
                          </a:xfrm>
                        </xdr:grpSpPr>
                        <xdr:cxnSp macro="">
                          <xdr:nvCxnSpPr>
                            <xdr:cNvPr id="26281" name="Straight Connector 26211">
                              <a:extLst>
                                <a:ext uri="{FF2B5EF4-FFF2-40B4-BE49-F238E27FC236}">
                                  <a16:creationId xmlns:a16="http://schemas.microsoft.com/office/drawing/2014/main" id="{AD505D20-AC5A-52F9-89D8-D601C9B86F97}"/>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2" name="Straight Connector 26212">
                              <a:extLst>
                                <a:ext uri="{FF2B5EF4-FFF2-40B4-BE49-F238E27FC236}">
                                  <a16:creationId xmlns:a16="http://schemas.microsoft.com/office/drawing/2014/main" id="{785DAA47-97C1-3E62-4A78-57F538DF2E1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3" name="Straight Connector 26213">
                              <a:extLst>
                                <a:ext uri="{FF2B5EF4-FFF2-40B4-BE49-F238E27FC236}">
                                  <a16:creationId xmlns:a16="http://schemas.microsoft.com/office/drawing/2014/main" id="{61012C32-07E8-EDBE-0805-7355B6BA121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26089" name="Freeform: Shape 26065">
                          <a:extLst>
                            <a:ext uri="{FF2B5EF4-FFF2-40B4-BE49-F238E27FC236}">
                              <a16:creationId xmlns:a16="http://schemas.microsoft.com/office/drawing/2014/main" id="{A581CECA-39C7-CC5D-DFE2-3BDDA7270C15}"/>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090" name="Group 26067">
                          <a:extLst>
                            <a:ext uri="{FF2B5EF4-FFF2-40B4-BE49-F238E27FC236}">
                              <a16:creationId xmlns:a16="http://schemas.microsoft.com/office/drawing/2014/main" id="{60959F15-DE1C-AF25-2440-72A8FF89F6A5}"/>
                            </a:ext>
                          </a:extLst>
                        </xdr:cNvPr>
                        <xdr:cNvGrpSpPr/>
                      </xdr:nvGrpSpPr>
                      <xdr:grpSpPr>
                        <a:xfrm>
                          <a:off x="11001398" y="14205596"/>
                          <a:ext cx="138114" cy="491409"/>
                          <a:chOff x="656350" y="2751886"/>
                          <a:chExt cx="138114" cy="2543246"/>
                        </a:xfrm>
                      </xdr:grpSpPr>
                      <xdr:cxnSp macro="">
                        <xdr:nvCxnSpPr>
                          <xdr:cNvPr id="26273" name="Straight Connector 26203">
                            <a:extLst>
                              <a:ext uri="{FF2B5EF4-FFF2-40B4-BE49-F238E27FC236}">
                                <a16:creationId xmlns:a16="http://schemas.microsoft.com/office/drawing/2014/main" id="{6026EF7B-116D-E567-7EC3-1063DBED8E30}"/>
                              </a:ext>
                            </a:extLst>
                          </xdr:cNvPr>
                          <xdr:cNvCxnSpPr/>
                        </xdr:nvCxnSpPr>
                        <xdr:spPr>
                          <a:xfrm flipV="1">
                            <a:off x="723025" y="2788134"/>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4" name="Straight Connector 26204">
                            <a:extLst>
                              <a:ext uri="{FF2B5EF4-FFF2-40B4-BE49-F238E27FC236}">
                                <a16:creationId xmlns:a16="http://schemas.microsoft.com/office/drawing/2014/main" id="{D0ADEA8A-DE38-435E-D526-0719B8164C34}"/>
                              </a:ext>
                            </a:extLst>
                          </xdr:cNvPr>
                          <xdr:cNvCxnSpPr/>
                        </xdr:nvCxnSpPr>
                        <xdr:spPr>
                          <a:xfrm flipH="1">
                            <a:off x="656350" y="2751886"/>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5" name="Straight Connector 26205">
                            <a:extLst>
                              <a:ext uri="{FF2B5EF4-FFF2-40B4-BE49-F238E27FC236}">
                                <a16:creationId xmlns:a16="http://schemas.microsoft.com/office/drawing/2014/main" id="{9980911C-8A1A-6FB7-59C8-05766862CC67}"/>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091" name="TextBox 367">
                          <a:extLst>
                            <a:ext uri="{FF2B5EF4-FFF2-40B4-BE49-F238E27FC236}">
                              <a16:creationId xmlns:a16="http://schemas.microsoft.com/office/drawing/2014/main" id="{8090EF07-1D5A-B7F1-3F8E-1EDE7CF58FB8}"/>
                            </a:ext>
                          </a:extLst>
                        </xdr:cNvPr>
                        <xdr:cNvSpPr txBox="1"/>
                      </xdr:nvSpPr>
                      <xdr:spPr>
                        <a:xfrm>
                          <a:off x="11096526" y="14265612"/>
                          <a:ext cx="572244"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200" b="0" i="1">
                              <a:latin typeface="Broadway" panose="04040905080B02020502" pitchFamily="82" charset="0"/>
                              <a:ea typeface="Calibri" panose="020F0502020204030204" pitchFamily="34" charset="0"/>
                              <a:cs typeface="Arial" panose="020B0604020202020204" pitchFamily="34" charset="0"/>
                            </a:rPr>
                            <a:t>δ</a:t>
                          </a:r>
                          <a:r>
                            <a:rPr lang="en-US" sz="1000" b="0" i="1" baseline="-25000">
                              <a:latin typeface="Arial" panose="020B0604020202020204" pitchFamily="34" charset="0"/>
                              <a:ea typeface="Calibri" panose="020F0502020204030204" pitchFamily="34" charset="0"/>
                              <a:cs typeface="Arial" panose="020B0604020202020204" pitchFamily="34" charset="0"/>
                            </a:rPr>
                            <a:t>gw</a:t>
                          </a:r>
                          <a:endParaRPr lang="en-US" sz="1000" b="0" i="1" baseline="-25000">
                            <a:latin typeface="Arial" panose="020B0604020202020204" pitchFamily="34" charset="0"/>
                            <a:cs typeface="Arial" panose="020B0604020202020204" pitchFamily="34" charset="0"/>
                          </a:endParaRPr>
                        </a:p>
                        <a:p>
                          <a:endParaRPr lang="en-US" sz="2000" b="0" i="1"/>
                        </a:p>
                      </xdr:txBody>
                    </xdr:sp>
                    <xdr:grpSp>
                      <xdr:nvGrpSpPr>
                        <xdr:cNvPr id="26145" name="Group 26069">
                          <a:extLst>
                            <a:ext uri="{FF2B5EF4-FFF2-40B4-BE49-F238E27FC236}">
                              <a16:creationId xmlns:a16="http://schemas.microsoft.com/office/drawing/2014/main" id="{3104E82A-4D52-FAE4-B740-819C616DB9B5}"/>
                            </a:ext>
                          </a:extLst>
                        </xdr:cNvPr>
                        <xdr:cNvGrpSpPr/>
                      </xdr:nvGrpSpPr>
                      <xdr:grpSpPr>
                        <a:xfrm>
                          <a:off x="9815384" y="12707685"/>
                          <a:ext cx="138114" cy="1463095"/>
                          <a:chOff x="2355979" y="2682689"/>
                          <a:chExt cx="138114" cy="2496847"/>
                        </a:xfrm>
                      </xdr:grpSpPr>
                      <xdr:cxnSp macro="">
                        <xdr:nvCxnSpPr>
                          <xdr:cNvPr id="26270" name="Straight Connector 26200">
                            <a:extLst>
                              <a:ext uri="{FF2B5EF4-FFF2-40B4-BE49-F238E27FC236}">
                                <a16:creationId xmlns:a16="http://schemas.microsoft.com/office/drawing/2014/main" id="{4584FB0A-8F55-E396-2C1F-D42A21F952B2}"/>
                              </a:ext>
                            </a:extLst>
                          </xdr:cNvPr>
                          <xdr:cNvCxnSpPr/>
                        </xdr:nvCxnSpPr>
                        <xdr:spPr>
                          <a:xfrm flipV="1">
                            <a:off x="2422654" y="2699395"/>
                            <a:ext cx="0" cy="24707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1" name="Straight Connector 26201">
                            <a:extLst>
                              <a:ext uri="{FF2B5EF4-FFF2-40B4-BE49-F238E27FC236}">
                                <a16:creationId xmlns:a16="http://schemas.microsoft.com/office/drawing/2014/main" id="{F932881B-0F13-A1B9-2F37-583A9DBC5DAC}"/>
                              </a:ext>
                            </a:extLst>
                          </xdr:cNvPr>
                          <xdr:cNvCxnSpPr/>
                        </xdr:nvCxnSpPr>
                        <xdr:spPr>
                          <a:xfrm flipH="1">
                            <a:off x="2355979" y="268268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2" name="Straight Connector 26202">
                            <a:extLst>
                              <a:ext uri="{FF2B5EF4-FFF2-40B4-BE49-F238E27FC236}">
                                <a16:creationId xmlns:a16="http://schemas.microsoft.com/office/drawing/2014/main" id="{9989C0A8-A4E2-311C-3D94-B281ED5FADC1}"/>
                              </a:ext>
                            </a:extLst>
                          </xdr:cNvPr>
                          <xdr:cNvCxnSpPr/>
                        </xdr:nvCxnSpPr>
                        <xdr:spPr>
                          <a:xfrm flipH="1">
                            <a:off x="2360743" y="517953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nvGrpSpPr>
                        <xdr:cNvPr id="26146" name="Group 26071">
                          <a:extLst>
                            <a:ext uri="{FF2B5EF4-FFF2-40B4-BE49-F238E27FC236}">
                              <a16:creationId xmlns:a16="http://schemas.microsoft.com/office/drawing/2014/main" id="{469097B8-475D-3D78-D013-8B4DA6A760E0}"/>
                            </a:ext>
                          </a:extLst>
                        </xdr:cNvPr>
                        <xdr:cNvGrpSpPr/>
                      </xdr:nvGrpSpPr>
                      <xdr:grpSpPr>
                        <a:xfrm rot="5400000">
                          <a:off x="9227571" y="13755396"/>
                          <a:ext cx="138111" cy="1018251"/>
                          <a:chOff x="1056526" y="2677592"/>
                          <a:chExt cx="138111" cy="2470765"/>
                        </a:xfrm>
                      </xdr:grpSpPr>
                      <xdr:cxnSp macro="">
                        <xdr:nvCxnSpPr>
                          <xdr:cNvPr id="26267" name="Straight Connector 26197">
                            <a:extLst>
                              <a:ext uri="{FF2B5EF4-FFF2-40B4-BE49-F238E27FC236}">
                                <a16:creationId xmlns:a16="http://schemas.microsoft.com/office/drawing/2014/main" id="{857A7B44-2D21-877F-CC7A-0EDEA57BCA1B}"/>
                              </a:ext>
                            </a:extLst>
                          </xdr:cNvPr>
                          <xdr:cNvCxnSpPr/>
                        </xdr:nvCxnSpPr>
                        <xdr:spPr>
                          <a:xfrm rot="16200000">
                            <a:off x="-112179" y="3912981"/>
                            <a:ext cx="24707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68" name="Straight Connector 26198">
                            <a:extLst>
                              <a:ext uri="{FF2B5EF4-FFF2-40B4-BE49-F238E27FC236}">
                                <a16:creationId xmlns:a16="http://schemas.microsoft.com/office/drawing/2014/main" id="{9A551E49-6CCD-9979-C043-30A3E0054A40}"/>
                              </a:ext>
                            </a:extLst>
                          </xdr:cNvPr>
                          <xdr:cNvCxnSpPr/>
                        </xdr:nvCxnSpPr>
                        <xdr:spPr>
                          <a:xfrm rot="16200000" flipV="1">
                            <a:off x="1123201" y="2610917"/>
                            <a:ext cx="0" cy="1333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69" name="Straight Connector 26199">
                            <a:extLst>
                              <a:ext uri="{FF2B5EF4-FFF2-40B4-BE49-F238E27FC236}">
                                <a16:creationId xmlns:a16="http://schemas.microsoft.com/office/drawing/2014/main" id="{5403C9B6-B710-5244-670C-90A756E676C4}"/>
                              </a:ext>
                            </a:extLst>
                          </xdr:cNvPr>
                          <xdr:cNvCxnSpPr/>
                        </xdr:nvCxnSpPr>
                        <xdr:spPr>
                          <a:xfrm rot="16200000" flipV="1">
                            <a:off x="1127962" y="508168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147" name="TextBox 377">
                          <a:extLst>
                            <a:ext uri="{FF2B5EF4-FFF2-40B4-BE49-F238E27FC236}">
                              <a16:creationId xmlns:a16="http://schemas.microsoft.com/office/drawing/2014/main" id="{017F8E9B-2817-E8BD-9EBB-8A3AACE0F296}"/>
                            </a:ext>
                          </a:extLst>
                        </xdr:cNvPr>
                        <xdr:cNvSpPr txBox="1"/>
                      </xdr:nvSpPr>
                      <xdr:spPr>
                        <a:xfrm>
                          <a:off x="8735094" y="14241445"/>
                          <a:ext cx="361291" cy="25685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W</a:t>
                          </a:r>
                        </a:p>
                      </xdr:txBody>
                    </xdr:sp>
                    <xdr:sp macro="" textlink="">
                      <xdr:nvSpPr>
                        <xdr:cNvPr id="26148" name="TextBox 382">
                          <a:extLst>
                            <a:ext uri="{FF2B5EF4-FFF2-40B4-BE49-F238E27FC236}">
                              <a16:creationId xmlns:a16="http://schemas.microsoft.com/office/drawing/2014/main" id="{B1E3CA73-45B8-FD32-93F1-DEAFDD93E1B1}"/>
                            </a:ext>
                          </a:extLst>
                        </xdr:cNvPr>
                        <xdr:cNvSpPr txBox="1"/>
                      </xdr:nvSpPr>
                      <xdr:spPr>
                        <a:xfrm>
                          <a:off x="10053153" y="14645839"/>
                          <a:ext cx="655694" cy="34684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Times New Roman" panose="02020603050405020304" pitchFamily="18" charset="0"/>
                              <a:cs typeface="Times New Roman" panose="02020603050405020304" pitchFamily="18" charset="0"/>
                            </a:rPr>
                            <a:t>b</a:t>
                          </a:r>
                          <a:r>
                            <a:rPr lang="en-US" sz="1200" b="0" baseline="-25000">
                              <a:latin typeface="Times New Roman" panose="02020603050405020304" pitchFamily="18" charset="0"/>
                              <a:cs typeface="Times New Roman" panose="02020603050405020304" pitchFamily="18" charset="0"/>
                            </a:rPr>
                            <a:t>sat</a:t>
                          </a:r>
                        </a:p>
                      </xdr:txBody>
                    </xdr:sp>
                    <xdr:cxnSp macro="">
                      <xdr:nvCxnSpPr>
                        <xdr:cNvPr id="26149" name="Straight Arrow Connector 26074">
                          <a:extLst>
                            <a:ext uri="{FF2B5EF4-FFF2-40B4-BE49-F238E27FC236}">
                              <a16:creationId xmlns:a16="http://schemas.microsoft.com/office/drawing/2014/main" id="{AEC20272-9747-3387-5CF9-512EA698B65C}"/>
                            </a:ext>
                          </a:extLst>
                        </xdr:cNvPr>
                        <xdr:cNvCxnSpPr/>
                      </xdr:nvCxnSpPr>
                      <xdr:spPr>
                        <a:xfrm>
                          <a:off x="8758338" y="14851142"/>
                          <a:ext cx="588386" cy="0"/>
                        </a:xfrm>
                        <a:prstGeom prst="straightConnector1">
                          <a:avLst/>
                        </a:prstGeom>
                        <a:ln w="952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6150" name="TextBox 385">
                          <a:extLst>
                            <a:ext uri="{FF2B5EF4-FFF2-40B4-BE49-F238E27FC236}">
                              <a16:creationId xmlns:a16="http://schemas.microsoft.com/office/drawing/2014/main" id="{BA63B362-D3C9-F78D-6470-3A596EBA041C}"/>
                            </a:ext>
                          </a:extLst>
                        </xdr:cNvPr>
                        <xdr:cNvSpPr txBox="1"/>
                      </xdr:nvSpPr>
                      <xdr:spPr>
                        <a:xfrm>
                          <a:off x="7443625" y="14727105"/>
                          <a:ext cx="1625127" cy="209287"/>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0">
                              <a:latin typeface="Arial" panose="020B0604020202020204" pitchFamily="34" charset="0"/>
                              <a:cs typeface="Arial" panose="020B0604020202020204" pitchFamily="34" charset="0"/>
                            </a:rPr>
                            <a:t>Groundwater flow</a:t>
                          </a:r>
                        </a:p>
                      </xdr:txBody>
                    </xdr:sp>
                    <xdr:sp macro="" textlink="">
                      <xdr:nvSpPr>
                        <xdr:cNvPr id="26151" name="TextBox 388">
                          <a:extLst>
                            <a:ext uri="{FF2B5EF4-FFF2-40B4-BE49-F238E27FC236}">
                              <a16:creationId xmlns:a16="http://schemas.microsoft.com/office/drawing/2014/main" id="{2D8544CD-B2CC-A9D8-361E-43109941D6A9}"/>
                            </a:ext>
                          </a:extLst>
                        </xdr:cNvPr>
                        <xdr:cNvSpPr txBox="1"/>
                      </xdr:nvSpPr>
                      <xdr:spPr>
                        <a:xfrm>
                          <a:off x="8760035" y="12815750"/>
                          <a:ext cx="1042300" cy="78633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PFAS transport</a:t>
                          </a:r>
                        </a:p>
                        <a:p>
                          <a:pPr algn="ctr"/>
                          <a:r>
                            <a:rPr lang="en-US" sz="900" b="0">
                              <a:latin typeface="Arial" panose="020B0604020202020204" pitchFamily="34" charset="0"/>
                              <a:cs typeface="Arial" panose="020B0604020202020204" pitchFamily="34" charset="0"/>
                            </a:rPr>
                            <a:t>&amp; water</a:t>
                          </a:r>
                          <a:r>
                            <a:rPr lang="en-US" sz="900" b="0" baseline="0">
                              <a:latin typeface="Arial" panose="020B0604020202020204" pitchFamily="34" charset="0"/>
                              <a:cs typeface="Arial" panose="020B0604020202020204" pitchFamily="34" charset="0"/>
                            </a:rPr>
                            <a:t> flux</a:t>
                          </a:r>
                          <a:endParaRPr lang="en-US" sz="900" b="0">
                            <a:latin typeface="Arial" panose="020B0604020202020204" pitchFamily="34" charset="0"/>
                            <a:cs typeface="Arial" panose="020B0604020202020204" pitchFamily="34" charset="0"/>
                          </a:endParaRPr>
                        </a:p>
                      </xdr:txBody>
                    </xdr:sp>
                    <xdr:cxnSp macro="">
                      <xdr:nvCxnSpPr>
                        <xdr:cNvPr id="26152" name="Straight Arrow Connector 26077">
                          <a:extLst>
                            <a:ext uri="{FF2B5EF4-FFF2-40B4-BE49-F238E27FC236}">
                              <a16:creationId xmlns:a16="http://schemas.microsoft.com/office/drawing/2014/main" id="{315F0EEC-1B8C-DBAC-652F-9B686BCB2568}"/>
                            </a:ext>
                          </a:extLst>
                        </xdr:cNvPr>
                        <xdr:cNvCxnSpPr>
                          <a:cxnSpLocks/>
                        </xdr:cNvCxnSpPr>
                      </xdr:nvCxnSpPr>
                      <xdr:spPr>
                        <a:xfrm>
                          <a:off x="9268555" y="13693512"/>
                          <a:ext cx="6175" cy="449935"/>
                        </a:xfrm>
                        <a:prstGeom prst="straightConnector1">
                          <a:avLst/>
                        </a:prstGeom>
                        <a:ln w="1270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6153" name="Freeform: Shape 26078">
                          <a:extLst>
                            <a:ext uri="{FF2B5EF4-FFF2-40B4-BE49-F238E27FC236}">
                              <a16:creationId xmlns:a16="http://schemas.microsoft.com/office/drawing/2014/main" id="{457E7196-34D2-118C-B46D-CE6A4ED551F7}"/>
                            </a:ext>
                          </a:extLst>
                        </xdr:cNvPr>
                        <xdr:cNvSpPr/>
                      </xdr:nvSpPr>
                      <xdr:spPr>
                        <a:xfrm>
                          <a:off x="7735165" y="11125336"/>
                          <a:ext cx="1902667" cy="611112"/>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154" name="Group 26079">
                          <a:extLst>
                            <a:ext uri="{FF2B5EF4-FFF2-40B4-BE49-F238E27FC236}">
                              <a16:creationId xmlns:a16="http://schemas.microsoft.com/office/drawing/2014/main" id="{BBC08A96-5344-B187-444E-9EC84A88E76B}"/>
                            </a:ext>
                          </a:extLst>
                        </xdr:cNvPr>
                        <xdr:cNvGrpSpPr/>
                      </xdr:nvGrpSpPr>
                      <xdr:grpSpPr>
                        <a:xfrm>
                          <a:off x="7800078" y="11790830"/>
                          <a:ext cx="1967577" cy="701468"/>
                          <a:chOff x="1242684" y="1838442"/>
                          <a:chExt cx="1967577" cy="701468"/>
                        </a:xfrm>
                      </xdr:grpSpPr>
                      <xdr:grpSp>
                        <xdr:nvGrpSpPr>
                          <xdr:cNvPr id="26162" name="Group 26144">
                            <a:extLst>
                              <a:ext uri="{FF2B5EF4-FFF2-40B4-BE49-F238E27FC236}">
                                <a16:creationId xmlns:a16="http://schemas.microsoft.com/office/drawing/2014/main" id="{D02C88EF-FEDD-2C5F-1756-B6B5874EADAD}"/>
                              </a:ext>
                            </a:extLst>
                          </xdr:cNvPr>
                          <xdr:cNvGrpSpPr/>
                        </xdr:nvGrpSpPr>
                        <xdr:grpSpPr>
                          <a:xfrm flipH="1">
                            <a:off x="1242684" y="1838442"/>
                            <a:ext cx="1967577" cy="533995"/>
                            <a:chOff x="3284412" y="1972380"/>
                            <a:chExt cx="1595227" cy="533995"/>
                          </a:xfrm>
                        </xdr:grpSpPr>
                        <xdr:cxnSp macro="">
                          <xdr:nvCxnSpPr>
                            <xdr:cNvPr id="26167" name="Straight Connector 26152">
                              <a:extLst>
                                <a:ext uri="{FF2B5EF4-FFF2-40B4-BE49-F238E27FC236}">
                                  <a16:creationId xmlns:a16="http://schemas.microsoft.com/office/drawing/2014/main" id="{3A600CC4-5D5E-A996-D128-17FB5B92BEEE}"/>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8" name="Straight Connector 26153">
                              <a:extLst>
                                <a:ext uri="{FF2B5EF4-FFF2-40B4-BE49-F238E27FC236}">
                                  <a16:creationId xmlns:a16="http://schemas.microsoft.com/office/drawing/2014/main" id="{39A3F57C-C5CC-FE1D-8183-5588F304C7B7}"/>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9" name="Straight Connector 26154">
                              <a:extLst>
                                <a:ext uri="{FF2B5EF4-FFF2-40B4-BE49-F238E27FC236}">
                                  <a16:creationId xmlns:a16="http://schemas.microsoft.com/office/drawing/2014/main" id="{A6D0BB7A-E1A2-D8CA-8527-C858C8BAFFD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0" name="Straight Connector 26155">
                              <a:extLst>
                                <a:ext uri="{FF2B5EF4-FFF2-40B4-BE49-F238E27FC236}">
                                  <a16:creationId xmlns:a16="http://schemas.microsoft.com/office/drawing/2014/main" id="{4946D086-5452-2C89-0AD7-F937829BCEE9}"/>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1" name="Straight Connector 26156">
                              <a:extLst>
                                <a:ext uri="{FF2B5EF4-FFF2-40B4-BE49-F238E27FC236}">
                                  <a16:creationId xmlns:a16="http://schemas.microsoft.com/office/drawing/2014/main" id="{4D313AB9-035A-A757-030D-C78F99C5AA4E}"/>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2" name="Straight Connector 26157">
                              <a:extLst>
                                <a:ext uri="{FF2B5EF4-FFF2-40B4-BE49-F238E27FC236}">
                                  <a16:creationId xmlns:a16="http://schemas.microsoft.com/office/drawing/2014/main" id="{8EA821E0-E53D-B8AE-66F5-8F7D8DE9E8E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3" name="Straight Connector 26158">
                              <a:extLst>
                                <a:ext uri="{FF2B5EF4-FFF2-40B4-BE49-F238E27FC236}">
                                  <a16:creationId xmlns:a16="http://schemas.microsoft.com/office/drawing/2014/main" id="{4D6C0FA8-C51E-265C-C742-16E022D6B9E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4" name="Straight Connector 26159">
                              <a:extLst>
                                <a:ext uri="{FF2B5EF4-FFF2-40B4-BE49-F238E27FC236}">
                                  <a16:creationId xmlns:a16="http://schemas.microsoft.com/office/drawing/2014/main" id="{956FA05F-59E9-03F6-0494-5FE733746C1D}"/>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5" name="Straight Connector 26160">
                              <a:extLst>
                                <a:ext uri="{FF2B5EF4-FFF2-40B4-BE49-F238E27FC236}">
                                  <a16:creationId xmlns:a16="http://schemas.microsoft.com/office/drawing/2014/main" id="{EE5E77C0-31B6-010E-0E75-78FB5B315D93}"/>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0" name="Straight Connector 26161">
                              <a:extLst>
                                <a:ext uri="{FF2B5EF4-FFF2-40B4-BE49-F238E27FC236}">
                                  <a16:creationId xmlns:a16="http://schemas.microsoft.com/office/drawing/2014/main" id="{D2CDAC67-DFCC-7972-E43B-C89ADBB70148}"/>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1" name="Straight Connector 26162">
                              <a:extLst>
                                <a:ext uri="{FF2B5EF4-FFF2-40B4-BE49-F238E27FC236}">
                                  <a16:creationId xmlns:a16="http://schemas.microsoft.com/office/drawing/2014/main" id="{991C7D88-4579-3200-E805-CD4F7362664D}"/>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2" name="Straight Connector 26163">
                              <a:extLst>
                                <a:ext uri="{FF2B5EF4-FFF2-40B4-BE49-F238E27FC236}">
                                  <a16:creationId xmlns:a16="http://schemas.microsoft.com/office/drawing/2014/main" id="{65CE4E8A-FF87-C232-1061-EA1F4E8DF155}"/>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3" name="Straight Connector 26164">
                              <a:extLst>
                                <a:ext uri="{FF2B5EF4-FFF2-40B4-BE49-F238E27FC236}">
                                  <a16:creationId xmlns:a16="http://schemas.microsoft.com/office/drawing/2014/main" id="{72EE1836-8C74-7B2C-1FA4-03633D0BB73C}"/>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4" name="Straight Connector 26165">
                              <a:extLst>
                                <a:ext uri="{FF2B5EF4-FFF2-40B4-BE49-F238E27FC236}">
                                  <a16:creationId xmlns:a16="http://schemas.microsoft.com/office/drawing/2014/main" id="{75A89F45-5651-435B-6E60-34590A02F781}"/>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5" name="Straight Connector 26166">
                              <a:extLst>
                                <a:ext uri="{FF2B5EF4-FFF2-40B4-BE49-F238E27FC236}">
                                  <a16:creationId xmlns:a16="http://schemas.microsoft.com/office/drawing/2014/main" id="{ABB2191D-E17E-596C-DBB0-90FEF6D385F1}"/>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6" name="Straight Connector 26167">
                              <a:extLst>
                                <a:ext uri="{FF2B5EF4-FFF2-40B4-BE49-F238E27FC236}">
                                  <a16:creationId xmlns:a16="http://schemas.microsoft.com/office/drawing/2014/main" id="{80B8537B-8278-4649-C180-5A2A8805A85C}"/>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7" name="Straight Connector 26168">
                              <a:extLst>
                                <a:ext uri="{FF2B5EF4-FFF2-40B4-BE49-F238E27FC236}">
                                  <a16:creationId xmlns:a16="http://schemas.microsoft.com/office/drawing/2014/main" id="{43AA6761-61DC-7C95-01BB-0F22BE513243}"/>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8" name="Straight Connector 26170">
                              <a:extLst>
                                <a:ext uri="{FF2B5EF4-FFF2-40B4-BE49-F238E27FC236}">
                                  <a16:creationId xmlns:a16="http://schemas.microsoft.com/office/drawing/2014/main" id="{7F6D0C42-C419-9E53-3AD8-46FB670A224E}"/>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9" name="Straight Connector 26172">
                              <a:extLst>
                                <a:ext uri="{FF2B5EF4-FFF2-40B4-BE49-F238E27FC236}">
                                  <a16:creationId xmlns:a16="http://schemas.microsoft.com/office/drawing/2014/main" id="{3AED9A39-349A-A651-9389-6A42D583DEDB}"/>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0" name="Straight Connector 26173">
                              <a:extLst>
                                <a:ext uri="{FF2B5EF4-FFF2-40B4-BE49-F238E27FC236}">
                                  <a16:creationId xmlns:a16="http://schemas.microsoft.com/office/drawing/2014/main" id="{492C149B-DB0F-C49E-AFAB-15D813A28674}"/>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1" name="Straight Connector 26174">
                              <a:extLst>
                                <a:ext uri="{FF2B5EF4-FFF2-40B4-BE49-F238E27FC236}">
                                  <a16:creationId xmlns:a16="http://schemas.microsoft.com/office/drawing/2014/main" id="{95771E03-4228-F7C7-C346-1CA1D4994ED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2" name="Straight Connector 26175">
                              <a:extLst>
                                <a:ext uri="{FF2B5EF4-FFF2-40B4-BE49-F238E27FC236}">
                                  <a16:creationId xmlns:a16="http://schemas.microsoft.com/office/drawing/2014/main" id="{0491EA80-DEC2-65BB-8FBB-D48ECCFFC7FB}"/>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3" name="Straight Connector 26176">
                              <a:extLst>
                                <a:ext uri="{FF2B5EF4-FFF2-40B4-BE49-F238E27FC236}">
                                  <a16:creationId xmlns:a16="http://schemas.microsoft.com/office/drawing/2014/main" id="{0B28EA6C-8123-4326-D601-5F00D3FEC7C9}"/>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4" name="Straight Connector 26177">
                              <a:extLst>
                                <a:ext uri="{FF2B5EF4-FFF2-40B4-BE49-F238E27FC236}">
                                  <a16:creationId xmlns:a16="http://schemas.microsoft.com/office/drawing/2014/main" id="{13149E6C-D64C-5025-E6B6-9A50A627A007}"/>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5" name="Straight Connector 26179">
                              <a:extLst>
                                <a:ext uri="{FF2B5EF4-FFF2-40B4-BE49-F238E27FC236}">
                                  <a16:creationId xmlns:a16="http://schemas.microsoft.com/office/drawing/2014/main" id="{0F726DD2-CBCF-7598-47BE-74429A5E4ADD}"/>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6" name="Straight Connector 26180">
                              <a:extLst>
                                <a:ext uri="{FF2B5EF4-FFF2-40B4-BE49-F238E27FC236}">
                                  <a16:creationId xmlns:a16="http://schemas.microsoft.com/office/drawing/2014/main" id="{91959DD8-C738-6F23-66B9-33DDAA9071AF}"/>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7" name="Straight Connector 26184">
                              <a:extLst>
                                <a:ext uri="{FF2B5EF4-FFF2-40B4-BE49-F238E27FC236}">
                                  <a16:creationId xmlns:a16="http://schemas.microsoft.com/office/drawing/2014/main" id="{2C0DE127-54B3-3EFA-E11F-48FE1ECBA8B4}"/>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8" name="Straight Connector 26186">
                              <a:extLst>
                                <a:ext uri="{FF2B5EF4-FFF2-40B4-BE49-F238E27FC236}">
                                  <a16:creationId xmlns:a16="http://schemas.microsoft.com/office/drawing/2014/main" id="{FB2D10FA-2B0D-765B-8625-CC4A56429EF6}"/>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9" name="Straight Connector 26187">
                              <a:extLst>
                                <a:ext uri="{FF2B5EF4-FFF2-40B4-BE49-F238E27FC236}">
                                  <a16:creationId xmlns:a16="http://schemas.microsoft.com/office/drawing/2014/main" id="{360BF6E8-3FD6-9CC2-E555-29D33DB0F2D7}"/>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0" name="Straight Connector 26188">
                              <a:extLst>
                                <a:ext uri="{FF2B5EF4-FFF2-40B4-BE49-F238E27FC236}">
                                  <a16:creationId xmlns:a16="http://schemas.microsoft.com/office/drawing/2014/main" id="{EEC82AA1-A501-93DC-552A-4304AA31064C}"/>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1" name="Straight Connector 26189">
                              <a:extLst>
                                <a:ext uri="{FF2B5EF4-FFF2-40B4-BE49-F238E27FC236}">
                                  <a16:creationId xmlns:a16="http://schemas.microsoft.com/office/drawing/2014/main" id="{044829D1-B08B-B56B-3AC1-716598E4EF53}"/>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2" name="Straight Connector 26190">
                              <a:extLst>
                                <a:ext uri="{FF2B5EF4-FFF2-40B4-BE49-F238E27FC236}">
                                  <a16:creationId xmlns:a16="http://schemas.microsoft.com/office/drawing/2014/main" id="{48F98B13-0C9D-E4CE-C6C1-8B4381BB30E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3" name="Straight Connector 26191">
                              <a:extLst>
                                <a:ext uri="{FF2B5EF4-FFF2-40B4-BE49-F238E27FC236}">
                                  <a16:creationId xmlns:a16="http://schemas.microsoft.com/office/drawing/2014/main" id="{637F9082-6E7E-84D1-2F87-07E116EB2512}"/>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4" name="Straight Connector 26192">
                              <a:extLst>
                                <a:ext uri="{FF2B5EF4-FFF2-40B4-BE49-F238E27FC236}">
                                  <a16:creationId xmlns:a16="http://schemas.microsoft.com/office/drawing/2014/main" id="{8D9D577B-4A1D-DF17-7900-62192CE318F3}"/>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5" name="Straight Connector 26193">
                              <a:extLst>
                                <a:ext uri="{FF2B5EF4-FFF2-40B4-BE49-F238E27FC236}">
                                  <a16:creationId xmlns:a16="http://schemas.microsoft.com/office/drawing/2014/main" id="{800166FA-AED9-1638-A73D-EA4DBB9E8DC3}"/>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6" name="Straight Connector 26195">
                              <a:extLst>
                                <a:ext uri="{FF2B5EF4-FFF2-40B4-BE49-F238E27FC236}">
                                  <a16:creationId xmlns:a16="http://schemas.microsoft.com/office/drawing/2014/main" id="{25C11392-7168-DBE1-CC84-17037934B2D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6163" name="Straight Connector 26145">
                            <a:extLst>
                              <a:ext uri="{FF2B5EF4-FFF2-40B4-BE49-F238E27FC236}">
                                <a16:creationId xmlns:a16="http://schemas.microsoft.com/office/drawing/2014/main" id="{F1B24FF4-9CF5-081D-5379-C9D069E0F744}"/>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4" name="Straight Connector 26146">
                            <a:extLst>
                              <a:ext uri="{FF2B5EF4-FFF2-40B4-BE49-F238E27FC236}">
                                <a16:creationId xmlns:a16="http://schemas.microsoft.com/office/drawing/2014/main" id="{38854423-7F31-9E4F-3A2F-302EBED3E996}"/>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5" name="Straight Connector 26147">
                            <a:extLst>
                              <a:ext uri="{FF2B5EF4-FFF2-40B4-BE49-F238E27FC236}">
                                <a16:creationId xmlns:a16="http://schemas.microsoft.com/office/drawing/2014/main" id="{10049201-80C3-4303-709E-CE4D6590B226}"/>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6" name="Straight Connector 26148">
                            <a:extLst>
                              <a:ext uri="{FF2B5EF4-FFF2-40B4-BE49-F238E27FC236}">
                                <a16:creationId xmlns:a16="http://schemas.microsoft.com/office/drawing/2014/main" id="{21586E92-1F54-0F0E-99FF-DD27D1029658}"/>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155" name="Freeform: Shape 26082">
                          <a:extLst>
                            <a:ext uri="{FF2B5EF4-FFF2-40B4-BE49-F238E27FC236}">
                              <a16:creationId xmlns:a16="http://schemas.microsoft.com/office/drawing/2014/main" id="{16FCFBCD-7CDB-196A-3372-D410E98C9A96}"/>
                            </a:ext>
                          </a:extLst>
                        </xdr:cNvPr>
                        <xdr:cNvSpPr/>
                      </xdr:nvSpPr>
                      <xdr:spPr>
                        <a:xfrm>
                          <a:off x="9173222"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156" name="Group 26087">
                          <a:extLst>
                            <a:ext uri="{FF2B5EF4-FFF2-40B4-BE49-F238E27FC236}">
                              <a16:creationId xmlns:a16="http://schemas.microsoft.com/office/drawing/2014/main" id="{1E3B5E47-82F9-2D3B-82CE-9C8390011B8E}"/>
                            </a:ext>
                          </a:extLst>
                        </xdr:cNvPr>
                        <xdr:cNvGrpSpPr/>
                      </xdr:nvGrpSpPr>
                      <xdr:grpSpPr>
                        <a:xfrm>
                          <a:off x="10045652" y="14210306"/>
                          <a:ext cx="143263" cy="743094"/>
                          <a:chOff x="187946" y="2686345"/>
                          <a:chExt cx="143263" cy="2497578"/>
                        </a:xfrm>
                      </xdr:grpSpPr>
                      <xdr:cxnSp macro="">
                        <xdr:nvCxnSpPr>
                          <xdr:cNvPr id="26159" name="Straight Connector 26088">
                            <a:extLst>
                              <a:ext uri="{FF2B5EF4-FFF2-40B4-BE49-F238E27FC236}">
                                <a16:creationId xmlns:a16="http://schemas.microsoft.com/office/drawing/2014/main" id="{9B5C2765-8819-4A16-F2CE-A6B8532EEBE1}"/>
                              </a:ext>
                            </a:extLst>
                          </xdr:cNvPr>
                          <xdr:cNvCxnSpPr/>
                        </xdr:nvCxnSpPr>
                        <xdr:spPr>
                          <a:xfrm flipV="1">
                            <a:off x="260862" y="2686345"/>
                            <a:ext cx="0" cy="2470746"/>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160" name="Straight Connector 26089">
                            <a:extLst>
                              <a:ext uri="{FF2B5EF4-FFF2-40B4-BE49-F238E27FC236}">
                                <a16:creationId xmlns:a16="http://schemas.microsoft.com/office/drawing/2014/main" id="{9BE90244-2358-0B8A-E759-A97E3352D20C}"/>
                              </a:ext>
                            </a:extLst>
                          </xdr:cNvPr>
                          <xdr:cNvCxnSpPr/>
                        </xdr:nvCxnSpPr>
                        <xdr:spPr>
                          <a:xfrm flipH="1">
                            <a:off x="197858" y="2686356"/>
                            <a:ext cx="133351"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161" name="Straight Connector 26090">
                            <a:extLst>
                              <a:ext uri="{FF2B5EF4-FFF2-40B4-BE49-F238E27FC236}">
                                <a16:creationId xmlns:a16="http://schemas.microsoft.com/office/drawing/2014/main" id="{5685E39A-E5D7-1416-4A32-29E5FF90A3C8}"/>
                              </a:ext>
                            </a:extLst>
                          </xdr:cNvPr>
                          <xdr:cNvCxnSpPr/>
                        </xdr:nvCxnSpPr>
                        <xdr:spPr>
                          <a:xfrm flipH="1">
                            <a:off x="187946" y="5183923"/>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157" name="TextBox 372">
                          <a:extLst>
                            <a:ext uri="{FF2B5EF4-FFF2-40B4-BE49-F238E27FC236}">
                              <a16:creationId xmlns:a16="http://schemas.microsoft.com/office/drawing/2014/main" id="{21CAD7E7-6C50-603B-00ED-8B3CA8A88490}"/>
                            </a:ext>
                          </a:extLst>
                        </xdr:cNvPr>
                        <xdr:cNvSpPr txBox="1"/>
                      </xdr:nvSpPr>
                      <xdr:spPr>
                        <a:xfrm>
                          <a:off x="9802120" y="13371493"/>
                          <a:ext cx="284817" cy="321218"/>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L </a:t>
                          </a:r>
                        </a:p>
                      </xdr:txBody>
                    </xdr:sp>
                    <xdr:cxnSp macro="">
                      <xdr:nvCxnSpPr>
                        <xdr:cNvPr id="26158" name="Straight Connector 26053">
                          <a:extLst>
                            <a:ext uri="{FF2B5EF4-FFF2-40B4-BE49-F238E27FC236}">
                              <a16:creationId xmlns:a16="http://schemas.microsoft.com/office/drawing/2014/main" id="{620A7E1A-2784-998B-2B2C-AC93F803E87A}"/>
                            </a:ext>
                          </a:extLst>
                        </xdr:cNvPr>
                        <xdr:cNvCxnSpPr>
                          <a:cxnSpLocks/>
                        </xdr:cNvCxnSpPr>
                      </xdr:nvCxnSpPr>
                      <xdr:spPr>
                        <a:xfrm>
                          <a:off x="7489149" y="14190573"/>
                          <a:ext cx="3657600" cy="0"/>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064" name="TextBox 385">
                        <a:extLst>
                          <a:ext uri="{FF2B5EF4-FFF2-40B4-BE49-F238E27FC236}">
                            <a16:creationId xmlns:a16="http://schemas.microsoft.com/office/drawing/2014/main" id="{D65130DA-7A07-9C48-D2CF-586565945C40}"/>
                          </a:ext>
                        </a:extLst>
                      </xdr:cNvPr>
                      <xdr:cNvSpPr txBox="1"/>
                    </xdr:nvSpPr>
                    <xdr:spPr>
                      <a:xfrm>
                        <a:off x="6978099" y="13478932"/>
                        <a:ext cx="975211"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U</a:t>
                        </a:r>
                        <a:r>
                          <a:rPr lang="en-US" sz="1100" b="0" i="1" baseline="-25000">
                            <a:latin typeface="Times New Roman" panose="02020603050405020304" pitchFamily="18" charset="0"/>
                            <a:cs typeface="Times New Roman" panose="02020603050405020304" pitchFamily="18" charset="0"/>
                          </a:rPr>
                          <a:t>gw</a:t>
                        </a:r>
                      </a:p>
                    </xdr:txBody>
                  </xdr:sp>
                </xdr:grpSp>
                <xdr:sp macro="" textlink="$O$32">
                  <xdr:nvSpPr>
                    <xdr:cNvPr id="26058" name="TextBox 26297">
                      <a:extLst>
                        <a:ext uri="{FF2B5EF4-FFF2-40B4-BE49-F238E27FC236}">
                          <a16:creationId xmlns:a16="http://schemas.microsoft.com/office/drawing/2014/main" id="{C189AF3D-79B5-41C0-CBDB-A0CD8977D4B1}"/>
                        </a:ext>
                      </a:extLst>
                    </xdr:cNvPr>
                    <xdr:cNvSpPr txBox="1"/>
                  </xdr:nvSpPr>
                  <xdr:spPr>
                    <a:xfrm>
                      <a:off x="8387149" y="13447462"/>
                      <a:ext cx="1074427" cy="3758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ED1EED1-E1BB-4CAE-8F0A-A52195DFE15E}" type="TxLink">
                        <a:rPr lang="en-US" altLang="en-US" sz="1100" b="0" i="0" u="none" strike="noStrike">
                          <a:solidFill>
                            <a:srgbClr val="000000"/>
                          </a:solidFill>
                          <a:latin typeface="Arial"/>
                          <a:cs typeface="Arial"/>
                        </a:rPr>
                        <a:pPr/>
                        <a:t>= 3.00 m</a:t>
                      </a:fld>
                      <a:endParaRPr lang="en-US" sz="1400" b="0">
                        <a:latin typeface="Times New Roman" panose="02020603050405020304" pitchFamily="18" charset="0"/>
                        <a:cs typeface="Times New Roman" panose="02020603050405020304" pitchFamily="18" charset="0"/>
                      </a:endParaRPr>
                    </a:p>
                  </xdr:txBody>
                </xdr:sp>
                <xdr:sp macro="" textlink="$O$33">
                  <xdr:nvSpPr>
                    <xdr:cNvPr id="26059" name="TextBox 26298">
                      <a:extLst>
                        <a:ext uri="{FF2B5EF4-FFF2-40B4-BE49-F238E27FC236}">
                          <a16:creationId xmlns:a16="http://schemas.microsoft.com/office/drawing/2014/main" id="{ED203C38-FE19-8A90-EF9B-ECDB8FA3BEB8}"/>
                        </a:ext>
                      </a:extLst>
                    </xdr:cNvPr>
                    <xdr:cNvSpPr txBox="1"/>
                  </xdr:nvSpPr>
                  <xdr:spPr>
                    <a:xfrm>
                      <a:off x="9759785" y="13868368"/>
                      <a:ext cx="1515450" cy="370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A9B8E82-4764-4870-864E-58281815FC1F}" type="TxLink">
                        <a:rPr lang="en-US" altLang="en-US" sz="1100" b="0" i="0" u="none" strike="noStrike">
                          <a:solidFill>
                            <a:srgbClr val="000000"/>
                          </a:solidFill>
                          <a:latin typeface="Arial"/>
                          <a:cs typeface="Arial"/>
                        </a:rPr>
                        <a:pPr/>
                        <a:t>= 0.35 m</a:t>
                      </a:fld>
                      <a:endParaRPr lang="en-US" sz="1200" b="0">
                        <a:latin typeface="Times New Roman" panose="02020603050405020304" pitchFamily="18" charset="0"/>
                        <a:cs typeface="Times New Roman" panose="02020603050405020304" pitchFamily="18" charset="0"/>
                      </a:endParaRPr>
                    </a:p>
                  </xdr:txBody>
                </xdr:sp>
                <xdr:sp macro="" textlink="$O$34">
                  <xdr:nvSpPr>
                    <xdr:cNvPr id="26060" name="TextBox 26299">
                      <a:extLst>
                        <a:ext uri="{FF2B5EF4-FFF2-40B4-BE49-F238E27FC236}">
                          <a16:creationId xmlns:a16="http://schemas.microsoft.com/office/drawing/2014/main" id="{75E1AA58-1BD0-9687-EF23-4FE8789AE4DF}"/>
                        </a:ext>
                      </a:extLst>
                    </xdr:cNvPr>
                    <xdr:cNvSpPr txBox="1"/>
                  </xdr:nvSpPr>
                  <xdr:spPr>
                    <a:xfrm>
                      <a:off x="10819153" y="13479923"/>
                      <a:ext cx="1989784" cy="2843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261BB5E-3B72-47E6-ADD0-6678F41CCA95}" type="TxLink">
                        <a:rPr lang="en-US" altLang="en-US" sz="1100" b="0" i="0" u="none" strike="noStrike">
                          <a:solidFill>
                            <a:srgbClr val="000000"/>
                          </a:solidFill>
                          <a:latin typeface="Arial"/>
                          <a:cs typeface="Arial"/>
                        </a:rPr>
                        <a:pPr/>
                        <a:t>= 0.32 m</a:t>
                      </a:fld>
                      <a:endParaRPr lang="en-US" sz="1400" b="0">
                        <a:latin typeface="Times New Roman" panose="02020603050405020304" pitchFamily="18" charset="0"/>
                        <a:cs typeface="Times New Roman" panose="02020603050405020304" pitchFamily="18" charset="0"/>
                      </a:endParaRPr>
                    </a:p>
                  </xdr:txBody>
                </xdr:sp>
                <xdr:sp macro="" textlink="$O$31">
                  <xdr:nvSpPr>
                    <xdr:cNvPr id="26061" name="TextBox 26300">
                      <a:extLst>
                        <a:ext uri="{FF2B5EF4-FFF2-40B4-BE49-F238E27FC236}">
                          <a16:creationId xmlns:a16="http://schemas.microsoft.com/office/drawing/2014/main" id="{D0B3AB77-0ED2-A5D0-74FB-9771814E5825}"/>
                        </a:ext>
                      </a:extLst>
                    </xdr:cNvPr>
                    <xdr:cNvSpPr txBox="1"/>
                  </xdr:nvSpPr>
                  <xdr:spPr>
                    <a:xfrm>
                      <a:off x="7203176" y="13704369"/>
                      <a:ext cx="1415177" cy="285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9CAF181-E6FF-4B10-A60B-4FF3743FCFA5}" type="TxLink">
                        <a:rPr lang="en-US" altLang="en-US" sz="1100" b="0" i="0" u="none" strike="noStrike">
                          <a:solidFill>
                            <a:srgbClr val="000000"/>
                          </a:solidFill>
                          <a:latin typeface="Arial"/>
                          <a:cs typeface="Arial"/>
                        </a:rPr>
                        <a:pPr/>
                        <a:t>= 365 m/yr</a:t>
                      </a:fld>
                      <a:endParaRPr lang="en-US" sz="1100" b="0">
                        <a:solidFill>
                          <a:sysClr val="windowText" lastClr="000000"/>
                        </a:solidFill>
                        <a:latin typeface="Times New Roman" panose="02020603050405020304" pitchFamily="18" charset="0"/>
                        <a:cs typeface="Times New Roman" panose="02020603050405020304" pitchFamily="18" charset="0"/>
                      </a:endParaRPr>
                    </a:p>
                  </xdr:txBody>
                </xdr:sp>
                <xdr:sp macro="" textlink="$O$30">
                  <xdr:nvSpPr>
                    <xdr:cNvPr id="26062" name="TextBox 26296">
                      <a:extLst>
                        <a:ext uri="{FF2B5EF4-FFF2-40B4-BE49-F238E27FC236}">
                          <a16:creationId xmlns:a16="http://schemas.microsoft.com/office/drawing/2014/main" id="{5370B122-7EAF-4508-FE60-23350251CBCB}"/>
                        </a:ext>
                      </a:extLst>
                    </xdr:cNvPr>
                    <xdr:cNvSpPr txBox="1"/>
                  </xdr:nvSpPr>
                  <xdr:spPr>
                    <a:xfrm>
                      <a:off x="9384436" y="12584786"/>
                      <a:ext cx="1191282" cy="4045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0D33283-0820-4B17-B254-FE8163DE89A1}" type="TxLink">
                        <a:rPr lang="en-US" altLang="en-US" sz="1100" b="0" i="0" u="none" strike="noStrike">
                          <a:solidFill>
                            <a:srgbClr val="000000"/>
                          </a:solidFill>
                          <a:latin typeface="Arial"/>
                          <a:cs typeface="Arial"/>
                        </a:rPr>
                        <a:pPr/>
                        <a:t>= 300 cm</a:t>
                      </a:fld>
                      <a:endParaRPr lang="en-US" sz="1200" b="0">
                        <a:latin typeface="Times New Roman" panose="02020603050405020304" pitchFamily="18" charset="0"/>
                        <a:cs typeface="Times New Roman" panose="02020603050405020304" pitchFamily="18" charset="0"/>
                      </a:endParaRPr>
                    </a:p>
                  </xdr:txBody>
                </xdr:sp>
              </xdr:grpSp>
              <xdr:sp macro="" textlink="">
                <xdr:nvSpPr>
                  <xdr:cNvPr id="26055" name="TextBox 377">
                    <a:extLst>
                      <a:ext uri="{FF2B5EF4-FFF2-40B4-BE49-F238E27FC236}">
                        <a16:creationId xmlns:a16="http://schemas.microsoft.com/office/drawing/2014/main" id="{DD9C1CFC-EAF6-9CD4-189B-9B8850E5068C}"/>
                      </a:ext>
                    </a:extLst>
                  </xdr:cNvPr>
                  <xdr:cNvSpPr txBox="1"/>
                </xdr:nvSpPr>
                <xdr:spPr>
                  <a:xfrm>
                    <a:off x="10126957" y="12535391"/>
                    <a:ext cx="678308"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I</a:t>
                    </a:r>
                    <a:r>
                      <a:rPr lang="en-US" sz="1100" b="0" i="1" baseline="-25000">
                        <a:latin typeface="Times New Roman" panose="02020603050405020304" pitchFamily="18" charset="0"/>
                        <a:cs typeface="Times New Roman" panose="02020603050405020304" pitchFamily="18" charset="0"/>
                      </a:rPr>
                      <a:t>f</a:t>
                    </a:r>
                  </a:p>
                </xdr:txBody>
              </xdr:sp>
              <xdr:sp macro="" textlink="$O$35">
                <xdr:nvSpPr>
                  <xdr:cNvPr id="26056" name="TextBox 26304">
                    <a:extLst>
                      <a:ext uri="{FF2B5EF4-FFF2-40B4-BE49-F238E27FC236}">
                        <a16:creationId xmlns:a16="http://schemas.microsoft.com/office/drawing/2014/main" id="{AEE67A51-DB65-EBC7-6CAE-B8D33226B491}"/>
                      </a:ext>
                    </a:extLst>
                  </xdr:cNvPr>
                  <xdr:cNvSpPr txBox="1"/>
                </xdr:nvSpPr>
                <xdr:spPr>
                  <a:xfrm>
                    <a:off x="10294924" y="12552255"/>
                    <a:ext cx="1575989" cy="379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106E3E-E2D6-41AF-8F98-D9DB6CDCF34D}" type="TxLink">
                      <a:rPr lang="en-US" altLang="en-US" sz="1100" b="0" i="0" u="none" strike="noStrike">
                        <a:solidFill>
                          <a:srgbClr val="000000"/>
                        </a:solidFill>
                        <a:latin typeface="Arial"/>
                        <a:cs typeface="Arial"/>
                      </a:rPr>
                      <a:pPr/>
                      <a:t>= 25.92 cm/yr</a:t>
                    </a:fld>
                    <a:endParaRPr lang="en-US" sz="1400" b="0">
                      <a:latin typeface="Times New Roman" panose="02020603050405020304" pitchFamily="18" charset="0"/>
                      <a:cs typeface="Times New Roman" panose="02020603050405020304" pitchFamily="18" charset="0"/>
                    </a:endParaRPr>
                  </a:p>
                </xdr:txBody>
              </xdr:sp>
            </xdr:grpSp>
            <xdr:sp macro="" textlink="">
              <xdr:nvSpPr>
                <xdr:cNvPr id="26049" name="Cylinder 25">
                  <a:extLst>
                    <a:ext uri="{FF2B5EF4-FFF2-40B4-BE49-F238E27FC236}">
                      <a16:creationId xmlns:a16="http://schemas.microsoft.com/office/drawing/2014/main" id="{DF27F008-79AB-31DD-DF5C-2F94527DB962}"/>
                    </a:ext>
                  </a:extLst>
                </xdr:cNvPr>
                <xdr:cNvSpPr/>
              </xdr:nvSpPr>
              <xdr:spPr>
                <a:xfrm>
                  <a:off x="16317324" y="8164270"/>
                  <a:ext cx="71330" cy="299525"/>
                </a:xfrm>
                <a:prstGeom prst="can">
                  <a:avLst/>
                </a:prstGeom>
                <a:blipFill>
                  <a:blip xmlns:r="http://schemas.openxmlformats.org/officeDocument/2006/relationships" r:embed="rId4"/>
                  <a:tile tx="0" ty="0" sx="100000" sy="100000" flip="none" algn="tl"/>
                </a:blip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50" name="TextBox 110">
                  <a:extLst>
                    <a:ext uri="{FF2B5EF4-FFF2-40B4-BE49-F238E27FC236}">
                      <a16:creationId xmlns:a16="http://schemas.microsoft.com/office/drawing/2014/main" id="{57101E7A-3BB1-35E3-1DBD-6B2F25FE48D4}"/>
                    </a:ext>
                  </a:extLst>
                </xdr:cNvPr>
                <xdr:cNvSpPr txBox="1"/>
              </xdr:nvSpPr>
              <xdr:spPr>
                <a:xfrm>
                  <a:off x="15747010" y="6160211"/>
                  <a:ext cx="1354175"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50" b="0">
                      <a:latin typeface="Arial" panose="020B0604020202020204" pitchFamily="34" charset="0"/>
                      <a:cs typeface="Arial" panose="020B0604020202020204" pitchFamily="34" charset="0"/>
                    </a:rPr>
                    <a:t>PFAS-contaminated site</a:t>
                  </a:r>
                </a:p>
              </xdr:txBody>
            </xdr:sp>
            <xdr:cxnSp macro="">
              <xdr:nvCxnSpPr>
                <xdr:cNvPr id="26051" name="Straight Arrow Connector 21">
                  <a:extLst>
                    <a:ext uri="{FF2B5EF4-FFF2-40B4-BE49-F238E27FC236}">
                      <a16:creationId xmlns:a16="http://schemas.microsoft.com/office/drawing/2014/main" id="{EDF3336F-E7C2-D485-5179-FA3F7E070B25}"/>
                    </a:ext>
                  </a:extLst>
                </xdr:cNvPr>
                <xdr:cNvCxnSpPr>
                  <a:cxnSpLocks/>
                </xdr:cNvCxnSpPr>
              </xdr:nvCxnSpPr>
              <xdr:spPr>
                <a:xfrm flipH="1">
                  <a:off x="15658069" y="6407238"/>
                  <a:ext cx="352421" cy="28524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pic>
              <xdr:nvPicPr>
                <xdr:cNvPr id="26052" name="Picture 26">
                  <a:extLst>
                    <a:ext uri="{FF2B5EF4-FFF2-40B4-BE49-F238E27FC236}">
                      <a16:creationId xmlns:a16="http://schemas.microsoft.com/office/drawing/2014/main" id="{D8623CEF-F909-6B15-F358-BD236D5326F9}"/>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flipH="1">
                  <a:off x="16152610" y="6555569"/>
                  <a:ext cx="344266" cy="368811"/>
                </a:xfrm>
                <a:prstGeom prst="rect">
                  <a:avLst/>
                </a:prstGeom>
                <a:effectLst/>
              </xdr:spPr>
            </xdr:pic>
            <xdr:sp macro="" textlink="">
              <xdr:nvSpPr>
                <xdr:cNvPr id="26053" name="Rectangle 24">
                  <a:extLst>
                    <a:ext uri="{FF2B5EF4-FFF2-40B4-BE49-F238E27FC236}">
                      <a16:creationId xmlns:a16="http://schemas.microsoft.com/office/drawing/2014/main" id="{C6996C9E-5145-3764-5F97-78AC3ABA3FAD}"/>
                    </a:ext>
                  </a:extLst>
                </xdr:cNvPr>
                <xdr:cNvSpPr/>
              </xdr:nvSpPr>
              <xdr:spPr>
                <a:xfrm>
                  <a:off x="16322060" y="6893113"/>
                  <a:ext cx="60630" cy="1281993"/>
                </a:xfrm>
                <a:prstGeom prst="rect">
                  <a:avLst/>
                </a:prstGeom>
                <a:solidFill>
                  <a:schemeClr val="accent3">
                    <a:lumMod val="75000"/>
                  </a:schemeClr>
                </a:solid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xnSp macro="">
            <xdr:nvCxnSpPr>
              <xdr:cNvPr id="62" name="Straight Arrow Connector 27">
                <a:extLst>
                  <a:ext uri="{FF2B5EF4-FFF2-40B4-BE49-F238E27FC236}">
                    <a16:creationId xmlns:a16="http://schemas.microsoft.com/office/drawing/2014/main" id="{0E2334A4-64C9-430C-6318-2407F7FD94D1}"/>
                  </a:ext>
                </a:extLst>
              </xdr:cNvPr>
              <xdr:cNvCxnSpPr>
                <a:cxnSpLocks/>
              </xdr:cNvCxnSpPr>
            </xdr:nvCxnSpPr>
            <xdr:spPr>
              <a:xfrm flipH="1" flipV="1">
                <a:off x="16395946" y="7090432"/>
                <a:ext cx="372785" cy="443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5626" name="TextBox 110">
                <a:extLst>
                  <a:ext uri="{FF2B5EF4-FFF2-40B4-BE49-F238E27FC236}">
                    <a16:creationId xmlns:a16="http://schemas.microsoft.com/office/drawing/2014/main" id="{60F915DA-C7AD-2DCF-A78D-AB57D581BAEC}"/>
                  </a:ext>
                </a:extLst>
              </xdr:cNvPr>
              <xdr:cNvSpPr txBox="1"/>
            </xdr:nvSpPr>
            <xdr:spPr>
              <a:xfrm>
                <a:off x="16595682" y="6916739"/>
                <a:ext cx="1161064"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0">
                    <a:latin typeface="Arial" panose="020B0604020202020204" pitchFamily="34" charset="0"/>
                    <a:cs typeface="Arial" panose="020B0604020202020204" pitchFamily="34" charset="0"/>
                  </a:rPr>
                  <a:t>Receptor well (drinking water)</a:t>
                </a:r>
              </a:p>
            </xdr:txBody>
          </xdr:sp>
        </xdr:grpSp>
      </xdr:grpSp>
      <xdr:cxnSp macro="">
        <xdr:nvCxnSpPr>
          <xdr:cNvPr id="28" name="Straight Connector 26053">
            <a:extLst>
              <a:ext uri="{FF2B5EF4-FFF2-40B4-BE49-F238E27FC236}">
                <a16:creationId xmlns:a16="http://schemas.microsoft.com/office/drawing/2014/main" id="{23454118-548D-869E-226A-07BFBD3A3F84}"/>
              </a:ext>
            </a:extLst>
          </xdr:cNvPr>
          <xdr:cNvCxnSpPr>
            <a:cxnSpLocks/>
          </xdr:cNvCxnSpPr>
        </xdr:nvCxnSpPr>
        <xdr:spPr>
          <a:xfrm flipV="1">
            <a:off x="9549368" y="6720961"/>
            <a:ext cx="1208557" cy="918819"/>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0</xdr:colOff>
      <xdr:row>9</xdr:row>
      <xdr:rowOff>0</xdr:rowOff>
    </xdr:from>
    <xdr:to>
      <xdr:col>16</xdr:col>
      <xdr:colOff>864394</xdr:colOff>
      <xdr:row>22</xdr:row>
      <xdr:rowOff>107157</xdr:rowOff>
    </xdr:to>
    <xdr:graphicFrame macro="">
      <xdr:nvGraphicFramePr>
        <xdr:cNvPr id="4" name="Chart 3">
          <a:extLst>
            <a:ext uri="{FF2B5EF4-FFF2-40B4-BE49-F238E27FC236}">
              <a16:creationId xmlns:a16="http://schemas.microsoft.com/office/drawing/2014/main" id="{E120A7BB-CB9A-7770-42D3-C40FF236696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469900</xdr:colOff>
          <xdr:row>4</xdr:row>
          <xdr:rowOff>12700</xdr:rowOff>
        </xdr:from>
        <xdr:to>
          <xdr:col>5</xdr:col>
          <xdr:colOff>508000</xdr:colOff>
          <xdr:row>5</xdr:row>
          <xdr:rowOff>12700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500-000001B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600" b="0" i="0" u="none" strike="noStrike" baseline="0">
                  <a:solidFill>
                    <a:srgbClr val="000000"/>
                  </a:solidFill>
                  <a:latin typeface="Arial" pitchFamily="2" charset="0"/>
                  <a:cs typeface="Arial" pitchFamily="2" charset="0"/>
                </a:rPr>
                <a:t>Download data</a:t>
              </a:r>
            </a:p>
          </xdr:txBody>
        </xdr:sp>
        <xdr:clientData fPrintsWithSheet="0"/>
      </xdr:twoCellAnchor>
    </mc:Choice>
    <mc:Fallback/>
  </mc:AlternateContent>
  <xdr:twoCellAnchor>
    <xdr:from>
      <xdr:col>2</xdr:col>
      <xdr:colOff>3772337</xdr:colOff>
      <xdr:row>3</xdr:row>
      <xdr:rowOff>111024</xdr:rowOff>
    </xdr:from>
    <xdr:to>
      <xdr:col>2</xdr:col>
      <xdr:colOff>4065076</xdr:colOff>
      <xdr:row>3</xdr:row>
      <xdr:rowOff>371358</xdr:rowOff>
    </xdr:to>
    <xdr:pic>
      <xdr:nvPicPr>
        <xdr:cNvPr id="38" name="Graphic 37" descr="Raised hand">
          <a:extLst>
            <a:ext uri="{FF2B5EF4-FFF2-40B4-BE49-F238E27FC236}">
              <a16:creationId xmlns:a16="http://schemas.microsoft.com/office/drawing/2014/main" id="{69ABC731-E07C-4772-978E-FF717FFE21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4619004" y="2008184"/>
          <a:ext cx="292739" cy="260334"/>
        </a:xfrm>
        <a:prstGeom prst="rect">
          <a:avLst/>
        </a:prstGeom>
      </xdr:spPr>
    </xdr:pic>
    <xdr:clientData/>
  </xdr:twoCellAnchor>
  <xdr:twoCellAnchor>
    <xdr:from>
      <xdr:col>1</xdr:col>
      <xdr:colOff>61912</xdr:colOff>
      <xdr:row>6</xdr:row>
      <xdr:rowOff>161687</xdr:rowOff>
    </xdr:from>
    <xdr:to>
      <xdr:col>5</xdr:col>
      <xdr:colOff>766445</xdr:colOff>
      <xdr:row>15</xdr:row>
      <xdr:rowOff>411401</xdr:rowOff>
    </xdr:to>
    <xdr:graphicFrame macro="">
      <xdr:nvGraphicFramePr>
        <xdr:cNvPr id="2" name="Chart 1">
          <a:extLst>
            <a:ext uri="{FF2B5EF4-FFF2-40B4-BE49-F238E27FC236}">
              <a16:creationId xmlns:a16="http://schemas.microsoft.com/office/drawing/2014/main" id="{EAD038D8-1F50-A7A7-7602-0AED779650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370418</xdr:colOff>
      <xdr:row>280</xdr:row>
      <xdr:rowOff>137583</xdr:rowOff>
    </xdr:from>
    <xdr:to>
      <xdr:col>4</xdr:col>
      <xdr:colOff>33880</xdr:colOff>
      <xdr:row>283</xdr:row>
      <xdr:rowOff>156638</xdr:rowOff>
    </xdr:to>
    <xdr:pic>
      <xdr:nvPicPr>
        <xdr:cNvPr id="771" name="Picture 770">
          <a:extLst>
            <a:ext uri="{FF2B5EF4-FFF2-40B4-BE49-F238E27FC236}">
              <a16:creationId xmlns:a16="http://schemas.microsoft.com/office/drawing/2014/main" id="{00000000-0008-0000-0300-000003030000}"/>
            </a:ext>
          </a:extLst>
        </xdr:cNvPr>
        <xdr:cNvPicPr>
          <a:picLocks noChangeAspect="1"/>
        </xdr:cNvPicPr>
      </xdr:nvPicPr>
      <xdr:blipFill>
        <a:blip xmlns:r="http://schemas.openxmlformats.org/officeDocument/2006/relationships" r:embed="rId1"/>
        <a:stretch>
          <a:fillRect/>
        </a:stretch>
      </xdr:blipFill>
      <xdr:spPr>
        <a:xfrm>
          <a:off x="1016001" y="49344792"/>
          <a:ext cx="1600212" cy="542929"/>
        </a:xfrm>
        <a:prstGeom prst="rect">
          <a:avLst/>
        </a:prstGeom>
      </xdr:spPr>
    </xdr:pic>
    <xdr:clientData/>
  </xdr:twoCellAnchor>
  <xdr:twoCellAnchor editAs="oneCell">
    <xdr:from>
      <xdr:col>0</xdr:col>
      <xdr:colOff>550333</xdr:colOff>
      <xdr:row>219</xdr:row>
      <xdr:rowOff>132293</xdr:rowOff>
    </xdr:from>
    <xdr:to>
      <xdr:col>10</xdr:col>
      <xdr:colOff>295320</xdr:colOff>
      <xdr:row>229</xdr:row>
      <xdr:rowOff>91030</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2"/>
        <a:stretch>
          <a:fillRect/>
        </a:stretch>
      </xdr:blipFill>
      <xdr:spPr>
        <a:xfrm>
          <a:off x="550333" y="39032393"/>
          <a:ext cx="6221987" cy="1720862"/>
        </a:xfrm>
        <a:prstGeom prst="rect">
          <a:avLst/>
        </a:prstGeom>
      </xdr:spPr>
    </xdr:pic>
    <xdr:clientData/>
  </xdr:twoCellAnchor>
  <xdr:twoCellAnchor editAs="oneCell">
    <xdr:from>
      <xdr:col>0</xdr:col>
      <xdr:colOff>428625</xdr:colOff>
      <xdr:row>182</xdr:row>
      <xdr:rowOff>111124</xdr:rowOff>
    </xdr:from>
    <xdr:to>
      <xdr:col>10</xdr:col>
      <xdr:colOff>173612</xdr:colOff>
      <xdr:row>198</xdr:row>
      <xdr:rowOff>31769</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a:stretch>
          <a:fillRect/>
        </a:stretch>
      </xdr:blipFill>
      <xdr:spPr>
        <a:xfrm>
          <a:off x="428625" y="32491362"/>
          <a:ext cx="6221987" cy="2740045"/>
        </a:xfrm>
        <a:prstGeom prst="rect">
          <a:avLst/>
        </a:prstGeom>
      </xdr:spPr>
    </xdr:pic>
    <xdr:clientData/>
  </xdr:twoCellAnchor>
  <xdr:twoCellAnchor editAs="oneCell">
    <xdr:from>
      <xdr:col>0</xdr:col>
      <xdr:colOff>259292</xdr:colOff>
      <xdr:row>162</xdr:row>
      <xdr:rowOff>148165</xdr:rowOff>
    </xdr:from>
    <xdr:to>
      <xdr:col>12</xdr:col>
      <xdr:colOff>427625</xdr:colOff>
      <xdr:row>177</xdr:row>
      <xdr:rowOff>167235</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4"/>
        <a:stretch>
          <a:fillRect/>
        </a:stretch>
      </xdr:blipFill>
      <xdr:spPr>
        <a:xfrm>
          <a:off x="259292" y="29004153"/>
          <a:ext cx="7940733" cy="2662257"/>
        </a:xfrm>
        <a:prstGeom prst="rect">
          <a:avLst/>
        </a:prstGeom>
      </xdr:spPr>
    </xdr:pic>
    <xdr:clientData/>
  </xdr:twoCellAnchor>
  <xdr:twoCellAnchor editAs="oneCell">
    <xdr:from>
      <xdr:col>0</xdr:col>
      <xdr:colOff>322791</xdr:colOff>
      <xdr:row>123</xdr:row>
      <xdr:rowOff>58209</xdr:rowOff>
    </xdr:from>
    <xdr:to>
      <xdr:col>12</xdr:col>
      <xdr:colOff>481599</xdr:colOff>
      <xdr:row>149</xdr:row>
      <xdr:rowOff>13792</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5"/>
        <a:stretch>
          <a:fillRect/>
        </a:stretch>
      </xdr:blipFill>
      <xdr:spPr>
        <a:xfrm>
          <a:off x="322791" y="22041909"/>
          <a:ext cx="7931208" cy="4537108"/>
        </a:xfrm>
        <a:prstGeom prst="rect">
          <a:avLst/>
        </a:prstGeom>
      </xdr:spPr>
    </xdr:pic>
    <xdr:clientData/>
  </xdr:twoCellAnchor>
  <xdr:twoCellAnchor>
    <xdr:from>
      <xdr:col>0</xdr:col>
      <xdr:colOff>0</xdr:colOff>
      <xdr:row>5</xdr:row>
      <xdr:rowOff>105306</xdr:rowOff>
    </xdr:from>
    <xdr:to>
      <xdr:col>9</xdr:col>
      <xdr:colOff>533400</xdr:colOff>
      <xdr:row>10</xdr:row>
      <xdr:rowOff>58208</xdr:rowOff>
    </xdr:to>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0" y="1295931"/>
          <a:ext cx="6362700" cy="83396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i="1">
              <a:latin typeface="Times New Roman" panose="02020603050405020304" pitchFamily="18" charset="0"/>
              <a:cs typeface="Times New Roman" panose="02020603050405020304" pitchFamily="18" charset="0"/>
            </a:rPr>
            <a:t>This tool</a:t>
          </a:r>
          <a:r>
            <a:rPr lang="en-US" sz="1050" b="1" i="1" baseline="0">
              <a:latin typeface="Times New Roman" panose="02020603050405020304" pitchFamily="18" charset="0"/>
              <a:cs typeface="Times New Roman" panose="02020603050405020304" pitchFamily="18" charset="0"/>
            </a:rPr>
            <a:t> is was developed as a result of the following works</a:t>
          </a:r>
          <a:r>
            <a:rPr lang="en-US" sz="1050" b="1" baseline="0">
              <a:latin typeface="Times New Roman" panose="02020603050405020304" pitchFamily="18" charset="0"/>
              <a:cs typeface="Times New Roman" panose="02020603050405020304" pitchFamily="18" charset="0"/>
            </a:rPr>
            <a:t>: </a:t>
          </a:r>
        </a:p>
        <a:p>
          <a:pPr marL="171450" indent="-171450">
            <a:buFont typeface="Arial" panose="020B0604020202020204" pitchFamily="34" charset="0"/>
            <a:buChar char="•"/>
          </a:pPr>
          <a:r>
            <a:rPr lang="en-US" sz="900" b="1" i="0">
              <a:solidFill>
                <a:schemeClr val="dk1"/>
              </a:solidFill>
              <a:effectLst/>
              <a:latin typeface="Times New Roman" panose="02020603050405020304" pitchFamily="18" charset="0"/>
              <a:ea typeface="+mn-ea"/>
              <a:cs typeface="Times New Roman" panose="02020603050405020304" pitchFamily="18" charset="0"/>
            </a:rPr>
            <a:t>Smith, J., Brusseau, M. L., &amp; Guo, B. (2024). An integrated analytical modeling framework for determining site-specific soil screening levels for PFAS. </a:t>
          </a:r>
          <a:r>
            <a:rPr lang="en-US" sz="900" b="1" i="1">
              <a:solidFill>
                <a:schemeClr val="dk1"/>
              </a:solidFill>
              <a:effectLst/>
              <a:latin typeface="Times New Roman" panose="02020603050405020304" pitchFamily="18" charset="0"/>
              <a:ea typeface="+mn-ea"/>
              <a:cs typeface="Times New Roman" panose="02020603050405020304" pitchFamily="18" charset="0"/>
            </a:rPr>
            <a:t>Water Research</a:t>
          </a:r>
          <a:r>
            <a:rPr lang="en-US" sz="900" b="1" i="0">
              <a:solidFill>
                <a:schemeClr val="dk1"/>
              </a:solidFill>
              <a:effectLst/>
              <a:latin typeface="Times New Roman" panose="02020603050405020304" pitchFamily="18" charset="0"/>
              <a:ea typeface="+mn-ea"/>
              <a:cs typeface="Times New Roman" panose="02020603050405020304" pitchFamily="18" charset="0"/>
            </a:rPr>
            <a:t>, 121236.</a:t>
          </a:r>
        </a:p>
        <a:p>
          <a:pPr marL="171450" indent="-171450">
            <a:buFont typeface="Arial" panose="020B0604020202020204" pitchFamily="34" charset="0"/>
            <a:buChar char="•"/>
          </a:pPr>
          <a:r>
            <a:rPr lang="en-US" sz="900" b="0" i="0">
              <a:solidFill>
                <a:schemeClr val="dk1"/>
              </a:solidFill>
              <a:effectLst/>
              <a:latin typeface="Times New Roman" panose="02020603050405020304" pitchFamily="18" charset="0"/>
              <a:ea typeface="+mn-ea"/>
              <a:cs typeface="Times New Roman" panose="02020603050405020304" pitchFamily="18" charset="0"/>
            </a:rPr>
            <a:t>Guo, B., Zeng, J., Brusseau, M. L., &amp; Zhang, Y. (2022). A screening model for quantifying PFAS leaching in the vadose zone and mass discharge to groundwater. </a:t>
          </a:r>
          <a:r>
            <a:rPr lang="en-US" sz="900" b="0" i="1">
              <a:solidFill>
                <a:schemeClr val="dk1"/>
              </a:solidFill>
              <a:effectLst/>
              <a:latin typeface="Times New Roman" panose="02020603050405020304" pitchFamily="18" charset="0"/>
              <a:ea typeface="+mn-ea"/>
              <a:cs typeface="Times New Roman" panose="02020603050405020304" pitchFamily="18" charset="0"/>
            </a:rPr>
            <a:t>Advances in Water Resources</a:t>
          </a:r>
          <a:r>
            <a:rPr lang="en-US" sz="900" b="0" i="0">
              <a:solidFill>
                <a:schemeClr val="dk1"/>
              </a:solidFill>
              <a:effectLst/>
              <a:latin typeface="Times New Roman" panose="02020603050405020304" pitchFamily="18" charset="0"/>
              <a:ea typeface="+mn-ea"/>
              <a:cs typeface="Times New Roman" panose="02020603050405020304" pitchFamily="18" charset="0"/>
            </a:rPr>
            <a:t>, </a:t>
          </a:r>
          <a:r>
            <a:rPr lang="en-US" sz="900" b="0" i="1">
              <a:solidFill>
                <a:schemeClr val="dk1"/>
              </a:solidFill>
              <a:effectLst/>
              <a:latin typeface="Times New Roman" panose="02020603050405020304" pitchFamily="18" charset="0"/>
              <a:ea typeface="+mn-ea"/>
              <a:cs typeface="Times New Roman" panose="02020603050405020304" pitchFamily="18" charset="0"/>
            </a:rPr>
            <a:t>160</a:t>
          </a:r>
          <a:r>
            <a:rPr lang="en-US" sz="900" b="0" i="0">
              <a:solidFill>
                <a:schemeClr val="dk1"/>
              </a:solidFill>
              <a:effectLst/>
              <a:latin typeface="Times New Roman" panose="02020603050405020304" pitchFamily="18" charset="0"/>
              <a:ea typeface="+mn-ea"/>
              <a:cs typeface="Times New Roman" panose="02020603050405020304" pitchFamily="18" charset="0"/>
            </a:rPr>
            <a:t>, 104102.</a:t>
          </a:r>
        </a:p>
        <a:p>
          <a:endParaRPr lang="en-US" sz="1000" b="0" i="0">
            <a:solidFill>
              <a:schemeClr val="dk1"/>
            </a:solidFill>
            <a:effectLst/>
            <a:latin typeface="Times New Roman" panose="02020603050405020304" pitchFamily="18" charset="0"/>
            <a:ea typeface="+mn-ea"/>
            <a:cs typeface="Times New Roman" panose="02020603050405020304" pitchFamily="18" charset="0"/>
          </a:endParaRPr>
        </a:p>
      </xdr:txBody>
    </xdr:sp>
    <xdr:clientData/>
  </xdr:twoCellAnchor>
  <xdr:twoCellAnchor>
    <xdr:from>
      <xdr:col>0</xdr:col>
      <xdr:colOff>232831</xdr:colOff>
      <xdr:row>111</xdr:row>
      <xdr:rowOff>162454</xdr:rowOff>
    </xdr:from>
    <xdr:to>
      <xdr:col>12</xdr:col>
      <xdr:colOff>185208</xdr:colOff>
      <xdr:row>120</xdr:row>
      <xdr:rowOff>95248</xdr:rowOff>
    </xdr:to>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232831" y="20031604"/>
          <a:ext cx="7724777" cy="151870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This screening</a:t>
          </a:r>
          <a:r>
            <a:rPr lang="en-US" sz="1200" baseline="0">
              <a:latin typeface="Times New Roman" panose="02020603050405020304" pitchFamily="18" charset="0"/>
              <a:cs typeface="Times New Roman" panose="02020603050405020304" pitchFamily="18" charset="0"/>
            </a:rPr>
            <a:t> model requires several site and PFAS-specific parameters in order to characterize groundwater contamination and to derive Soil Screening Levels (SSLs). </a:t>
          </a:r>
          <a:r>
            <a:rPr lang="en-US" sz="1200" i="1" baseline="0">
              <a:latin typeface="Times New Roman" panose="02020603050405020304" pitchFamily="18" charset="0"/>
              <a:cs typeface="Times New Roman" panose="02020603050405020304" pitchFamily="18" charset="0"/>
            </a:rPr>
            <a:t>For more information on model parameters, refer to the user manual.</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Below we will display an example of the user interface, and describe how to navigate the layout and utilize the tool.</a:t>
          </a:r>
        </a:p>
        <a:p>
          <a:endParaRPr lang="en-US" sz="1200" baseline="0">
            <a:latin typeface="Times New Roman" panose="02020603050405020304" pitchFamily="18" charset="0"/>
            <a:cs typeface="Times New Roman" panose="02020603050405020304" pitchFamily="18" charset="0"/>
          </a:endParaRPr>
        </a:p>
        <a:p>
          <a:r>
            <a:rPr lang="en-US" sz="1200" b="1" baseline="0">
              <a:latin typeface="Times New Roman" panose="02020603050405020304" pitchFamily="18" charset="0"/>
              <a:cs typeface="Times New Roman" panose="02020603050405020304" pitchFamily="18" charset="0"/>
            </a:rPr>
            <a:t>Users shall begin with determing properties of the soil at a specifc site, and quantifying the amount of net annual infiltration reaching groundwater in a given year.</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5</xdr:col>
      <xdr:colOff>31749</xdr:colOff>
      <xdr:row>125</xdr:row>
      <xdr:rowOff>67203</xdr:rowOff>
    </xdr:from>
    <xdr:to>
      <xdr:col>22</xdr:col>
      <xdr:colOff>386292</xdr:colOff>
      <xdr:row>157</xdr:row>
      <xdr:rowOff>5292</xdr:rowOff>
    </xdr:to>
    <xdr:grpSp>
      <xdr:nvGrpSpPr>
        <xdr:cNvPr id="8" name="Group 7">
          <a:extLst>
            <a:ext uri="{FF2B5EF4-FFF2-40B4-BE49-F238E27FC236}">
              <a16:creationId xmlns:a16="http://schemas.microsoft.com/office/drawing/2014/main" id="{00000000-0008-0000-0300-000008000000}"/>
            </a:ext>
          </a:extLst>
        </xdr:cNvPr>
        <xdr:cNvGrpSpPr/>
      </xdr:nvGrpSpPr>
      <xdr:grpSpPr>
        <a:xfrm>
          <a:off x="3488971" y="23279981"/>
          <a:ext cx="12109099" cy="5808311"/>
          <a:chOff x="2995083" y="7020454"/>
          <a:chExt cx="11329459" cy="5526089"/>
        </a:xfrm>
      </xdr:grpSpPr>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6"/>
          <a:stretch>
            <a:fillRect/>
          </a:stretch>
        </xdr:blipFill>
        <xdr:spPr>
          <a:xfrm>
            <a:off x="5953124" y="7043209"/>
            <a:ext cx="1576399" cy="1824051"/>
          </a:xfrm>
          <a:prstGeom prst="rect">
            <a:avLst/>
          </a:prstGeom>
        </xdr:spPr>
      </xdr:pic>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8169803" y="8190442"/>
            <a:ext cx="6154739" cy="93556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Orange cells allow</a:t>
            </a: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 a user to select a default soil type with pre-loaded parameter values, if desired.</a:t>
            </a:r>
            <a:endParaRPr lang="en-US" b="1">
              <a:latin typeface="Times New Roman" panose="02020603050405020304" pitchFamily="18" charset="0"/>
              <a:cs typeface="Times New Roman" panose="02020603050405020304" pitchFamily="18" charset="0"/>
            </a:endParaRPr>
          </a:p>
        </xdr:txBody>
      </xdr:sp>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8183562" y="7020454"/>
            <a:ext cx="5288491" cy="62706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White cells require a user input in order for the model to function.</a:t>
            </a:r>
            <a:r>
              <a:rPr lang="en-US" b="1">
                <a:latin typeface="Times New Roman" panose="02020603050405020304" pitchFamily="18" charset="0"/>
                <a:cs typeface="Times New Roman" panose="02020603050405020304" pitchFamily="18" charset="0"/>
              </a:rPr>
              <a:t> </a:t>
            </a:r>
          </a:p>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Please populate all white cells before attempting to derive PFAL leachate or SSLs</a:t>
            </a:r>
            <a:r>
              <a:rPr lang="en-US" b="1">
                <a:latin typeface="Times New Roman" panose="02020603050405020304" pitchFamily="18" charset="0"/>
                <a:cs typeface="Times New Roman" panose="02020603050405020304" pitchFamily="18" charset="0"/>
              </a:rPr>
              <a:t> </a:t>
            </a:r>
            <a:endParaRPr lang="en-US" sz="1100" b="1">
              <a:latin typeface="Times New Roman" panose="02020603050405020304" pitchFamily="18" charset="0"/>
              <a:cs typeface="Times New Roman" panose="02020603050405020304" pitchFamily="18" charset="0"/>
            </a:endParaRPr>
          </a:p>
        </xdr:txBody>
      </xdr:sp>
      <xdr:cxnSp macro="">
        <xdr:nvCxnSpPr>
          <xdr:cNvPr id="12" name="Straight Arrow Connector 11">
            <a:extLst>
              <a:ext uri="{FF2B5EF4-FFF2-40B4-BE49-F238E27FC236}">
                <a16:creationId xmlns:a16="http://schemas.microsoft.com/office/drawing/2014/main" id="{00000000-0008-0000-0300-00000C000000}"/>
              </a:ext>
            </a:extLst>
          </xdr:cNvPr>
          <xdr:cNvCxnSpPr/>
        </xdr:nvCxnSpPr>
        <xdr:spPr>
          <a:xfrm flipH="1">
            <a:off x="4238625" y="7159624"/>
            <a:ext cx="3958167" cy="21166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3" name="Oval 12">
            <a:extLst>
              <a:ext uri="{FF2B5EF4-FFF2-40B4-BE49-F238E27FC236}">
                <a16:creationId xmlns:a16="http://schemas.microsoft.com/office/drawing/2014/main" id="{00000000-0008-0000-0300-00000D000000}"/>
              </a:ext>
            </a:extLst>
          </xdr:cNvPr>
          <xdr:cNvSpPr/>
        </xdr:nvSpPr>
        <xdr:spPr>
          <a:xfrm>
            <a:off x="2995083" y="7111999"/>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4" name="Straight Arrow Connector 13">
            <a:extLst>
              <a:ext uri="{FF2B5EF4-FFF2-40B4-BE49-F238E27FC236}">
                <a16:creationId xmlns:a16="http://schemas.microsoft.com/office/drawing/2014/main" id="{00000000-0008-0000-0300-00000E000000}"/>
              </a:ext>
            </a:extLst>
          </xdr:cNvPr>
          <xdr:cNvCxnSpPr/>
        </xdr:nvCxnSpPr>
        <xdr:spPr>
          <a:xfrm flipH="1" flipV="1">
            <a:off x="7191375" y="7789335"/>
            <a:ext cx="991668" cy="52387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 name="Oval 14">
            <a:extLst>
              <a:ext uri="{FF2B5EF4-FFF2-40B4-BE49-F238E27FC236}">
                <a16:creationId xmlns:a16="http://schemas.microsoft.com/office/drawing/2014/main" id="{00000000-0008-0000-0300-00000F000000}"/>
              </a:ext>
            </a:extLst>
          </xdr:cNvPr>
          <xdr:cNvSpPr/>
        </xdr:nvSpPr>
        <xdr:spPr>
          <a:xfrm>
            <a:off x="5946774" y="7523690"/>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8207375" y="9667873"/>
            <a:ext cx="5872163" cy="93556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Buttons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within the tool have this appearance.</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These are not required! </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These values can be simply input into the cell if obtained externally.</a:t>
            </a:r>
            <a:endParaRPr lang="en-US" sz="1100">
              <a:latin typeface="Times New Roman" panose="02020603050405020304" pitchFamily="18" charset="0"/>
              <a:cs typeface="Times New Roman" panose="02020603050405020304" pitchFamily="18" charset="0"/>
            </a:endParaRPr>
          </a:p>
        </xdr:txBody>
      </xdr:sp>
      <xdr:sp macro="" textlink="">
        <xdr:nvSpPr>
          <xdr:cNvPr id="17" name="Oval 16">
            <a:extLst>
              <a:ext uri="{FF2B5EF4-FFF2-40B4-BE49-F238E27FC236}">
                <a16:creationId xmlns:a16="http://schemas.microsoft.com/office/drawing/2014/main" id="{00000000-0008-0000-0300-000011000000}"/>
              </a:ext>
            </a:extLst>
          </xdr:cNvPr>
          <xdr:cNvSpPr/>
        </xdr:nvSpPr>
        <xdr:spPr>
          <a:xfrm>
            <a:off x="3014132" y="8834964"/>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Oval 17">
            <a:extLst>
              <a:ext uri="{FF2B5EF4-FFF2-40B4-BE49-F238E27FC236}">
                <a16:creationId xmlns:a16="http://schemas.microsoft.com/office/drawing/2014/main" id="{00000000-0008-0000-0300-000012000000}"/>
              </a:ext>
            </a:extLst>
          </xdr:cNvPr>
          <xdr:cNvSpPr/>
        </xdr:nvSpPr>
        <xdr:spPr>
          <a:xfrm>
            <a:off x="3023657" y="10003364"/>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9" name="Straight Arrow Connector 18">
            <a:extLst>
              <a:ext uri="{FF2B5EF4-FFF2-40B4-BE49-F238E27FC236}">
                <a16:creationId xmlns:a16="http://schemas.microsoft.com/office/drawing/2014/main" id="{00000000-0008-0000-0300-000013000000}"/>
              </a:ext>
            </a:extLst>
          </xdr:cNvPr>
          <xdr:cNvCxnSpPr>
            <a:endCxn id="17" idx="6"/>
          </xdr:cNvCxnSpPr>
        </xdr:nvCxnSpPr>
        <xdr:spPr>
          <a:xfrm flipH="1" flipV="1">
            <a:off x="4241799" y="9073090"/>
            <a:ext cx="3954993" cy="80645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Straight Arrow Connector 19">
            <a:extLst>
              <a:ext uri="{FF2B5EF4-FFF2-40B4-BE49-F238E27FC236}">
                <a16:creationId xmlns:a16="http://schemas.microsoft.com/office/drawing/2014/main" id="{00000000-0008-0000-0300-000014000000}"/>
              </a:ext>
            </a:extLst>
          </xdr:cNvPr>
          <xdr:cNvCxnSpPr>
            <a:endCxn id="18" idx="6"/>
          </xdr:cNvCxnSpPr>
        </xdr:nvCxnSpPr>
        <xdr:spPr>
          <a:xfrm flipH="1">
            <a:off x="4251324" y="9953624"/>
            <a:ext cx="3971926" cy="28786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1" name="TextBox 20">
            <a:extLst>
              <a:ext uri="{FF2B5EF4-FFF2-40B4-BE49-F238E27FC236}">
                <a16:creationId xmlns:a16="http://schemas.microsoft.com/office/drawing/2014/main" id="{00000000-0008-0000-0300-000015000000}"/>
              </a:ext>
            </a:extLst>
          </xdr:cNvPr>
          <xdr:cNvSpPr txBox="1"/>
        </xdr:nvSpPr>
        <xdr:spPr>
          <a:xfrm>
            <a:off x="8105774" y="10598149"/>
            <a:ext cx="5872163" cy="194839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version of our tool focuses on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Monte Carlo simulation</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If a user desires to sample from a normal distribution for a particular parameter, simply input a standard deviation as desired into the yellow cells.</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Any amount of parameters with yellow cells may be sampled from simultaneously</a:t>
            </a:r>
          </a:p>
          <a:p>
            <a:pPr marL="171450" indent="-171450">
              <a:buFont typeface="Arial" panose="020B0604020202020204" pitchFamily="34" charset="0"/>
              <a:buChar char="•"/>
            </a:pPr>
            <a:endPar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endParaRPr>
          </a:p>
          <a:p>
            <a:pPr marL="171450" indent="-171450">
              <a:buFont typeface="Arial" panose="020B0604020202020204" pitchFamily="34" charset="0"/>
              <a:buChar char="•"/>
            </a:pPr>
            <a:endParaRPr lang="en-US" sz="1100">
              <a:latin typeface="Times New Roman" panose="02020603050405020304" pitchFamily="18" charset="0"/>
              <a:cs typeface="Times New Roman" panose="02020603050405020304" pitchFamily="18" charset="0"/>
            </a:endParaRPr>
          </a:p>
        </xdr:txBody>
      </xdr:sp>
      <xdr:sp macro="" textlink="">
        <xdr:nvSpPr>
          <xdr:cNvPr id="22" name="Oval 21">
            <a:extLst>
              <a:ext uri="{FF2B5EF4-FFF2-40B4-BE49-F238E27FC236}">
                <a16:creationId xmlns:a16="http://schemas.microsoft.com/office/drawing/2014/main" id="{00000000-0008-0000-0300-000016000000}"/>
              </a:ext>
            </a:extLst>
          </xdr:cNvPr>
          <xdr:cNvSpPr/>
        </xdr:nvSpPr>
        <xdr:spPr>
          <a:xfrm>
            <a:off x="4190998" y="10451039"/>
            <a:ext cx="1423461"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3" name="Straight Arrow Connector 22">
            <a:extLst>
              <a:ext uri="{FF2B5EF4-FFF2-40B4-BE49-F238E27FC236}">
                <a16:creationId xmlns:a16="http://schemas.microsoft.com/office/drawing/2014/main" id="{00000000-0008-0000-0300-000017000000}"/>
              </a:ext>
            </a:extLst>
          </xdr:cNvPr>
          <xdr:cNvCxnSpPr/>
        </xdr:nvCxnSpPr>
        <xdr:spPr>
          <a:xfrm flipH="1" flipV="1">
            <a:off x="5635625" y="10694460"/>
            <a:ext cx="2465917" cy="18520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449793</xdr:colOff>
      <xdr:row>83</xdr:row>
      <xdr:rowOff>26459</xdr:rowOff>
    </xdr:from>
    <xdr:to>
      <xdr:col>4</xdr:col>
      <xdr:colOff>142876</xdr:colOff>
      <xdr:row>86</xdr:row>
      <xdr:rowOff>21167</xdr:rowOff>
    </xdr:to>
    <xdr:grpSp>
      <xdr:nvGrpSpPr>
        <xdr:cNvPr id="24" name="Group 23">
          <a:extLst>
            <a:ext uri="{FF2B5EF4-FFF2-40B4-BE49-F238E27FC236}">
              <a16:creationId xmlns:a16="http://schemas.microsoft.com/office/drawing/2014/main" id="{00000000-0008-0000-0300-000018000000}"/>
            </a:ext>
          </a:extLst>
        </xdr:cNvPr>
        <xdr:cNvGrpSpPr/>
      </xdr:nvGrpSpPr>
      <xdr:grpSpPr>
        <a:xfrm>
          <a:off x="1141237" y="15534570"/>
          <a:ext cx="1767417" cy="545041"/>
          <a:chOff x="365125" y="14679083"/>
          <a:chExt cx="1629833" cy="518584"/>
        </a:xfrm>
      </xdr:grpSpPr>
      <xdr:sp macro="" textlink="">
        <xdr:nvSpPr>
          <xdr:cNvPr id="25" name="Rectangle 24">
            <a:extLst>
              <a:ext uri="{FF2B5EF4-FFF2-40B4-BE49-F238E27FC236}">
                <a16:creationId xmlns:a16="http://schemas.microsoft.com/office/drawing/2014/main" id="{00000000-0008-0000-0300-000019000000}"/>
              </a:ext>
            </a:extLst>
          </xdr:cNvPr>
          <xdr:cNvSpPr/>
        </xdr:nvSpPr>
        <xdr:spPr>
          <a:xfrm>
            <a:off x="365125" y="14679083"/>
            <a:ext cx="1629833" cy="518584"/>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6" name="Picture 25">
            <a:extLst>
              <a:ext uri="{FF2B5EF4-FFF2-40B4-BE49-F238E27FC236}">
                <a16:creationId xmlns:a16="http://schemas.microsoft.com/office/drawing/2014/main" id="{00000000-0008-0000-0300-00001A000000}"/>
              </a:ext>
            </a:extLst>
          </xdr:cNvPr>
          <xdr:cNvPicPr/>
        </xdr:nvPicPr>
        <xdr:blipFill>
          <a:blip xmlns:r="http://schemas.openxmlformats.org/officeDocument/2006/relationships" r:embed="rId7"/>
          <a:stretch>
            <a:fillRect/>
          </a:stretch>
        </xdr:blipFill>
        <xdr:spPr>
          <a:xfrm>
            <a:off x="421401" y="14737366"/>
            <a:ext cx="1453369" cy="433842"/>
          </a:xfrm>
          <a:prstGeom prst="rect">
            <a:avLst/>
          </a:prstGeom>
        </xdr:spPr>
      </xdr:pic>
    </xdr:grpSp>
    <xdr:clientData/>
  </xdr:twoCellAnchor>
  <xdr:twoCellAnchor>
    <xdr:from>
      <xdr:col>0</xdr:col>
      <xdr:colOff>342901</xdr:colOff>
      <xdr:row>87</xdr:row>
      <xdr:rowOff>88899</xdr:rowOff>
    </xdr:from>
    <xdr:to>
      <xdr:col>5</xdr:col>
      <xdr:colOff>354542</xdr:colOff>
      <xdr:row>90</xdr:row>
      <xdr:rowOff>42332</xdr:rowOff>
    </xdr:to>
    <xdr:grpSp>
      <xdr:nvGrpSpPr>
        <xdr:cNvPr id="27" name="Group 26">
          <a:extLst>
            <a:ext uri="{FF2B5EF4-FFF2-40B4-BE49-F238E27FC236}">
              <a16:creationId xmlns:a16="http://schemas.microsoft.com/office/drawing/2014/main" id="{00000000-0008-0000-0300-00001B000000}"/>
            </a:ext>
          </a:extLst>
        </xdr:cNvPr>
        <xdr:cNvGrpSpPr/>
      </xdr:nvGrpSpPr>
      <xdr:grpSpPr>
        <a:xfrm>
          <a:off x="342901" y="16330788"/>
          <a:ext cx="3468863" cy="503766"/>
          <a:chOff x="364067" y="15339483"/>
          <a:chExt cx="3239558" cy="477309"/>
        </a:xfrm>
      </xdr:grpSpPr>
      <xdr:sp macro="" textlink="">
        <xdr:nvSpPr>
          <xdr:cNvPr id="28" name="Rectangle 27">
            <a:extLst>
              <a:ext uri="{FF2B5EF4-FFF2-40B4-BE49-F238E27FC236}">
                <a16:creationId xmlns:a16="http://schemas.microsoft.com/office/drawing/2014/main" id="{00000000-0008-0000-0300-00001C000000}"/>
              </a:ext>
            </a:extLst>
          </xdr:cNvPr>
          <xdr:cNvSpPr/>
        </xdr:nvSpPr>
        <xdr:spPr>
          <a:xfrm>
            <a:off x="364067" y="15339483"/>
            <a:ext cx="3239558" cy="477309"/>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9" name="Picture 28">
            <a:extLst>
              <a:ext uri="{FF2B5EF4-FFF2-40B4-BE49-F238E27FC236}">
                <a16:creationId xmlns:a16="http://schemas.microsoft.com/office/drawing/2014/main" id="{00000000-0008-0000-0300-00001D000000}"/>
              </a:ext>
            </a:extLst>
          </xdr:cNvPr>
          <xdr:cNvPicPr/>
        </xdr:nvPicPr>
        <xdr:blipFill>
          <a:blip xmlns:r="http://schemas.openxmlformats.org/officeDocument/2006/relationships" r:embed="rId8"/>
          <a:stretch>
            <a:fillRect/>
          </a:stretch>
        </xdr:blipFill>
        <xdr:spPr>
          <a:xfrm>
            <a:off x="433919" y="15388165"/>
            <a:ext cx="3063874" cy="404261"/>
          </a:xfrm>
          <a:prstGeom prst="rect">
            <a:avLst/>
          </a:prstGeom>
        </xdr:spPr>
      </xdr:pic>
    </xdr:grpSp>
    <xdr:clientData/>
  </xdr:twoCellAnchor>
  <xdr:twoCellAnchor>
    <xdr:from>
      <xdr:col>1</xdr:col>
      <xdr:colOff>375709</xdr:colOff>
      <xdr:row>82</xdr:row>
      <xdr:rowOff>5290</xdr:rowOff>
    </xdr:from>
    <xdr:to>
      <xdr:col>3</xdr:col>
      <xdr:colOff>84667</xdr:colOff>
      <xdr:row>83</xdr:row>
      <xdr:rowOff>63497</xdr:rowOff>
    </xdr:to>
    <xdr:sp macro="" textlink="">
      <xdr:nvSpPr>
        <xdr:cNvPr id="30" name="TextBox 29">
          <a:extLst>
            <a:ext uri="{FF2B5EF4-FFF2-40B4-BE49-F238E27FC236}">
              <a16:creationId xmlns:a16="http://schemas.microsoft.com/office/drawing/2014/main" id="{00000000-0008-0000-0300-00001E000000}"/>
            </a:ext>
          </a:extLst>
        </xdr:cNvPr>
        <xdr:cNvSpPr txBox="1"/>
      </xdr:nvSpPr>
      <xdr:spPr>
        <a:xfrm>
          <a:off x="1023409" y="14764278"/>
          <a:ext cx="1004358" cy="234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a:t>
          </a:r>
          <a:r>
            <a:rPr lang="en-US" sz="900" b="1" i="1">
              <a:latin typeface="Times New Roman" panose="02020603050405020304" pitchFamily="18" charset="0"/>
              <a:cs typeface="Times New Roman" panose="02020603050405020304" pitchFamily="18" charset="0"/>
            </a:rPr>
            <a:t>USEPA, 1996</a:t>
          </a:r>
        </a:p>
      </xdr:txBody>
    </xdr:sp>
    <xdr:clientData/>
  </xdr:twoCellAnchor>
  <xdr:twoCellAnchor>
    <xdr:from>
      <xdr:col>12</xdr:col>
      <xdr:colOff>455081</xdr:colOff>
      <xdr:row>0</xdr:row>
      <xdr:rowOff>268290</xdr:rowOff>
    </xdr:from>
    <xdr:to>
      <xdr:col>22</xdr:col>
      <xdr:colOff>14053</xdr:colOff>
      <xdr:row>33</xdr:row>
      <xdr:rowOff>142877</xdr:rowOff>
    </xdr:to>
    <xdr:grpSp>
      <xdr:nvGrpSpPr>
        <xdr:cNvPr id="31" name="Group 30">
          <a:extLst>
            <a:ext uri="{FF2B5EF4-FFF2-40B4-BE49-F238E27FC236}">
              <a16:creationId xmlns:a16="http://schemas.microsoft.com/office/drawing/2014/main" id="{00000000-0008-0000-0300-00001F000000}"/>
            </a:ext>
          </a:extLst>
        </xdr:cNvPr>
        <xdr:cNvGrpSpPr/>
      </xdr:nvGrpSpPr>
      <xdr:grpSpPr>
        <a:xfrm>
          <a:off x="8752414" y="268290"/>
          <a:ext cx="6473417" cy="6210476"/>
          <a:chOff x="7995706" y="284165"/>
          <a:chExt cx="6014805" cy="5986463"/>
        </a:xfrm>
      </xdr:grpSpPr>
      <xdr:grpSp>
        <xdr:nvGrpSpPr>
          <xdr:cNvPr id="32" name="Group 31">
            <a:extLst>
              <a:ext uri="{FF2B5EF4-FFF2-40B4-BE49-F238E27FC236}">
                <a16:creationId xmlns:a16="http://schemas.microsoft.com/office/drawing/2014/main" id="{00000000-0008-0000-0300-000020000000}"/>
              </a:ext>
            </a:extLst>
          </xdr:cNvPr>
          <xdr:cNvGrpSpPr/>
        </xdr:nvGrpSpPr>
        <xdr:grpSpPr>
          <a:xfrm>
            <a:off x="7995706" y="284165"/>
            <a:ext cx="6014805" cy="5986463"/>
            <a:chOff x="7932207" y="141288"/>
            <a:chExt cx="6014805" cy="5986463"/>
          </a:xfrm>
        </xdr:grpSpPr>
        <xdr:grpSp>
          <xdr:nvGrpSpPr>
            <xdr:cNvPr id="34" name="Group 33">
              <a:extLst>
                <a:ext uri="{FF2B5EF4-FFF2-40B4-BE49-F238E27FC236}">
                  <a16:creationId xmlns:a16="http://schemas.microsoft.com/office/drawing/2014/main" id="{00000000-0008-0000-0300-000022000000}"/>
                </a:ext>
              </a:extLst>
            </xdr:cNvPr>
            <xdr:cNvGrpSpPr/>
          </xdr:nvGrpSpPr>
          <xdr:grpSpPr>
            <a:xfrm>
              <a:off x="8010525" y="141288"/>
              <a:ext cx="5936487" cy="5175215"/>
              <a:chOff x="9067800" y="1047750"/>
              <a:chExt cx="5955537" cy="5232365"/>
            </a:xfrm>
          </xdr:grpSpPr>
          <xdr:sp macro="" textlink="">
            <xdr:nvSpPr>
              <xdr:cNvPr id="36" name="Rectangle 35">
                <a:extLst>
                  <a:ext uri="{FF2B5EF4-FFF2-40B4-BE49-F238E27FC236}">
                    <a16:creationId xmlns:a16="http://schemas.microsoft.com/office/drawing/2014/main" id="{00000000-0008-0000-0300-000024000000}"/>
                  </a:ext>
                </a:extLst>
              </xdr:cNvPr>
              <xdr:cNvSpPr/>
            </xdr:nvSpPr>
            <xdr:spPr>
              <a:xfrm>
                <a:off x="9074342" y="5101873"/>
                <a:ext cx="4331481" cy="1173482"/>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7" name="Rectangle 36">
                <a:extLst>
                  <a:ext uri="{FF2B5EF4-FFF2-40B4-BE49-F238E27FC236}">
                    <a16:creationId xmlns:a16="http://schemas.microsoft.com/office/drawing/2014/main" id="{00000000-0008-0000-0300-000025000000}"/>
                  </a:ext>
                </a:extLst>
              </xdr:cNvPr>
              <xdr:cNvSpPr/>
            </xdr:nvSpPr>
            <xdr:spPr>
              <a:xfrm>
                <a:off x="9067800" y="2626856"/>
                <a:ext cx="4331481" cy="2472636"/>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8" name="Group 37">
                <a:extLst>
                  <a:ext uri="{FF2B5EF4-FFF2-40B4-BE49-F238E27FC236}">
                    <a16:creationId xmlns:a16="http://schemas.microsoft.com/office/drawing/2014/main" id="{00000000-0008-0000-0300-000026000000}"/>
                  </a:ext>
                </a:extLst>
              </xdr:cNvPr>
              <xdr:cNvGrpSpPr/>
            </xdr:nvGrpSpPr>
            <xdr:grpSpPr>
              <a:xfrm>
                <a:off x="9067801" y="2622515"/>
                <a:ext cx="4338021" cy="3657600"/>
                <a:chOff x="569259" y="2667989"/>
                <a:chExt cx="3657600" cy="3657600"/>
              </a:xfrm>
            </xdr:grpSpPr>
            <xdr:sp macro="" textlink="">
              <xdr:nvSpPr>
                <xdr:cNvPr id="132" name="Rectangle 131">
                  <a:extLst>
                    <a:ext uri="{FF2B5EF4-FFF2-40B4-BE49-F238E27FC236}">
                      <a16:creationId xmlns:a16="http://schemas.microsoft.com/office/drawing/2014/main" id="{00000000-0008-0000-0300-000084000000}"/>
                    </a:ext>
                  </a:extLst>
                </xdr:cNvPr>
                <xdr:cNvSpPr/>
              </xdr:nvSpPr>
              <xdr:spPr>
                <a:xfrm>
                  <a:off x="569259" y="2667989"/>
                  <a:ext cx="3657600" cy="3657600"/>
                </a:xfrm>
                <a:prstGeom prst="rect">
                  <a:avLst/>
                </a:prstGeom>
                <a:noFill/>
                <a:ln w="25400" cap="rnd">
                  <a:solidFill>
                    <a:schemeClr val="tx1"/>
                  </a:solidFill>
                  <a:round/>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33" name="Straight Connector 132">
                  <a:extLst>
                    <a:ext uri="{FF2B5EF4-FFF2-40B4-BE49-F238E27FC236}">
                      <a16:creationId xmlns:a16="http://schemas.microsoft.com/office/drawing/2014/main" id="{00000000-0008-0000-0300-000085000000}"/>
                    </a:ext>
                  </a:extLst>
                </xdr:cNvPr>
                <xdr:cNvCxnSpPr/>
              </xdr:nvCxnSpPr>
              <xdr:spPr>
                <a:xfrm>
                  <a:off x="569259" y="5143500"/>
                  <a:ext cx="365760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9" name="Isosceles Triangle 38">
                <a:extLst>
                  <a:ext uri="{FF2B5EF4-FFF2-40B4-BE49-F238E27FC236}">
                    <a16:creationId xmlns:a16="http://schemas.microsoft.com/office/drawing/2014/main" id="{00000000-0008-0000-0300-000027000000}"/>
                  </a:ext>
                </a:extLst>
              </xdr:cNvPr>
              <xdr:cNvSpPr/>
            </xdr:nvSpPr>
            <xdr:spPr>
              <a:xfrm rot="10800000">
                <a:off x="9926676" y="4983729"/>
                <a:ext cx="128588" cy="11429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0" name="Straight Connector 39">
                <a:extLst>
                  <a:ext uri="{FF2B5EF4-FFF2-40B4-BE49-F238E27FC236}">
                    <a16:creationId xmlns:a16="http://schemas.microsoft.com/office/drawing/2014/main" id="{00000000-0008-0000-0300-000028000000}"/>
                  </a:ext>
                </a:extLst>
              </xdr:cNvPr>
              <xdr:cNvCxnSpPr>
                <a:cxnSpLocks/>
              </xdr:cNvCxnSpPr>
            </xdr:nvCxnSpPr>
            <xdr:spPr>
              <a:xfrm flipV="1">
                <a:off x="10717250"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1" name="Straight Connector 40">
                <a:extLst>
                  <a:ext uri="{FF2B5EF4-FFF2-40B4-BE49-F238E27FC236}">
                    <a16:creationId xmlns:a16="http://schemas.microsoft.com/office/drawing/2014/main" id="{00000000-0008-0000-0300-000029000000}"/>
                  </a:ext>
                </a:extLst>
              </xdr:cNvPr>
              <xdr:cNvCxnSpPr/>
            </xdr:nvCxnSpPr>
            <xdr:spPr>
              <a:xfrm flipV="1">
                <a:off x="12412701"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00000000-0008-0000-0300-00002A000000}"/>
                  </a:ext>
                </a:extLst>
              </xdr:cNvPr>
              <xdr:cNvCxnSpPr>
                <a:cxnSpLocks/>
              </xdr:cNvCxnSpPr>
            </xdr:nvCxnSpPr>
            <xdr:spPr>
              <a:xfrm>
                <a:off x="9609122" y="6071166"/>
                <a:ext cx="687042" cy="0"/>
              </a:xfrm>
              <a:prstGeom prst="straightConnector1">
                <a:avLst/>
              </a:prstGeom>
              <a:ln w="28575">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 name="TextBox 12">
                <a:extLst>
                  <a:ext uri="{FF2B5EF4-FFF2-40B4-BE49-F238E27FC236}">
                    <a16:creationId xmlns:a16="http://schemas.microsoft.com/office/drawing/2014/main" id="{00000000-0008-0000-0300-00002B000000}"/>
                  </a:ext>
                </a:extLst>
              </xdr:cNvPr>
              <xdr:cNvSpPr txBox="1"/>
            </xdr:nvSpPr>
            <xdr:spPr>
              <a:xfrm>
                <a:off x="9668652" y="5789407"/>
                <a:ext cx="1128713"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flow</a:t>
                </a:r>
              </a:p>
            </xdr:txBody>
          </xdr:sp>
          <xdr:sp macro="" textlink="">
            <xdr:nvSpPr>
              <xdr:cNvPr id="44" name="TextBox 13">
                <a:extLst>
                  <a:ext uri="{FF2B5EF4-FFF2-40B4-BE49-F238E27FC236}">
                    <a16:creationId xmlns:a16="http://schemas.microsoft.com/office/drawing/2014/main" id="{00000000-0008-0000-0300-00002C000000}"/>
                  </a:ext>
                </a:extLst>
              </xdr:cNvPr>
              <xdr:cNvSpPr txBox="1"/>
            </xdr:nvSpPr>
            <xdr:spPr>
              <a:xfrm>
                <a:off x="9176018" y="3544959"/>
                <a:ext cx="1025550" cy="6463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vadose</a:t>
                </a:r>
              </a:p>
              <a:p>
                <a:pPr algn="ctr"/>
                <a:r>
                  <a:rPr lang="en-US" sz="1200" b="1">
                    <a:latin typeface="Arial" panose="020B0604020202020204" pitchFamily="34" charset="0"/>
                    <a:cs typeface="Arial" panose="020B0604020202020204" pitchFamily="34" charset="0"/>
                  </a:rPr>
                  <a:t>zone attenuation</a:t>
                </a:r>
              </a:p>
            </xdr:txBody>
          </xdr:sp>
          <xdr:sp macro="" textlink="">
            <xdr:nvSpPr>
              <xdr:cNvPr id="45" name="TextBox 14">
                <a:extLst>
                  <a:ext uri="{FF2B5EF4-FFF2-40B4-BE49-F238E27FC236}">
                    <a16:creationId xmlns:a16="http://schemas.microsoft.com/office/drawing/2014/main" id="{00000000-0008-0000-0300-00002D000000}"/>
                  </a:ext>
                </a:extLst>
              </xdr:cNvPr>
              <xdr:cNvSpPr txBox="1"/>
            </xdr:nvSpPr>
            <xdr:spPr>
              <a:xfrm>
                <a:off x="9291092" y="5261844"/>
                <a:ext cx="1282504"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saturated zone</a:t>
                </a:r>
              </a:p>
            </xdr:txBody>
          </xdr:sp>
          <xdr:cxnSp macro="">
            <xdr:nvCxnSpPr>
              <xdr:cNvPr id="46" name="Straight Connector 45">
                <a:extLst>
                  <a:ext uri="{FF2B5EF4-FFF2-40B4-BE49-F238E27FC236}">
                    <a16:creationId xmlns:a16="http://schemas.microsoft.com/office/drawing/2014/main" id="{00000000-0008-0000-0300-00002E000000}"/>
                  </a:ext>
                </a:extLst>
              </xdr:cNvPr>
              <xdr:cNvCxnSpPr>
                <a:cxnSpLocks/>
              </xdr:cNvCxnSpPr>
            </xdr:nvCxnSpPr>
            <xdr:spPr>
              <a:xfrm flipV="1">
                <a:off x="9078557" y="2622515"/>
                <a:ext cx="4323674" cy="4338"/>
              </a:xfrm>
              <a:prstGeom prst="line">
                <a:avLst/>
              </a:prstGeom>
              <a:ln w="25400">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47" name="Freeform: Shape 46">
                <a:extLst>
                  <a:ext uri="{FF2B5EF4-FFF2-40B4-BE49-F238E27FC236}">
                    <a16:creationId xmlns:a16="http://schemas.microsoft.com/office/drawing/2014/main" id="{00000000-0008-0000-0300-00002F000000}"/>
                  </a:ext>
                </a:extLst>
              </xdr:cNvPr>
              <xdr:cNvSpPr/>
            </xdr:nvSpPr>
            <xdr:spPr>
              <a:xfrm>
                <a:off x="10722122" y="5102818"/>
                <a:ext cx="2671292" cy="678520"/>
              </a:xfrm>
              <a:custGeom>
                <a:avLst/>
                <a:gdLst>
                  <a:gd name="connsiteX0" fmla="*/ 0 w 2705100"/>
                  <a:gd name="connsiteY0" fmla="*/ 7487 h 611554"/>
                  <a:gd name="connsiteX1" fmla="*/ 40481 w 2705100"/>
                  <a:gd name="connsiteY1" fmla="*/ 47968 h 611554"/>
                  <a:gd name="connsiteX2" fmla="*/ 128587 w 2705100"/>
                  <a:gd name="connsiteY2" fmla="*/ 112262 h 611554"/>
                  <a:gd name="connsiteX3" fmla="*/ 150019 w 2705100"/>
                  <a:gd name="connsiteY3" fmla="*/ 136074 h 611554"/>
                  <a:gd name="connsiteX4" fmla="*/ 240506 w 2705100"/>
                  <a:gd name="connsiteY4" fmla="*/ 143218 h 611554"/>
                  <a:gd name="connsiteX5" fmla="*/ 316706 w 2705100"/>
                  <a:gd name="connsiteY5" fmla="*/ 224180 h 611554"/>
                  <a:gd name="connsiteX6" fmla="*/ 492919 w 2705100"/>
                  <a:gd name="connsiteY6" fmla="*/ 274187 h 611554"/>
                  <a:gd name="connsiteX7" fmla="*/ 571500 w 2705100"/>
                  <a:gd name="connsiteY7" fmla="*/ 295618 h 611554"/>
                  <a:gd name="connsiteX8" fmla="*/ 707231 w 2705100"/>
                  <a:gd name="connsiteY8" fmla="*/ 331337 h 611554"/>
                  <a:gd name="connsiteX9" fmla="*/ 792956 w 2705100"/>
                  <a:gd name="connsiteY9" fmla="*/ 355149 h 611554"/>
                  <a:gd name="connsiteX10" fmla="*/ 928687 w 2705100"/>
                  <a:gd name="connsiteY10" fmla="*/ 381343 h 611554"/>
                  <a:gd name="connsiteX11" fmla="*/ 1012031 w 2705100"/>
                  <a:gd name="connsiteY11" fmla="*/ 421824 h 611554"/>
                  <a:gd name="connsiteX12" fmla="*/ 1123950 w 2705100"/>
                  <a:gd name="connsiteY12" fmla="*/ 445637 h 611554"/>
                  <a:gd name="connsiteX13" fmla="*/ 1209675 w 2705100"/>
                  <a:gd name="connsiteY13" fmla="*/ 455162 h 611554"/>
                  <a:gd name="connsiteX14" fmla="*/ 1281112 w 2705100"/>
                  <a:gd name="connsiteY14" fmla="*/ 471830 h 611554"/>
                  <a:gd name="connsiteX15" fmla="*/ 1416844 w 2705100"/>
                  <a:gd name="connsiteY15" fmla="*/ 490880 h 611554"/>
                  <a:gd name="connsiteX16" fmla="*/ 1559719 w 2705100"/>
                  <a:gd name="connsiteY16" fmla="*/ 517074 h 611554"/>
                  <a:gd name="connsiteX17" fmla="*/ 1657350 w 2705100"/>
                  <a:gd name="connsiteY17" fmla="*/ 517074 h 611554"/>
                  <a:gd name="connsiteX18" fmla="*/ 1743075 w 2705100"/>
                  <a:gd name="connsiteY18" fmla="*/ 528980 h 611554"/>
                  <a:gd name="connsiteX19" fmla="*/ 1871662 w 2705100"/>
                  <a:gd name="connsiteY19" fmla="*/ 552793 h 611554"/>
                  <a:gd name="connsiteX20" fmla="*/ 1990725 w 2705100"/>
                  <a:gd name="connsiteY20" fmla="*/ 564699 h 611554"/>
                  <a:gd name="connsiteX21" fmla="*/ 2135981 w 2705100"/>
                  <a:gd name="connsiteY21" fmla="*/ 578987 h 611554"/>
                  <a:gd name="connsiteX22" fmla="*/ 2250281 w 2705100"/>
                  <a:gd name="connsiteY22" fmla="*/ 564699 h 611554"/>
                  <a:gd name="connsiteX23" fmla="*/ 2366962 w 2705100"/>
                  <a:gd name="connsiteY23" fmla="*/ 588512 h 611554"/>
                  <a:gd name="connsiteX24" fmla="*/ 2450306 w 2705100"/>
                  <a:gd name="connsiteY24" fmla="*/ 595655 h 611554"/>
                  <a:gd name="connsiteX25" fmla="*/ 2543175 w 2705100"/>
                  <a:gd name="connsiteY25" fmla="*/ 600418 h 611554"/>
                  <a:gd name="connsiteX26" fmla="*/ 2588419 w 2705100"/>
                  <a:gd name="connsiteY26" fmla="*/ 598037 h 611554"/>
                  <a:gd name="connsiteX27" fmla="*/ 2657475 w 2705100"/>
                  <a:gd name="connsiteY27" fmla="*/ 607562 h 611554"/>
                  <a:gd name="connsiteX28" fmla="*/ 2700337 w 2705100"/>
                  <a:gd name="connsiteY28" fmla="*/ 609943 h 611554"/>
                  <a:gd name="connsiteX29" fmla="*/ 2700337 w 2705100"/>
                  <a:gd name="connsiteY29" fmla="*/ 583749 h 611554"/>
                  <a:gd name="connsiteX30" fmla="*/ 2700337 w 2705100"/>
                  <a:gd name="connsiteY30" fmla="*/ 533743 h 611554"/>
                  <a:gd name="connsiteX31" fmla="*/ 2705100 w 2705100"/>
                  <a:gd name="connsiteY31" fmla="*/ 483737 h 611554"/>
                  <a:gd name="connsiteX32" fmla="*/ 2700337 w 2705100"/>
                  <a:gd name="connsiteY32" fmla="*/ 428968 h 611554"/>
                  <a:gd name="connsiteX33" fmla="*/ 2700337 w 2705100"/>
                  <a:gd name="connsiteY33" fmla="*/ 388487 h 611554"/>
                  <a:gd name="connsiteX34" fmla="*/ 2697956 w 2705100"/>
                  <a:gd name="connsiteY34" fmla="*/ 324193 h 611554"/>
                  <a:gd name="connsiteX35" fmla="*/ 2695575 w 2705100"/>
                  <a:gd name="connsiteY35" fmla="*/ 267043 h 611554"/>
                  <a:gd name="connsiteX36" fmla="*/ 2695575 w 2705100"/>
                  <a:gd name="connsiteY36" fmla="*/ 164649 h 611554"/>
                  <a:gd name="connsiteX37" fmla="*/ 2695575 w 2705100"/>
                  <a:gd name="connsiteY37" fmla="*/ 155124 h 611554"/>
                  <a:gd name="connsiteX38" fmla="*/ 2693194 w 2705100"/>
                  <a:gd name="connsiteY38" fmla="*/ 109880 h 611554"/>
                  <a:gd name="connsiteX39" fmla="*/ 2690812 w 2705100"/>
                  <a:gd name="connsiteY39" fmla="*/ 78924 h 611554"/>
                  <a:gd name="connsiteX40" fmla="*/ 2695575 w 2705100"/>
                  <a:gd name="connsiteY40" fmla="*/ 40824 h 611554"/>
                  <a:gd name="connsiteX41" fmla="*/ 2693194 w 2705100"/>
                  <a:gd name="connsiteY41" fmla="*/ 5105 h 611554"/>
                  <a:gd name="connsiteX42" fmla="*/ 2671762 w 2705100"/>
                  <a:gd name="connsiteY42" fmla="*/ 2724 h 611554"/>
                  <a:gd name="connsiteX43" fmla="*/ 2659856 w 2705100"/>
                  <a:gd name="connsiteY43" fmla="*/ 7487 h 611554"/>
                  <a:gd name="connsiteX44" fmla="*/ 2640806 w 2705100"/>
                  <a:gd name="connsiteY44" fmla="*/ 7487 h 611554"/>
                  <a:gd name="connsiteX45" fmla="*/ 2619375 w 2705100"/>
                  <a:gd name="connsiteY45" fmla="*/ 5105 h 611554"/>
                  <a:gd name="connsiteX46" fmla="*/ 2602706 w 2705100"/>
                  <a:gd name="connsiteY46" fmla="*/ 2724 h 611554"/>
                  <a:gd name="connsiteX47" fmla="*/ 2555081 w 2705100"/>
                  <a:gd name="connsiteY47" fmla="*/ 343 h 611554"/>
                  <a:gd name="connsiteX48" fmla="*/ 2490787 w 2705100"/>
                  <a:gd name="connsiteY48" fmla="*/ 5105 h 611554"/>
                  <a:gd name="connsiteX49" fmla="*/ 2433637 w 2705100"/>
                  <a:gd name="connsiteY49" fmla="*/ 5105 h 611554"/>
                  <a:gd name="connsiteX50" fmla="*/ 2336006 w 2705100"/>
                  <a:gd name="connsiteY50" fmla="*/ 12249 h 611554"/>
                  <a:gd name="connsiteX51" fmla="*/ 2262187 w 2705100"/>
                  <a:gd name="connsiteY51" fmla="*/ 24155 h 611554"/>
                  <a:gd name="connsiteX52" fmla="*/ 2195512 w 2705100"/>
                  <a:gd name="connsiteY52" fmla="*/ 5105 h 611554"/>
                  <a:gd name="connsiteX53" fmla="*/ 2171700 w 2705100"/>
                  <a:gd name="connsiteY53" fmla="*/ 343 h 611554"/>
                  <a:gd name="connsiteX54" fmla="*/ 2100262 w 2705100"/>
                  <a:gd name="connsiteY54" fmla="*/ 12249 h 611554"/>
                  <a:gd name="connsiteX55" fmla="*/ 2007394 w 2705100"/>
                  <a:gd name="connsiteY55" fmla="*/ 17012 h 611554"/>
                  <a:gd name="connsiteX56" fmla="*/ 1971675 w 2705100"/>
                  <a:gd name="connsiteY56" fmla="*/ 9868 h 611554"/>
                  <a:gd name="connsiteX57" fmla="*/ 1900237 w 2705100"/>
                  <a:gd name="connsiteY57" fmla="*/ 9868 h 611554"/>
                  <a:gd name="connsiteX58" fmla="*/ 1838325 w 2705100"/>
                  <a:gd name="connsiteY58" fmla="*/ 9868 h 611554"/>
                  <a:gd name="connsiteX59" fmla="*/ 1776412 w 2705100"/>
                  <a:gd name="connsiteY59" fmla="*/ 9868 h 611554"/>
                  <a:gd name="connsiteX60" fmla="*/ 1712119 w 2705100"/>
                  <a:gd name="connsiteY60" fmla="*/ 9868 h 611554"/>
                  <a:gd name="connsiteX61" fmla="*/ 1695450 w 2705100"/>
                  <a:gd name="connsiteY61" fmla="*/ 5105 h 611554"/>
                  <a:gd name="connsiteX62" fmla="*/ 0 w 2705100"/>
                  <a:gd name="connsiteY62" fmla="*/ 7487 h 61155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Lst>
                <a:rect l="l" t="t" r="r" b="b"/>
                <a:pathLst>
                  <a:path w="2705100" h="611554">
                    <a:moveTo>
                      <a:pt x="0" y="7487"/>
                    </a:moveTo>
                    <a:cubicBezTo>
                      <a:pt x="9525" y="18996"/>
                      <a:pt x="19050" y="30505"/>
                      <a:pt x="40481" y="47968"/>
                    </a:cubicBezTo>
                    <a:cubicBezTo>
                      <a:pt x="61912" y="65431"/>
                      <a:pt x="110331" y="97578"/>
                      <a:pt x="128587" y="112262"/>
                    </a:cubicBezTo>
                    <a:cubicBezTo>
                      <a:pt x="146843" y="126946"/>
                      <a:pt x="131366" y="130915"/>
                      <a:pt x="150019" y="136074"/>
                    </a:cubicBezTo>
                    <a:cubicBezTo>
                      <a:pt x="168672" y="141233"/>
                      <a:pt x="212725" y="128534"/>
                      <a:pt x="240506" y="143218"/>
                    </a:cubicBezTo>
                    <a:cubicBezTo>
                      <a:pt x="268287" y="157902"/>
                      <a:pt x="274637" y="202352"/>
                      <a:pt x="316706" y="224180"/>
                    </a:cubicBezTo>
                    <a:cubicBezTo>
                      <a:pt x="358775" y="246008"/>
                      <a:pt x="450453" y="262281"/>
                      <a:pt x="492919" y="274187"/>
                    </a:cubicBezTo>
                    <a:lnTo>
                      <a:pt x="571500" y="295618"/>
                    </a:lnTo>
                    <a:lnTo>
                      <a:pt x="707231" y="331337"/>
                    </a:lnTo>
                    <a:cubicBezTo>
                      <a:pt x="744140" y="341259"/>
                      <a:pt x="756047" y="346815"/>
                      <a:pt x="792956" y="355149"/>
                    </a:cubicBezTo>
                    <a:cubicBezTo>
                      <a:pt x="829865" y="363483"/>
                      <a:pt x="892175" y="370231"/>
                      <a:pt x="928687" y="381343"/>
                    </a:cubicBezTo>
                    <a:cubicBezTo>
                      <a:pt x="965199" y="392455"/>
                      <a:pt x="979487" y="411108"/>
                      <a:pt x="1012031" y="421824"/>
                    </a:cubicBezTo>
                    <a:cubicBezTo>
                      <a:pt x="1044575" y="432540"/>
                      <a:pt x="1091009" y="440081"/>
                      <a:pt x="1123950" y="445637"/>
                    </a:cubicBezTo>
                    <a:cubicBezTo>
                      <a:pt x="1156891" y="451193"/>
                      <a:pt x="1183481" y="450796"/>
                      <a:pt x="1209675" y="455162"/>
                    </a:cubicBezTo>
                    <a:cubicBezTo>
                      <a:pt x="1235869" y="459528"/>
                      <a:pt x="1246584" y="465877"/>
                      <a:pt x="1281112" y="471830"/>
                    </a:cubicBezTo>
                    <a:cubicBezTo>
                      <a:pt x="1315640" y="477783"/>
                      <a:pt x="1370410" y="483339"/>
                      <a:pt x="1416844" y="490880"/>
                    </a:cubicBezTo>
                    <a:cubicBezTo>
                      <a:pt x="1463279" y="498421"/>
                      <a:pt x="1519635" y="512708"/>
                      <a:pt x="1559719" y="517074"/>
                    </a:cubicBezTo>
                    <a:cubicBezTo>
                      <a:pt x="1599803" y="521440"/>
                      <a:pt x="1626791" y="515090"/>
                      <a:pt x="1657350" y="517074"/>
                    </a:cubicBezTo>
                    <a:cubicBezTo>
                      <a:pt x="1687909" y="519058"/>
                      <a:pt x="1707356" y="523027"/>
                      <a:pt x="1743075" y="528980"/>
                    </a:cubicBezTo>
                    <a:cubicBezTo>
                      <a:pt x="1778794" y="534933"/>
                      <a:pt x="1830387" y="546840"/>
                      <a:pt x="1871662" y="552793"/>
                    </a:cubicBezTo>
                    <a:cubicBezTo>
                      <a:pt x="1912937" y="558746"/>
                      <a:pt x="1990725" y="564699"/>
                      <a:pt x="1990725" y="564699"/>
                    </a:cubicBezTo>
                    <a:cubicBezTo>
                      <a:pt x="2034778" y="569065"/>
                      <a:pt x="2092722" y="578987"/>
                      <a:pt x="2135981" y="578987"/>
                    </a:cubicBezTo>
                    <a:cubicBezTo>
                      <a:pt x="2179240" y="578987"/>
                      <a:pt x="2211784" y="563112"/>
                      <a:pt x="2250281" y="564699"/>
                    </a:cubicBezTo>
                    <a:cubicBezTo>
                      <a:pt x="2288778" y="566286"/>
                      <a:pt x="2333625" y="583353"/>
                      <a:pt x="2366962" y="588512"/>
                    </a:cubicBezTo>
                    <a:cubicBezTo>
                      <a:pt x="2400299" y="593671"/>
                      <a:pt x="2420937" y="593671"/>
                      <a:pt x="2450306" y="595655"/>
                    </a:cubicBezTo>
                    <a:cubicBezTo>
                      <a:pt x="2479675" y="597639"/>
                      <a:pt x="2520156" y="600021"/>
                      <a:pt x="2543175" y="600418"/>
                    </a:cubicBezTo>
                    <a:cubicBezTo>
                      <a:pt x="2566194" y="600815"/>
                      <a:pt x="2569369" y="596846"/>
                      <a:pt x="2588419" y="598037"/>
                    </a:cubicBezTo>
                    <a:cubicBezTo>
                      <a:pt x="2607469" y="599228"/>
                      <a:pt x="2638822" y="605578"/>
                      <a:pt x="2657475" y="607562"/>
                    </a:cubicBezTo>
                    <a:cubicBezTo>
                      <a:pt x="2676128" y="609546"/>
                      <a:pt x="2693194" y="613912"/>
                      <a:pt x="2700337" y="609943"/>
                    </a:cubicBezTo>
                    <a:cubicBezTo>
                      <a:pt x="2707480" y="605974"/>
                      <a:pt x="2700337" y="583749"/>
                      <a:pt x="2700337" y="583749"/>
                    </a:cubicBezTo>
                    <a:cubicBezTo>
                      <a:pt x="2700337" y="571049"/>
                      <a:pt x="2699543" y="550412"/>
                      <a:pt x="2700337" y="533743"/>
                    </a:cubicBezTo>
                    <a:cubicBezTo>
                      <a:pt x="2701131" y="517074"/>
                      <a:pt x="2705100" y="501199"/>
                      <a:pt x="2705100" y="483737"/>
                    </a:cubicBezTo>
                    <a:cubicBezTo>
                      <a:pt x="2705100" y="466275"/>
                      <a:pt x="2701131" y="444843"/>
                      <a:pt x="2700337" y="428968"/>
                    </a:cubicBezTo>
                    <a:cubicBezTo>
                      <a:pt x="2699543" y="413093"/>
                      <a:pt x="2700734" y="405949"/>
                      <a:pt x="2700337" y="388487"/>
                    </a:cubicBezTo>
                    <a:cubicBezTo>
                      <a:pt x="2699940" y="371025"/>
                      <a:pt x="2698750" y="344434"/>
                      <a:pt x="2697956" y="324193"/>
                    </a:cubicBezTo>
                    <a:cubicBezTo>
                      <a:pt x="2697162" y="303952"/>
                      <a:pt x="2695972" y="293634"/>
                      <a:pt x="2695575" y="267043"/>
                    </a:cubicBezTo>
                    <a:cubicBezTo>
                      <a:pt x="2695178" y="240452"/>
                      <a:pt x="2695575" y="164649"/>
                      <a:pt x="2695575" y="164649"/>
                    </a:cubicBezTo>
                    <a:lnTo>
                      <a:pt x="2695575" y="155124"/>
                    </a:lnTo>
                    <a:cubicBezTo>
                      <a:pt x="2695178" y="145996"/>
                      <a:pt x="2693988" y="122580"/>
                      <a:pt x="2693194" y="109880"/>
                    </a:cubicBezTo>
                    <a:cubicBezTo>
                      <a:pt x="2692400" y="97180"/>
                      <a:pt x="2690415" y="90433"/>
                      <a:pt x="2690812" y="78924"/>
                    </a:cubicBezTo>
                    <a:cubicBezTo>
                      <a:pt x="2691209" y="67415"/>
                      <a:pt x="2695178" y="53127"/>
                      <a:pt x="2695575" y="40824"/>
                    </a:cubicBezTo>
                    <a:cubicBezTo>
                      <a:pt x="2695972" y="28521"/>
                      <a:pt x="2697163" y="11455"/>
                      <a:pt x="2693194" y="5105"/>
                    </a:cubicBezTo>
                    <a:cubicBezTo>
                      <a:pt x="2689225" y="-1245"/>
                      <a:pt x="2677318" y="2327"/>
                      <a:pt x="2671762" y="2724"/>
                    </a:cubicBezTo>
                    <a:cubicBezTo>
                      <a:pt x="2666206" y="3121"/>
                      <a:pt x="2665015" y="6693"/>
                      <a:pt x="2659856" y="7487"/>
                    </a:cubicBezTo>
                    <a:cubicBezTo>
                      <a:pt x="2654697" y="8281"/>
                      <a:pt x="2640806" y="7487"/>
                      <a:pt x="2640806" y="7487"/>
                    </a:cubicBezTo>
                    <a:cubicBezTo>
                      <a:pt x="2634059" y="7090"/>
                      <a:pt x="2625725" y="5899"/>
                      <a:pt x="2619375" y="5105"/>
                    </a:cubicBezTo>
                    <a:cubicBezTo>
                      <a:pt x="2613025" y="4311"/>
                      <a:pt x="2613422" y="3518"/>
                      <a:pt x="2602706" y="2724"/>
                    </a:cubicBezTo>
                    <a:cubicBezTo>
                      <a:pt x="2591990" y="1930"/>
                      <a:pt x="2573734" y="-54"/>
                      <a:pt x="2555081" y="343"/>
                    </a:cubicBezTo>
                    <a:cubicBezTo>
                      <a:pt x="2536428" y="740"/>
                      <a:pt x="2511028" y="4311"/>
                      <a:pt x="2490787" y="5105"/>
                    </a:cubicBezTo>
                    <a:cubicBezTo>
                      <a:pt x="2470546" y="5899"/>
                      <a:pt x="2459434" y="3914"/>
                      <a:pt x="2433637" y="5105"/>
                    </a:cubicBezTo>
                    <a:cubicBezTo>
                      <a:pt x="2407840" y="6296"/>
                      <a:pt x="2364581" y="9074"/>
                      <a:pt x="2336006" y="12249"/>
                    </a:cubicBezTo>
                    <a:cubicBezTo>
                      <a:pt x="2307431" y="15424"/>
                      <a:pt x="2285603" y="25346"/>
                      <a:pt x="2262187" y="24155"/>
                    </a:cubicBezTo>
                    <a:cubicBezTo>
                      <a:pt x="2238771" y="22964"/>
                      <a:pt x="2210593" y="9074"/>
                      <a:pt x="2195512" y="5105"/>
                    </a:cubicBezTo>
                    <a:cubicBezTo>
                      <a:pt x="2180431" y="1136"/>
                      <a:pt x="2187575" y="-848"/>
                      <a:pt x="2171700" y="343"/>
                    </a:cubicBezTo>
                    <a:cubicBezTo>
                      <a:pt x="2155825" y="1534"/>
                      <a:pt x="2127646" y="9471"/>
                      <a:pt x="2100262" y="12249"/>
                    </a:cubicBezTo>
                    <a:cubicBezTo>
                      <a:pt x="2072878" y="15027"/>
                      <a:pt x="2028825" y="17409"/>
                      <a:pt x="2007394" y="17012"/>
                    </a:cubicBezTo>
                    <a:cubicBezTo>
                      <a:pt x="1985963" y="16615"/>
                      <a:pt x="1989534" y="11059"/>
                      <a:pt x="1971675" y="9868"/>
                    </a:cubicBezTo>
                    <a:cubicBezTo>
                      <a:pt x="1953816" y="8677"/>
                      <a:pt x="1900237" y="9868"/>
                      <a:pt x="1900237" y="9868"/>
                    </a:cubicBezTo>
                    <a:lnTo>
                      <a:pt x="1838325" y="9868"/>
                    </a:lnTo>
                    <a:lnTo>
                      <a:pt x="1776412" y="9868"/>
                    </a:lnTo>
                    <a:cubicBezTo>
                      <a:pt x="1755378" y="9868"/>
                      <a:pt x="1725613" y="10662"/>
                      <a:pt x="1712119" y="9868"/>
                    </a:cubicBezTo>
                    <a:cubicBezTo>
                      <a:pt x="1698625" y="9074"/>
                      <a:pt x="1695450" y="5105"/>
                      <a:pt x="1695450" y="5105"/>
                    </a:cubicBezTo>
                    <a:lnTo>
                      <a:pt x="0" y="7487"/>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8" name="TextBox 17">
                <a:extLst>
                  <a:ext uri="{FF2B5EF4-FFF2-40B4-BE49-F238E27FC236}">
                    <a16:creationId xmlns:a16="http://schemas.microsoft.com/office/drawing/2014/main" id="{00000000-0008-0000-0300-000030000000}"/>
                  </a:ext>
                </a:extLst>
              </xdr:cNvPr>
              <xdr:cNvSpPr txBox="1"/>
            </xdr:nvSpPr>
            <xdr:spPr>
              <a:xfrm>
                <a:off x="11049828" y="5138064"/>
                <a:ext cx="1527120"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200" b="1">
                    <a:latin typeface="Arial" panose="020B0604020202020204" pitchFamily="34" charset="0"/>
                    <a:cs typeface="Arial" panose="020B0604020202020204" pitchFamily="34" charset="0"/>
                  </a:rPr>
                  <a:t>groundwater dilution</a:t>
                </a:r>
              </a:p>
            </xdr:txBody>
          </xdr:sp>
          <xdr:cxnSp macro="">
            <xdr:nvCxnSpPr>
              <xdr:cNvPr id="49" name="Straight Connector 48">
                <a:extLst>
                  <a:ext uri="{FF2B5EF4-FFF2-40B4-BE49-F238E27FC236}">
                    <a16:creationId xmlns:a16="http://schemas.microsoft.com/office/drawing/2014/main" id="{00000000-0008-0000-0300-000031000000}"/>
                  </a:ext>
                </a:extLst>
              </xdr:cNvPr>
              <xdr:cNvCxnSpPr>
                <a:cxnSpLocks/>
              </xdr:cNvCxnSpPr>
            </xdr:nvCxnSpPr>
            <xdr:spPr>
              <a:xfrm>
                <a:off x="10710899" y="2622515"/>
                <a:ext cx="1709928" cy="0"/>
              </a:xfrm>
              <a:prstGeom prst="line">
                <a:avLst/>
              </a:prstGeom>
              <a:ln w="25400">
                <a:solidFill>
                  <a:schemeClr val="accent2">
                    <a:lumMod val="50000"/>
                    <a:alpha val="46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50" name="Rectangle 49">
                <a:extLst>
                  <a:ext uri="{FF2B5EF4-FFF2-40B4-BE49-F238E27FC236}">
                    <a16:creationId xmlns:a16="http://schemas.microsoft.com/office/drawing/2014/main" id="{00000000-0008-0000-0300-000032000000}"/>
                  </a:ext>
                </a:extLst>
              </xdr:cNvPr>
              <xdr:cNvSpPr/>
            </xdr:nvSpPr>
            <xdr:spPr>
              <a:xfrm>
                <a:off x="10727437" y="2627887"/>
                <a:ext cx="1677455" cy="2458695"/>
              </a:xfrm>
              <a:prstGeom prst="rect">
                <a:avLst/>
              </a:prstGeom>
              <a:gradFill>
                <a:gsLst>
                  <a:gs pos="100000">
                    <a:schemeClr val="accent2">
                      <a:alpha val="9000"/>
                      <a:lumMod val="72000"/>
                    </a:schemeClr>
                  </a:gs>
                  <a:gs pos="2000">
                    <a:srgbClr val="79370B"/>
                  </a:gs>
                  <a:gs pos="23000">
                    <a:schemeClr val="accent2">
                      <a:alpha val="17000"/>
                      <a:lumMod val="41000"/>
                    </a:schemeClr>
                  </a:gs>
                  <a:gs pos="0">
                    <a:schemeClr val="accent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51" name="Freeform: Shape 50">
                <a:extLst>
                  <a:ext uri="{FF2B5EF4-FFF2-40B4-BE49-F238E27FC236}">
                    <a16:creationId xmlns:a16="http://schemas.microsoft.com/office/drawing/2014/main" id="{00000000-0008-0000-0300-000033000000}"/>
                  </a:ext>
                </a:extLst>
              </xdr:cNvPr>
              <xdr:cNvSpPr/>
            </xdr:nvSpPr>
            <xdr:spPr>
              <a:xfrm>
                <a:off x="9103312" y="1047750"/>
                <a:ext cx="2522268"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chemeClr val="bg1">
                  <a:lumMod val="9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52" name="Group 51">
                <a:extLst>
                  <a:ext uri="{FF2B5EF4-FFF2-40B4-BE49-F238E27FC236}">
                    <a16:creationId xmlns:a16="http://schemas.microsoft.com/office/drawing/2014/main" id="{00000000-0008-0000-0300-000034000000}"/>
                  </a:ext>
                </a:extLst>
              </xdr:cNvPr>
              <xdr:cNvGrpSpPr/>
            </xdr:nvGrpSpPr>
            <xdr:grpSpPr>
              <a:xfrm>
                <a:off x="9152718" y="1761467"/>
                <a:ext cx="2801424" cy="719542"/>
                <a:chOff x="1033402" y="1825990"/>
                <a:chExt cx="2503784" cy="719542"/>
              </a:xfrm>
            </xdr:grpSpPr>
            <xdr:grpSp>
              <xdr:nvGrpSpPr>
                <xdr:cNvPr id="79" name="Group 78">
                  <a:extLst>
                    <a:ext uri="{FF2B5EF4-FFF2-40B4-BE49-F238E27FC236}">
                      <a16:creationId xmlns:a16="http://schemas.microsoft.com/office/drawing/2014/main" id="{00000000-0008-0000-0300-00004F000000}"/>
                    </a:ext>
                  </a:extLst>
                </xdr:cNvPr>
                <xdr:cNvGrpSpPr/>
              </xdr:nvGrpSpPr>
              <xdr:grpSpPr>
                <a:xfrm flipH="1">
                  <a:off x="1033402" y="1825990"/>
                  <a:ext cx="2503784" cy="552069"/>
                  <a:chOff x="3019354" y="1959928"/>
                  <a:chExt cx="2029960" cy="552069"/>
                </a:xfrm>
              </xdr:grpSpPr>
              <xdr:cxnSp macro="">
                <xdr:nvCxnSpPr>
                  <xdr:cNvPr id="85" name="Straight Connector 84">
                    <a:extLst>
                      <a:ext uri="{FF2B5EF4-FFF2-40B4-BE49-F238E27FC236}">
                        <a16:creationId xmlns:a16="http://schemas.microsoft.com/office/drawing/2014/main" id="{00000000-0008-0000-0300-000055000000}"/>
                      </a:ext>
                    </a:extLst>
                  </xdr:cNvPr>
                  <xdr:cNvCxnSpPr>
                    <a:cxnSpLocks/>
                  </xdr:cNvCxnSpPr>
                </xdr:nvCxnSpPr>
                <xdr:spPr>
                  <a:xfrm flipH="1">
                    <a:off x="3180534" y="19599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6" name="Straight Connector 85">
                    <a:extLst>
                      <a:ext uri="{FF2B5EF4-FFF2-40B4-BE49-F238E27FC236}">
                        <a16:creationId xmlns:a16="http://schemas.microsoft.com/office/drawing/2014/main" id="{00000000-0008-0000-0300-000056000000}"/>
                      </a:ext>
                    </a:extLst>
                  </xdr:cNvPr>
                  <xdr:cNvCxnSpPr>
                    <a:cxnSpLocks/>
                  </xdr:cNvCxnSpPr>
                </xdr:nvCxnSpPr>
                <xdr:spPr>
                  <a:xfrm flipH="1">
                    <a:off x="3338891" y="20093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7" name="Straight Connector 86">
                    <a:extLst>
                      <a:ext uri="{FF2B5EF4-FFF2-40B4-BE49-F238E27FC236}">
                        <a16:creationId xmlns:a16="http://schemas.microsoft.com/office/drawing/2014/main" id="{00000000-0008-0000-0300-000057000000}"/>
                      </a:ext>
                    </a:extLst>
                  </xdr:cNvPr>
                  <xdr:cNvCxnSpPr>
                    <a:cxnSpLocks/>
                  </xdr:cNvCxnSpPr>
                </xdr:nvCxnSpPr>
                <xdr:spPr>
                  <a:xfrm flipH="1">
                    <a:off x="3503236" y="197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8" name="Straight Connector 87">
                    <a:extLst>
                      <a:ext uri="{FF2B5EF4-FFF2-40B4-BE49-F238E27FC236}">
                        <a16:creationId xmlns:a16="http://schemas.microsoft.com/office/drawing/2014/main" id="{00000000-0008-0000-0300-000058000000}"/>
                      </a:ext>
                    </a:extLst>
                  </xdr:cNvPr>
                  <xdr:cNvCxnSpPr>
                    <a:cxnSpLocks/>
                  </xdr:cNvCxnSpPr>
                </xdr:nvCxnSpPr>
                <xdr:spPr>
                  <a:xfrm flipH="1">
                    <a:off x="3673414" y="20081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9" name="Straight Connector 88">
                    <a:extLst>
                      <a:ext uri="{FF2B5EF4-FFF2-40B4-BE49-F238E27FC236}">
                        <a16:creationId xmlns:a16="http://schemas.microsoft.com/office/drawing/2014/main" id="{00000000-0008-0000-0300-000059000000}"/>
                      </a:ext>
                    </a:extLst>
                  </xdr:cNvPr>
                  <xdr:cNvCxnSpPr>
                    <a:cxnSpLocks/>
                  </xdr:cNvCxnSpPr>
                </xdr:nvCxnSpPr>
                <xdr:spPr>
                  <a:xfrm flipH="1">
                    <a:off x="3894878" y="20191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0" name="Straight Connector 89">
                    <a:extLst>
                      <a:ext uri="{FF2B5EF4-FFF2-40B4-BE49-F238E27FC236}">
                        <a16:creationId xmlns:a16="http://schemas.microsoft.com/office/drawing/2014/main" id="{00000000-0008-0000-0300-00005A000000}"/>
                      </a:ext>
                    </a:extLst>
                  </xdr:cNvPr>
                  <xdr:cNvCxnSpPr>
                    <a:cxnSpLocks/>
                  </xdr:cNvCxnSpPr>
                </xdr:nvCxnSpPr>
                <xdr:spPr>
                  <a:xfrm flipH="1">
                    <a:off x="4133493" y="19723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1" name="Straight Connector 90">
                    <a:extLst>
                      <a:ext uri="{FF2B5EF4-FFF2-40B4-BE49-F238E27FC236}">
                        <a16:creationId xmlns:a16="http://schemas.microsoft.com/office/drawing/2014/main" id="{00000000-0008-0000-0300-00005B000000}"/>
                      </a:ext>
                    </a:extLst>
                  </xdr:cNvPr>
                  <xdr:cNvCxnSpPr>
                    <a:cxnSpLocks/>
                  </xdr:cNvCxnSpPr>
                </xdr:nvCxnSpPr>
                <xdr:spPr>
                  <a:xfrm flipH="1">
                    <a:off x="4291850" y="20217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2" name="Straight Connector 91">
                    <a:extLst>
                      <a:ext uri="{FF2B5EF4-FFF2-40B4-BE49-F238E27FC236}">
                        <a16:creationId xmlns:a16="http://schemas.microsoft.com/office/drawing/2014/main" id="{00000000-0008-0000-0300-00005C000000}"/>
                      </a:ext>
                    </a:extLst>
                  </xdr:cNvPr>
                  <xdr:cNvCxnSpPr>
                    <a:cxnSpLocks/>
                  </xdr:cNvCxnSpPr>
                </xdr:nvCxnSpPr>
                <xdr:spPr>
                  <a:xfrm flipH="1">
                    <a:off x="4456195" y="198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3" name="Straight Connector 92">
                    <a:extLst>
                      <a:ext uri="{FF2B5EF4-FFF2-40B4-BE49-F238E27FC236}">
                        <a16:creationId xmlns:a16="http://schemas.microsoft.com/office/drawing/2014/main" id="{00000000-0008-0000-0300-00005D000000}"/>
                      </a:ext>
                    </a:extLst>
                  </xdr:cNvPr>
                  <xdr:cNvCxnSpPr>
                    <a:cxnSpLocks/>
                  </xdr:cNvCxnSpPr>
                </xdr:nvCxnSpPr>
                <xdr:spPr>
                  <a:xfrm flipH="1">
                    <a:off x="4626373" y="20205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4" name="Straight Connector 93">
                    <a:extLst>
                      <a:ext uri="{FF2B5EF4-FFF2-40B4-BE49-F238E27FC236}">
                        <a16:creationId xmlns:a16="http://schemas.microsoft.com/office/drawing/2014/main" id="{00000000-0008-0000-0300-00005E000000}"/>
                      </a:ext>
                    </a:extLst>
                  </xdr:cNvPr>
                  <xdr:cNvCxnSpPr>
                    <a:cxnSpLocks/>
                  </xdr:cNvCxnSpPr>
                </xdr:nvCxnSpPr>
                <xdr:spPr>
                  <a:xfrm flipH="1">
                    <a:off x="4847837" y="20316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5" name="Straight Connector 94">
                    <a:extLst>
                      <a:ext uri="{FF2B5EF4-FFF2-40B4-BE49-F238E27FC236}">
                        <a16:creationId xmlns:a16="http://schemas.microsoft.com/office/drawing/2014/main" id="{00000000-0008-0000-0300-00005F000000}"/>
                      </a:ext>
                    </a:extLst>
                  </xdr:cNvPr>
                  <xdr:cNvCxnSpPr>
                    <a:cxnSpLocks/>
                  </xdr:cNvCxnSpPr>
                </xdr:nvCxnSpPr>
                <xdr:spPr>
                  <a:xfrm flipH="1">
                    <a:off x="3332934" y="21123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6" name="Straight Connector 95">
                    <a:extLst>
                      <a:ext uri="{FF2B5EF4-FFF2-40B4-BE49-F238E27FC236}">
                        <a16:creationId xmlns:a16="http://schemas.microsoft.com/office/drawing/2014/main" id="{00000000-0008-0000-0300-000060000000}"/>
                      </a:ext>
                    </a:extLst>
                  </xdr:cNvPr>
                  <xdr:cNvCxnSpPr>
                    <a:cxnSpLocks/>
                  </xdr:cNvCxnSpPr>
                </xdr:nvCxnSpPr>
                <xdr:spPr>
                  <a:xfrm flipH="1">
                    <a:off x="3491291" y="21617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7" name="Straight Connector 96">
                    <a:extLst>
                      <a:ext uri="{FF2B5EF4-FFF2-40B4-BE49-F238E27FC236}">
                        <a16:creationId xmlns:a16="http://schemas.microsoft.com/office/drawing/2014/main" id="{00000000-0008-0000-0300-000061000000}"/>
                      </a:ext>
                    </a:extLst>
                  </xdr:cNvPr>
                  <xdr:cNvCxnSpPr>
                    <a:cxnSpLocks/>
                  </xdr:cNvCxnSpPr>
                </xdr:nvCxnSpPr>
                <xdr:spPr>
                  <a:xfrm flipH="1">
                    <a:off x="3655636" y="21278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8" name="Straight Connector 97">
                    <a:extLst>
                      <a:ext uri="{FF2B5EF4-FFF2-40B4-BE49-F238E27FC236}">
                        <a16:creationId xmlns:a16="http://schemas.microsoft.com/office/drawing/2014/main" id="{00000000-0008-0000-0300-000062000000}"/>
                      </a:ext>
                    </a:extLst>
                  </xdr:cNvPr>
                  <xdr:cNvCxnSpPr>
                    <a:cxnSpLocks/>
                  </xdr:cNvCxnSpPr>
                </xdr:nvCxnSpPr>
                <xdr:spPr>
                  <a:xfrm flipH="1">
                    <a:off x="3825814" y="21605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9" name="Straight Connector 98">
                    <a:extLst>
                      <a:ext uri="{FF2B5EF4-FFF2-40B4-BE49-F238E27FC236}">
                        <a16:creationId xmlns:a16="http://schemas.microsoft.com/office/drawing/2014/main" id="{00000000-0008-0000-0300-000063000000}"/>
                      </a:ext>
                    </a:extLst>
                  </xdr:cNvPr>
                  <xdr:cNvCxnSpPr>
                    <a:cxnSpLocks/>
                  </xdr:cNvCxnSpPr>
                </xdr:nvCxnSpPr>
                <xdr:spPr>
                  <a:xfrm flipH="1">
                    <a:off x="4092621" y="2146659"/>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0" name="Straight Connector 99">
                    <a:extLst>
                      <a:ext uri="{FF2B5EF4-FFF2-40B4-BE49-F238E27FC236}">
                        <a16:creationId xmlns:a16="http://schemas.microsoft.com/office/drawing/2014/main" id="{00000000-0008-0000-0300-000064000000}"/>
                      </a:ext>
                    </a:extLst>
                  </xdr:cNvPr>
                  <xdr:cNvCxnSpPr>
                    <a:cxnSpLocks/>
                  </xdr:cNvCxnSpPr>
                </xdr:nvCxnSpPr>
                <xdr:spPr>
                  <a:xfrm flipH="1">
                    <a:off x="4285893" y="21247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1" name="Straight Connector 100">
                    <a:extLst>
                      <a:ext uri="{FF2B5EF4-FFF2-40B4-BE49-F238E27FC236}">
                        <a16:creationId xmlns:a16="http://schemas.microsoft.com/office/drawing/2014/main" id="{00000000-0008-0000-0300-000065000000}"/>
                      </a:ext>
                    </a:extLst>
                  </xdr:cNvPr>
                  <xdr:cNvCxnSpPr>
                    <a:cxnSpLocks/>
                  </xdr:cNvCxnSpPr>
                </xdr:nvCxnSpPr>
                <xdr:spPr>
                  <a:xfrm flipH="1">
                    <a:off x="4444250" y="21741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2" name="Straight Connector 101">
                    <a:extLst>
                      <a:ext uri="{FF2B5EF4-FFF2-40B4-BE49-F238E27FC236}">
                        <a16:creationId xmlns:a16="http://schemas.microsoft.com/office/drawing/2014/main" id="{00000000-0008-0000-0300-000066000000}"/>
                      </a:ext>
                    </a:extLst>
                  </xdr:cNvPr>
                  <xdr:cNvCxnSpPr>
                    <a:cxnSpLocks/>
                  </xdr:cNvCxnSpPr>
                </xdr:nvCxnSpPr>
                <xdr:spPr>
                  <a:xfrm flipH="1">
                    <a:off x="4608595" y="21402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3" name="Straight Connector 102">
                    <a:extLst>
                      <a:ext uri="{FF2B5EF4-FFF2-40B4-BE49-F238E27FC236}">
                        <a16:creationId xmlns:a16="http://schemas.microsoft.com/office/drawing/2014/main" id="{00000000-0008-0000-0300-000067000000}"/>
                      </a:ext>
                    </a:extLst>
                  </xdr:cNvPr>
                  <xdr:cNvCxnSpPr>
                    <a:cxnSpLocks/>
                  </xdr:cNvCxnSpPr>
                </xdr:nvCxnSpPr>
                <xdr:spPr>
                  <a:xfrm flipH="1">
                    <a:off x="4778773" y="21729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4" name="Straight Connector 103">
                    <a:extLst>
                      <a:ext uri="{FF2B5EF4-FFF2-40B4-BE49-F238E27FC236}">
                        <a16:creationId xmlns:a16="http://schemas.microsoft.com/office/drawing/2014/main" id="{00000000-0008-0000-0300-000068000000}"/>
                      </a:ext>
                    </a:extLst>
                  </xdr:cNvPr>
                  <xdr:cNvCxnSpPr>
                    <a:cxnSpLocks/>
                  </xdr:cNvCxnSpPr>
                </xdr:nvCxnSpPr>
                <xdr:spPr>
                  <a:xfrm flipH="1">
                    <a:off x="4974509" y="21840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5" name="Straight Connector 104">
                    <a:extLst>
                      <a:ext uri="{FF2B5EF4-FFF2-40B4-BE49-F238E27FC236}">
                        <a16:creationId xmlns:a16="http://schemas.microsoft.com/office/drawing/2014/main" id="{00000000-0008-0000-0300-000069000000}"/>
                      </a:ext>
                    </a:extLst>
                  </xdr:cNvPr>
                  <xdr:cNvCxnSpPr>
                    <a:cxnSpLocks/>
                  </xdr:cNvCxnSpPr>
                </xdr:nvCxnSpPr>
                <xdr:spPr>
                  <a:xfrm flipH="1">
                    <a:off x="3987963" y="20707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6" name="Straight Connector 105">
                    <a:extLst>
                      <a:ext uri="{FF2B5EF4-FFF2-40B4-BE49-F238E27FC236}">
                        <a16:creationId xmlns:a16="http://schemas.microsoft.com/office/drawing/2014/main" id="{00000000-0008-0000-0300-00006A000000}"/>
                      </a:ext>
                    </a:extLst>
                  </xdr:cNvPr>
                  <xdr:cNvCxnSpPr>
                    <a:cxnSpLocks/>
                  </xdr:cNvCxnSpPr>
                </xdr:nvCxnSpPr>
                <xdr:spPr>
                  <a:xfrm flipH="1">
                    <a:off x="3224917" y="211167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7" name="Straight Connector 106">
                    <a:extLst>
                      <a:ext uri="{FF2B5EF4-FFF2-40B4-BE49-F238E27FC236}">
                        <a16:creationId xmlns:a16="http://schemas.microsoft.com/office/drawing/2014/main" id="{00000000-0008-0000-0300-00006B000000}"/>
                      </a:ext>
                    </a:extLst>
                  </xdr:cNvPr>
                  <xdr:cNvCxnSpPr>
                    <a:cxnSpLocks/>
                  </xdr:cNvCxnSpPr>
                </xdr:nvCxnSpPr>
                <xdr:spPr>
                  <a:xfrm flipH="1">
                    <a:off x="3284412" y="225723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8" name="Straight Connector 107">
                    <a:extLst>
                      <a:ext uri="{FF2B5EF4-FFF2-40B4-BE49-F238E27FC236}">
                        <a16:creationId xmlns:a16="http://schemas.microsoft.com/office/drawing/2014/main" id="{00000000-0008-0000-0300-00006C000000}"/>
                      </a:ext>
                    </a:extLst>
                  </xdr:cNvPr>
                  <xdr:cNvCxnSpPr>
                    <a:cxnSpLocks/>
                  </xdr:cNvCxnSpPr>
                </xdr:nvCxnSpPr>
                <xdr:spPr>
                  <a:xfrm flipH="1">
                    <a:off x="3442769" y="23066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9" name="Straight Connector 108">
                    <a:extLst>
                      <a:ext uri="{FF2B5EF4-FFF2-40B4-BE49-F238E27FC236}">
                        <a16:creationId xmlns:a16="http://schemas.microsoft.com/office/drawing/2014/main" id="{00000000-0008-0000-0300-00006D000000}"/>
                      </a:ext>
                    </a:extLst>
                  </xdr:cNvPr>
                  <xdr:cNvCxnSpPr>
                    <a:cxnSpLocks/>
                  </xdr:cNvCxnSpPr>
                </xdr:nvCxnSpPr>
                <xdr:spPr>
                  <a:xfrm flipH="1">
                    <a:off x="3607114" y="22727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0" name="Straight Connector 109">
                    <a:extLst>
                      <a:ext uri="{FF2B5EF4-FFF2-40B4-BE49-F238E27FC236}">
                        <a16:creationId xmlns:a16="http://schemas.microsoft.com/office/drawing/2014/main" id="{00000000-0008-0000-0300-00006E000000}"/>
                      </a:ext>
                    </a:extLst>
                  </xdr:cNvPr>
                  <xdr:cNvCxnSpPr>
                    <a:cxnSpLocks/>
                  </xdr:cNvCxnSpPr>
                </xdr:nvCxnSpPr>
                <xdr:spPr>
                  <a:xfrm flipH="1">
                    <a:off x="3777292" y="230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1" name="Straight Connector 110">
                    <a:extLst>
                      <a:ext uri="{FF2B5EF4-FFF2-40B4-BE49-F238E27FC236}">
                        <a16:creationId xmlns:a16="http://schemas.microsoft.com/office/drawing/2014/main" id="{00000000-0008-0000-0300-00006F000000}"/>
                      </a:ext>
                    </a:extLst>
                  </xdr:cNvPr>
                  <xdr:cNvCxnSpPr>
                    <a:cxnSpLocks/>
                  </xdr:cNvCxnSpPr>
                </xdr:nvCxnSpPr>
                <xdr:spPr>
                  <a:xfrm flipH="1">
                    <a:off x="3998756" y="231647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2" name="Straight Connector 111">
                    <a:extLst>
                      <a:ext uri="{FF2B5EF4-FFF2-40B4-BE49-F238E27FC236}">
                        <a16:creationId xmlns:a16="http://schemas.microsoft.com/office/drawing/2014/main" id="{00000000-0008-0000-0300-000070000000}"/>
                      </a:ext>
                    </a:extLst>
                  </xdr:cNvPr>
                  <xdr:cNvCxnSpPr>
                    <a:cxnSpLocks/>
                  </xdr:cNvCxnSpPr>
                </xdr:nvCxnSpPr>
                <xdr:spPr>
                  <a:xfrm flipH="1">
                    <a:off x="4237371" y="2269682"/>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3" name="Straight Connector 112">
                    <a:extLst>
                      <a:ext uri="{FF2B5EF4-FFF2-40B4-BE49-F238E27FC236}">
                        <a16:creationId xmlns:a16="http://schemas.microsoft.com/office/drawing/2014/main" id="{00000000-0008-0000-0300-000071000000}"/>
                      </a:ext>
                    </a:extLst>
                  </xdr:cNvPr>
                  <xdr:cNvCxnSpPr>
                    <a:cxnSpLocks/>
                  </xdr:cNvCxnSpPr>
                </xdr:nvCxnSpPr>
                <xdr:spPr>
                  <a:xfrm flipH="1">
                    <a:off x="3110943" y="21096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4" name="Straight Connector 113">
                    <a:extLst>
                      <a:ext uri="{FF2B5EF4-FFF2-40B4-BE49-F238E27FC236}">
                        <a16:creationId xmlns:a16="http://schemas.microsoft.com/office/drawing/2014/main" id="{00000000-0008-0000-0300-000072000000}"/>
                      </a:ext>
                    </a:extLst>
                  </xdr:cNvPr>
                  <xdr:cNvCxnSpPr>
                    <a:cxnSpLocks/>
                  </xdr:cNvCxnSpPr>
                </xdr:nvCxnSpPr>
                <xdr:spPr>
                  <a:xfrm flipH="1">
                    <a:off x="4560073" y="228517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5" name="Straight Connector 114">
                    <a:extLst>
                      <a:ext uri="{FF2B5EF4-FFF2-40B4-BE49-F238E27FC236}">
                        <a16:creationId xmlns:a16="http://schemas.microsoft.com/office/drawing/2014/main" id="{00000000-0008-0000-0300-000073000000}"/>
                      </a:ext>
                    </a:extLst>
                  </xdr:cNvPr>
                  <xdr:cNvCxnSpPr>
                    <a:cxnSpLocks/>
                  </xdr:cNvCxnSpPr>
                </xdr:nvCxnSpPr>
                <xdr:spPr>
                  <a:xfrm flipH="1">
                    <a:off x="4730251" y="231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6" name="Straight Connector 115">
                    <a:extLst>
                      <a:ext uri="{FF2B5EF4-FFF2-40B4-BE49-F238E27FC236}">
                        <a16:creationId xmlns:a16="http://schemas.microsoft.com/office/drawing/2014/main" id="{00000000-0008-0000-0300-000074000000}"/>
                      </a:ext>
                    </a:extLst>
                  </xdr:cNvPr>
                  <xdr:cNvCxnSpPr>
                    <a:cxnSpLocks/>
                  </xdr:cNvCxnSpPr>
                </xdr:nvCxnSpPr>
                <xdr:spPr>
                  <a:xfrm flipH="1">
                    <a:off x="4925987" y="2328927"/>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7" name="Straight Connector 116">
                    <a:extLst>
                      <a:ext uri="{FF2B5EF4-FFF2-40B4-BE49-F238E27FC236}">
                        <a16:creationId xmlns:a16="http://schemas.microsoft.com/office/drawing/2014/main" id="{00000000-0008-0000-0300-000075000000}"/>
                      </a:ext>
                    </a:extLst>
                  </xdr:cNvPr>
                  <xdr:cNvCxnSpPr>
                    <a:cxnSpLocks/>
                  </xdr:cNvCxnSpPr>
                </xdr:nvCxnSpPr>
                <xdr:spPr>
                  <a:xfrm flipH="1">
                    <a:off x="3176395" y="22565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8" name="Straight Connector 117">
                    <a:extLst>
                      <a:ext uri="{FF2B5EF4-FFF2-40B4-BE49-F238E27FC236}">
                        <a16:creationId xmlns:a16="http://schemas.microsoft.com/office/drawing/2014/main" id="{00000000-0008-0000-0300-000076000000}"/>
                      </a:ext>
                    </a:extLst>
                  </xdr:cNvPr>
                  <xdr:cNvCxnSpPr>
                    <a:cxnSpLocks/>
                  </xdr:cNvCxnSpPr>
                </xdr:nvCxnSpPr>
                <xdr:spPr>
                  <a:xfrm flipH="1">
                    <a:off x="5017512" y="203546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9" name="Straight Connector 118">
                    <a:extLst>
                      <a:ext uri="{FF2B5EF4-FFF2-40B4-BE49-F238E27FC236}">
                        <a16:creationId xmlns:a16="http://schemas.microsoft.com/office/drawing/2014/main" id="{00000000-0008-0000-0300-000077000000}"/>
                      </a:ext>
                    </a:extLst>
                  </xdr:cNvPr>
                  <xdr:cNvCxnSpPr>
                    <a:cxnSpLocks/>
                  </xdr:cNvCxnSpPr>
                </xdr:nvCxnSpPr>
                <xdr:spPr>
                  <a:xfrm flipH="1">
                    <a:off x="4438293" y="22771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0" name="Straight Connector 119">
                    <a:extLst>
                      <a:ext uri="{FF2B5EF4-FFF2-40B4-BE49-F238E27FC236}">
                        <a16:creationId xmlns:a16="http://schemas.microsoft.com/office/drawing/2014/main" id="{00000000-0008-0000-0300-000078000000}"/>
                      </a:ext>
                    </a:extLst>
                  </xdr:cNvPr>
                  <xdr:cNvCxnSpPr>
                    <a:cxnSpLocks/>
                  </xdr:cNvCxnSpPr>
                </xdr:nvCxnSpPr>
                <xdr:spPr>
                  <a:xfrm flipH="1">
                    <a:off x="3127371" y="24007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1" name="Straight Connector 120">
                    <a:extLst>
                      <a:ext uri="{FF2B5EF4-FFF2-40B4-BE49-F238E27FC236}">
                        <a16:creationId xmlns:a16="http://schemas.microsoft.com/office/drawing/2014/main" id="{00000000-0008-0000-0300-000079000000}"/>
                      </a:ext>
                    </a:extLst>
                  </xdr:cNvPr>
                  <xdr:cNvCxnSpPr>
                    <a:cxnSpLocks/>
                  </xdr:cNvCxnSpPr>
                </xdr:nvCxnSpPr>
                <xdr:spPr>
                  <a:xfrm flipH="1">
                    <a:off x="3285728" y="24501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2" name="Straight Connector 121">
                    <a:extLst>
                      <a:ext uri="{FF2B5EF4-FFF2-40B4-BE49-F238E27FC236}">
                        <a16:creationId xmlns:a16="http://schemas.microsoft.com/office/drawing/2014/main" id="{00000000-0008-0000-0300-00007A000000}"/>
                      </a:ext>
                    </a:extLst>
                  </xdr:cNvPr>
                  <xdr:cNvCxnSpPr>
                    <a:cxnSpLocks/>
                  </xdr:cNvCxnSpPr>
                </xdr:nvCxnSpPr>
                <xdr:spPr>
                  <a:xfrm flipH="1">
                    <a:off x="3450073" y="241623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3" name="Straight Connector 122">
                    <a:extLst>
                      <a:ext uri="{FF2B5EF4-FFF2-40B4-BE49-F238E27FC236}">
                        <a16:creationId xmlns:a16="http://schemas.microsoft.com/office/drawing/2014/main" id="{00000000-0008-0000-0300-00007B000000}"/>
                      </a:ext>
                    </a:extLst>
                  </xdr:cNvPr>
                  <xdr:cNvCxnSpPr>
                    <a:cxnSpLocks/>
                  </xdr:cNvCxnSpPr>
                </xdr:nvCxnSpPr>
                <xdr:spPr>
                  <a:xfrm flipH="1">
                    <a:off x="3620251" y="244893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4" name="Straight Connector 123">
                    <a:extLst>
                      <a:ext uri="{FF2B5EF4-FFF2-40B4-BE49-F238E27FC236}">
                        <a16:creationId xmlns:a16="http://schemas.microsoft.com/office/drawing/2014/main" id="{00000000-0008-0000-0300-00007C000000}"/>
                      </a:ext>
                    </a:extLst>
                  </xdr:cNvPr>
                  <xdr:cNvCxnSpPr>
                    <a:cxnSpLocks/>
                  </xdr:cNvCxnSpPr>
                </xdr:nvCxnSpPr>
                <xdr:spPr>
                  <a:xfrm flipH="1">
                    <a:off x="3841715" y="245999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5" name="Straight Connector 124">
                    <a:extLst>
                      <a:ext uri="{FF2B5EF4-FFF2-40B4-BE49-F238E27FC236}">
                        <a16:creationId xmlns:a16="http://schemas.microsoft.com/office/drawing/2014/main" id="{00000000-0008-0000-0300-00007D000000}"/>
                      </a:ext>
                    </a:extLst>
                  </xdr:cNvPr>
                  <xdr:cNvCxnSpPr>
                    <a:cxnSpLocks/>
                  </xdr:cNvCxnSpPr>
                </xdr:nvCxnSpPr>
                <xdr:spPr>
                  <a:xfrm flipH="1">
                    <a:off x="4080330" y="241320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6" name="Straight Connector 125">
                    <a:extLst>
                      <a:ext uri="{FF2B5EF4-FFF2-40B4-BE49-F238E27FC236}">
                        <a16:creationId xmlns:a16="http://schemas.microsoft.com/office/drawing/2014/main" id="{00000000-0008-0000-0300-00007E000000}"/>
                      </a:ext>
                    </a:extLst>
                  </xdr:cNvPr>
                  <xdr:cNvCxnSpPr>
                    <a:cxnSpLocks/>
                  </xdr:cNvCxnSpPr>
                </xdr:nvCxnSpPr>
                <xdr:spPr>
                  <a:xfrm flipH="1">
                    <a:off x="4238687" y="24626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7" name="Straight Connector 126">
                    <a:extLst>
                      <a:ext uri="{FF2B5EF4-FFF2-40B4-BE49-F238E27FC236}">
                        <a16:creationId xmlns:a16="http://schemas.microsoft.com/office/drawing/2014/main" id="{00000000-0008-0000-0300-00007F000000}"/>
                      </a:ext>
                    </a:extLst>
                  </xdr:cNvPr>
                  <xdr:cNvCxnSpPr>
                    <a:cxnSpLocks/>
                  </xdr:cNvCxnSpPr>
                </xdr:nvCxnSpPr>
                <xdr:spPr>
                  <a:xfrm flipH="1">
                    <a:off x="4403032" y="242868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8" name="Straight Connector 127">
                    <a:extLst>
                      <a:ext uri="{FF2B5EF4-FFF2-40B4-BE49-F238E27FC236}">
                        <a16:creationId xmlns:a16="http://schemas.microsoft.com/office/drawing/2014/main" id="{00000000-0008-0000-0300-000080000000}"/>
                      </a:ext>
                    </a:extLst>
                  </xdr:cNvPr>
                  <xdr:cNvCxnSpPr>
                    <a:cxnSpLocks/>
                  </xdr:cNvCxnSpPr>
                </xdr:nvCxnSpPr>
                <xdr:spPr>
                  <a:xfrm flipH="1">
                    <a:off x="4573210" y="246138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9" name="Straight Connector 128">
                    <a:extLst>
                      <a:ext uri="{FF2B5EF4-FFF2-40B4-BE49-F238E27FC236}">
                        <a16:creationId xmlns:a16="http://schemas.microsoft.com/office/drawing/2014/main" id="{00000000-0008-0000-0300-000081000000}"/>
                      </a:ext>
                    </a:extLst>
                  </xdr:cNvPr>
                  <xdr:cNvCxnSpPr>
                    <a:cxnSpLocks/>
                  </xdr:cNvCxnSpPr>
                </xdr:nvCxnSpPr>
                <xdr:spPr>
                  <a:xfrm flipH="1">
                    <a:off x="3019354" y="24000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30" name="Straight Connector 129">
                    <a:extLst>
                      <a:ext uri="{FF2B5EF4-FFF2-40B4-BE49-F238E27FC236}">
                        <a16:creationId xmlns:a16="http://schemas.microsoft.com/office/drawing/2014/main" id="{00000000-0008-0000-0300-000082000000}"/>
                      </a:ext>
                    </a:extLst>
                  </xdr:cNvPr>
                  <xdr:cNvCxnSpPr>
                    <a:cxnSpLocks/>
                  </xdr:cNvCxnSpPr>
                </xdr:nvCxnSpPr>
                <xdr:spPr>
                  <a:xfrm flipH="1">
                    <a:off x="4711997" y="245718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31" name="Straight Connector 130">
                    <a:extLst>
                      <a:ext uri="{FF2B5EF4-FFF2-40B4-BE49-F238E27FC236}">
                        <a16:creationId xmlns:a16="http://schemas.microsoft.com/office/drawing/2014/main" id="{00000000-0008-0000-0300-000083000000}"/>
                      </a:ext>
                    </a:extLst>
                  </xdr:cNvPr>
                  <xdr:cNvCxnSpPr>
                    <a:cxnSpLocks/>
                  </xdr:cNvCxnSpPr>
                </xdr:nvCxnSpPr>
                <xdr:spPr>
                  <a:xfrm flipH="1">
                    <a:off x="4907733" y="246824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cxnSp macro="">
              <xdr:nvCxnSpPr>
                <xdr:cNvPr id="80" name="Straight Connector 79">
                  <a:extLst>
                    <a:ext uri="{FF2B5EF4-FFF2-40B4-BE49-F238E27FC236}">
                      <a16:creationId xmlns:a16="http://schemas.microsoft.com/office/drawing/2014/main" id="{00000000-0008-0000-0300-000050000000}"/>
                    </a:ext>
                  </a:extLst>
                </xdr:cNvPr>
                <xdr:cNvCxnSpPr>
                  <a:cxnSpLocks/>
                </xdr:cNvCxnSpPr>
              </xdr:nvCxnSpPr>
              <xdr:spPr>
                <a:xfrm>
                  <a:off x="2094127" y="249615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1" name="Straight Connector 80">
                  <a:extLst>
                    <a:ext uri="{FF2B5EF4-FFF2-40B4-BE49-F238E27FC236}">
                      <a16:creationId xmlns:a16="http://schemas.microsoft.com/office/drawing/2014/main" id="{00000000-0008-0000-0300-000051000000}"/>
                    </a:ext>
                  </a:extLst>
                </xdr:cNvPr>
                <xdr:cNvCxnSpPr>
                  <a:cxnSpLocks/>
                </xdr:cNvCxnSpPr>
              </xdr:nvCxnSpPr>
              <xdr:spPr>
                <a:xfrm>
                  <a:off x="1891423" y="246222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2" name="Straight Connector 81">
                  <a:extLst>
                    <a:ext uri="{FF2B5EF4-FFF2-40B4-BE49-F238E27FC236}">
                      <a16:creationId xmlns:a16="http://schemas.microsoft.com/office/drawing/2014/main" id="{00000000-0008-0000-0300-000052000000}"/>
                    </a:ext>
                  </a:extLst>
                </xdr:cNvPr>
                <xdr:cNvCxnSpPr>
                  <a:cxnSpLocks/>
                </xdr:cNvCxnSpPr>
              </xdr:nvCxnSpPr>
              <xdr:spPr>
                <a:xfrm>
                  <a:off x="1681525" y="2494921"/>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3" name="Straight Connector 82">
                  <a:extLst>
                    <a:ext uri="{FF2B5EF4-FFF2-40B4-BE49-F238E27FC236}">
                      <a16:creationId xmlns:a16="http://schemas.microsoft.com/office/drawing/2014/main" id="{00000000-0008-0000-0300-000053000000}"/>
                    </a:ext>
                  </a:extLst>
                </xdr:cNvPr>
                <xdr:cNvCxnSpPr>
                  <a:cxnSpLocks/>
                </xdr:cNvCxnSpPr>
              </xdr:nvCxnSpPr>
              <xdr:spPr>
                <a:xfrm>
                  <a:off x="1510345" y="2490716"/>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4" name="Straight Connector 83">
                  <a:extLst>
                    <a:ext uri="{FF2B5EF4-FFF2-40B4-BE49-F238E27FC236}">
                      <a16:creationId xmlns:a16="http://schemas.microsoft.com/office/drawing/2014/main" id="{00000000-0008-0000-0300-000054000000}"/>
                    </a:ext>
                  </a:extLst>
                </xdr:cNvPr>
                <xdr:cNvCxnSpPr>
                  <a:cxnSpLocks/>
                </xdr:cNvCxnSpPr>
              </xdr:nvCxnSpPr>
              <xdr:spPr>
                <a:xfrm>
                  <a:off x="1268924" y="25017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sp macro="" textlink="">
            <xdr:nvSpPr>
              <xdr:cNvPr id="53" name="TextBox 75">
                <a:extLst>
                  <a:ext uri="{FF2B5EF4-FFF2-40B4-BE49-F238E27FC236}">
                    <a16:creationId xmlns:a16="http://schemas.microsoft.com/office/drawing/2014/main" id="{00000000-0008-0000-0300-000035000000}"/>
                  </a:ext>
                </a:extLst>
              </xdr:cNvPr>
              <xdr:cNvSpPr txBox="1"/>
            </xdr:nvSpPr>
            <xdr:spPr>
              <a:xfrm>
                <a:off x="10022251" y="1309410"/>
                <a:ext cx="1246654"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precipitation</a:t>
                </a:r>
                <a:endParaRPr lang="en-US" sz="1050" b="1">
                  <a:latin typeface="Arial" panose="020B0604020202020204" pitchFamily="34" charset="0"/>
                  <a:cs typeface="Arial" panose="020B0604020202020204" pitchFamily="34" charset="0"/>
                </a:endParaRPr>
              </a:p>
            </xdr:txBody>
          </xdr:sp>
          <xdr:cxnSp macro="">
            <xdr:nvCxnSpPr>
              <xdr:cNvPr id="54" name="Straight Arrow Connector 53">
                <a:extLst>
                  <a:ext uri="{FF2B5EF4-FFF2-40B4-BE49-F238E27FC236}">
                    <a16:creationId xmlns:a16="http://schemas.microsoft.com/office/drawing/2014/main" id="{00000000-0008-0000-0300-000036000000}"/>
                  </a:ext>
                </a:extLst>
              </xdr:cNvPr>
              <xdr:cNvCxnSpPr/>
            </xdr:nvCxnSpPr>
            <xdr:spPr>
              <a:xfrm>
                <a:off x="11576389" y="2930448"/>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5" name="Straight Arrow Connector 54">
                <a:extLst>
                  <a:ext uri="{FF2B5EF4-FFF2-40B4-BE49-F238E27FC236}">
                    <a16:creationId xmlns:a16="http://schemas.microsoft.com/office/drawing/2014/main" id="{00000000-0008-0000-0300-000037000000}"/>
                  </a:ext>
                </a:extLst>
              </xdr:cNvPr>
              <xdr:cNvCxnSpPr>
                <a:cxnSpLocks/>
              </xdr:cNvCxnSpPr>
            </xdr:nvCxnSpPr>
            <xdr:spPr>
              <a:xfrm>
                <a:off x="10250903" y="2610042"/>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6" name="TextBox 78">
                <a:extLst>
                  <a:ext uri="{FF2B5EF4-FFF2-40B4-BE49-F238E27FC236}">
                    <a16:creationId xmlns:a16="http://schemas.microsoft.com/office/drawing/2014/main" id="{00000000-0008-0000-0300-000038000000}"/>
                  </a:ext>
                </a:extLst>
              </xdr:cNvPr>
              <xdr:cNvSpPr txBox="1"/>
            </xdr:nvSpPr>
            <xdr:spPr>
              <a:xfrm>
                <a:off x="11297436" y="2655213"/>
                <a:ext cx="644239"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2">
                        <a:lumMod val="50000"/>
                      </a:schemeClr>
                    </a:solidFill>
                    <a:effectLst>
                      <a:innerShdw blurRad="317500" dist="50800" dir="16200000">
                        <a:schemeClr val="tx1">
                          <a:alpha val="70000"/>
                        </a:schemeClr>
                      </a:innerShdw>
                    </a:effectLst>
                    <a:latin typeface="Arial" panose="020B0604020202020204" pitchFamily="34" charset="0"/>
                    <a:cs typeface="Arial" panose="020B0604020202020204" pitchFamily="34" charset="0"/>
                  </a:rPr>
                  <a:t>PFAS</a:t>
                </a:r>
              </a:p>
              <a:p>
                <a:endParaRPr lang="en-US" sz="1200" b="1">
                  <a:latin typeface="Arial" panose="020B0604020202020204" pitchFamily="34" charset="0"/>
                  <a:cs typeface="Arial" panose="020B0604020202020204" pitchFamily="34" charset="0"/>
                </a:endParaRPr>
              </a:p>
            </xdr:txBody>
          </xdr:sp>
          <xdr:cxnSp macro="">
            <xdr:nvCxnSpPr>
              <xdr:cNvPr id="57" name="Straight Arrow Connector 56">
                <a:extLst>
                  <a:ext uri="{FF2B5EF4-FFF2-40B4-BE49-F238E27FC236}">
                    <a16:creationId xmlns:a16="http://schemas.microsoft.com/office/drawing/2014/main" id="{00000000-0008-0000-0300-000039000000}"/>
                  </a:ext>
                </a:extLst>
              </xdr:cNvPr>
              <xdr:cNvCxnSpPr/>
            </xdr:nvCxnSpPr>
            <xdr:spPr>
              <a:xfrm>
                <a:off x="11575338" y="4387140"/>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8" name="TextBox 80">
                <a:extLst>
                  <a:ext uri="{FF2B5EF4-FFF2-40B4-BE49-F238E27FC236}">
                    <a16:creationId xmlns:a16="http://schemas.microsoft.com/office/drawing/2014/main" id="{00000000-0008-0000-0300-00003A000000}"/>
                  </a:ext>
                </a:extLst>
              </xdr:cNvPr>
              <xdr:cNvSpPr txBox="1"/>
            </xdr:nvSpPr>
            <xdr:spPr>
              <a:xfrm>
                <a:off x="11304270" y="3925475"/>
                <a:ext cx="644239"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2">
                        <a:lumMod val="50000"/>
                      </a:schemeClr>
                    </a:solidFill>
                    <a:latin typeface="Arial" panose="020B0604020202020204" pitchFamily="34" charset="0"/>
                    <a:cs typeface="Arial" panose="020B0604020202020204" pitchFamily="34" charset="0"/>
                  </a:rPr>
                  <a:t>PFAS</a:t>
                </a:r>
              </a:p>
              <a:p>
                <a:endParaRPr lang="en-US" sz="1200" b="1">
                  <a:latin typeface="Arial" panose="020B0604020202020204" pitchFamily="34" charset="0"/>
                  <a:cs typeface="Arial" panose="020B0604020202020204" pitchFamily="34" charset="0"/>
                </a:endParaRPr>
              </a:p>
            </xdr:txBody>
          </xdr:sp>
          <xdr:sp macro="" textlink="">
            <xdr:nvSpPr>
              <xdr:cNvPr id="59" name="TextBox 81">
                <a:extLst>
                  <a:ext uri="{FF2B5EF4-FFF2-40B4-BE49-F238E27FC236}">
                    <a16:creationId xmlns:a16="http://schemas.microsoft.com/office/drawing/2014/main" id="{00000000-0008-0000-0300-00003B000000}"/>
                  </a:ext>
                </a:extLst>
              </xdr:cNvPr>
              <xdr:cNvSpPr txBox="1"/>
            </xdr:nvSpPr>
            <xdr:spPr>
              <a:xfrm>
                <a:off x="13526699" y="2921972"/>
                <a:ext cx="351828" cy="2368642"/>
              </a:xfrm>
              <a:prstGeom prst="rect">
                <a:avLst/>
              </a:prstGeom>
              <a:noFill/>
            </xdr:spPr>
            <xdr:txBody>
              <a:bodyPr vert="wordArtVert"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000">
                  <a:latin typeface="Arial" panose="020B0604020202020204" pitchFamily="34" charset="0"/>
                  <a:cs typeface="Arial" panose="020B0604020202020204" pitchFamily="34" charset="0"/>
                </a:endParaRPr>
              </a:p>
            </xdr:txBody>
          </xdr:sp>
          <xdr:sp macro="" textlink="">
            <xdr:nvSpPr>
              <xdr:cNvPr id="60" name="TextBox 82">
                <a:extLst>
                  <a:ext uri="{FF2B5EF4-FFF2-40B4-BE49-F238E27FC236}">
                    <a16:creationId xmlns:a16="http://schemas.microsoft.com/office/drawing/2014/main" id="{00000000-0008-0000-0300-00003C000000}"/>
                  </a:ext>
                </a:extLst>
              </xdr:cNvPr>
              <xdr:cNvSpPr txBox="1"/>
            </xdr:nvSpPr>
            <xdr:spPr>
              <a:xfrm>
                <a:off x="9297732" y="2711023"/>
                <a:ext cx="1128713"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1"/>
                    </a:solidFill>
                    <a:latin typeface="Arial" panose="020B0604020202020204" pitchFamily="34" charset="0"/>
                    <a:cs typeface="Arial" panose="020B0604020202020204" pitchFamily="34" charset="0"/>
                  </a:rPr>
                  <a:t>infiltration</a:t>
                </a:r>
              </a:p>
            </xdr:txBody>
          </xdr:sp>
          <xdr:cxnSp macro="">
            <xdr:nvCxnSpPr>
              <xdr:cNvPr id="61" name="Straight Arrow Connector 60">
                <a:extLst>
                  <a:ext uri="{FF2B5EF4-FFF2-40B4-BE49-F238E27FC236}">
                    <a16:creationId xmlns:a16="http://schemas.microsoft.com/office/drawing/2014/main" id="{00000000-0008-0000-0300-00003D000000}"/>
                  </a:ext>
                </a:extLst>
              </xdr:cNvPr>
              <xdr:cNvCxnSpPr>
                <a:cxnSpLocks/>
              </xdr:cNvCxnSpPr>
            </xdr:nvCxnSpPr>
            <xdr:spPr>
              <a:xfrm>
                <a:off x="11099629" y="2626856"/>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2" name="Straight Arrow Connector 61">
                <a:extLst>
                  <a:ext uri="{FF2B5EF4-FFF2-40B4-BE49-F238E27FC236}">
                    <a16:creationId xmlns:a16="http://schemas.microsoft.com/office/drawing/2014/main" id="{00000000-0008-0000-0300-00003E000000}"/>
                  </a:ext>
                </a:extLst>
              </xdr:cNvPr>
              <xdr:cNvCxnSpPr>
                <a:cxnSpLocks/>
              </xdr:cNvCxnSpPr>
            </xdr:nvCxnSpPr>
            <xdr:spPr>
              <a:xfrm>
                <a:off x="12063084" y="2622515"/>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3" name="Straight Arrow Connector 62">
                <a:extLst>
                  <a:ext uri="{FF2B5EF4-FFF2-40B4-BE49-F238E27FC236}">
                    <a16:creationId xmlns:a16="http://schemas.microsoft.com/office/drawing/2014/main" id="{00000000-0008-0000-0300-00003F000000}"/>
                  </a:ext>
                </a:extLst>
              </xdr:cNvPr>
              <xdr:cNvCxnSpPr>
                <a:cxnSpLocks/>
              </xdr:cNvCxnSpPr>
            </xdr:nvCxnSpPr>
            <xdr:spPr>
              <a:xfrm>
                <a:off x="13650102" y="2610042"/>
                <a:ext cx="8928" cy="1458728"/>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64" name="Group 63">
                <a:extLst>
                  <a:ext uri="{FF2B5EF4-FFF2-40B4-BE49-F238E27FC236}">
                    <a16:creationId xmlns:a16="http://schemas.microsoft.com/office/drawing/2014/main" id="{00000000-0008-0000-0300-000040000000}"/>
                  </a:ext>
                </a:extLst>
              </xdr:cNvPr>
              <xdr:cNvGrpSpPr/>
            </xdr:nvGrpSpPr>
            <xdr:grpSpPr>
              <a:xfrm>
                <a:off x="13502170" y="3100282"/>
                <a:ext cx="318605" cy="338554"/>
                <a:chOff x="5257800" y="5902848"/>
                <a:chExt cx="318605" cy="338554"/>
              </a:xfrm>
            </xdr:grpSpPr>
            <xdr:sp macro="" textlink="">
              <xdr:nvSpPr>
                <xdr:cNvPr id="77" name="Rectangle 76">
                  <a:extLst>
                    <a:ext uri="{FF2B5EF4-FFF2-40B4-BE49-F238E27FC236}">
                      <a16:creationId xmlns:a16="http://schemas.microsoft.com/office/drawing/2014/main" id="{00000000-0008-0000-0300-00004D000000}"/>
                    </a:ext>
                  </a:extLst>
                </xdr:cNvPr>
                <xdr:cNvSpPr/>
              </xdr:nvSpPr>
              <xdr:spPr>
                <a:xfrm>
                  <a:off x="5311930" y="5955333"/>
                  <a:ext cx="193292" cy="24622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78" name="TextBox 88">
                  <a:extLst>
                    <a:ext uri="{FF2B5EF4-FFF2-40B4-BE49-F238E27FC236}">
                      <a16:creationId xmlns:a16="http://schemas.microsoft.com/office/drawing/2014/main" id="{00000000-0008-0000-0300-00004E000000}"/>
                    </a:ext>
                  </a:extLst>
                </xdr:cNvPr>
                <xdr:cNvSpPr txBox="1"/>
              </xdr:nvSpPr>
              <xdr:spPr>
                <a:xfrm>
                  <a:off x="5257800" y="5902848"/>
                  <a:ext cx="318605" cy="338554"/>
                </a:xfrm>
                <a:prstGeom prst="rect">
                  <a:avLst/>
                </a:prstGeom>
                <a:solidFill>
                  <a:schemeClr val="bg1">
                    <a:lumMod val="8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600" i="1">
                      <a:latin typeface="Arial" panose="020B0604020202020204" pitchFamily="34" charset="0"/>
                      <a:cs typeface="Arial" panose="020B0604020202020204" pitchFamily="34" charset="0"/>
                    </a:rPr>
                    <a:t>z</a:t>
                  </a:r>
                </a:p>
              </xdr:txBody>
            </xdr:sp>
          </xdr:grpSp>
          <xdr:sp macro="" textlink="">
            <xdr:nvSpPr>
              <xdr:cNvPr id="65" name="Right Brace 64">
                <a:extLst>
                  <a:ext uri="{FF2B5EF4-FFF2-40B4-BE49-F238E27FC236}">
                    <a16:creationId xmlns:a16="http://schemas.microsoft.com/office/drawing/2014/main" id="{00000000-0008-0000-0300-000041000000}"/>
                  </a:ext>
                </a:extLst>
              </xdr:cNvPr>
              <xdr:cNvSpPr/>
            </xdr:nvSpPr>
            <xdr:spPr>
              <a:xfrm flipH="1">
                <a:off x="10079794" y="2631489"/>
                <a:ext cx="627249" cy="2451490"/>
              </a:xfrm>
              <a:prstGeom prst="rightBrace">
                <a:avLst>
                  <a:gd name="adj1" fmla="val 49602"/>
                  <a:gd name="adj2" fmla="val 50000"/>
                </a:avLst>
              </a:prstGeom>
            </xdr:spPr>
            <xdr:style>
              <a:lnRef idx="2">
                <a:schemeClr val="dk1"/>
              </a:lnRef>
              <a:fillRef idx="0">
                <a:schemeClr val="dk1"/>
              </a:fillRef>
              <a:effectRef idx="1">
                <a:schemeClr val="dk1"/>
              </a:effectRef>
              <a:fontRef idx="minor">
                <a:schemeClr val="tx1"/>
              </a:fontRef>
            </xdr:style>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US"/>
              </a:p>
            </xdr:txBody>
          </xdr:sp>
          <xdr:cxnSp macro="">
            <xdr:nvCxnSpPr>
              <xdr:cNvPr id="66" name="Straight Connector 65">
                <a:extLst>
                  <a:ext uri="{FF2B5EF4-FFF2-40B4-BE49-F238E27FC236}">
                    <a16:creationId xmlns:a16="http://schemas.microsoft.com/office/drawing/2014/main" id="{00000000-0008-0000-0300-000042000000}"/>
                  </a:ext>
                </a:extLst>
              </xdr:cNvPr>
              <xdr:cNvCxnSpPr>
                <a:cxnSpLocks/>
              </xdr:cNvCxnSpPr>
            </xdr:nvCxnSpPr>
            <xdr:spPr>
              <a:xfrm>
                <a:off x="11934135" y="2354687"/>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7" name="Straight Connector 66">
                <a:extLst>
                  <a:ext uri="{FF2B5EF4-FFF2-40B4-BE49-F238E27FC236}">
                    <a16:creationId xmlns:a16="http://schemas.microsoft.com/office/drawing/2014/main" id="{00000000-0008-0000-0300-000043000000}"/>
                  </a:ext>
                </a:extLst>
              </xdr:cNvPr>
              <xdr:cNvCxnSpPr>
                <a:cxnSpLocks/>
              </xdr:cNvCxnSpPr>
            </xdr:nvCxnSpPr>
            <xdr:spPr>
              <a:xfrm>
                <a:off x="11738817" y="240410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8" name="Straight Connector 67">
                <a:extLst>
                  <a:ext uri="{FF2B5EF4-FFF2-40B4-BE49-F238E27FC236}">
                    <a16:creationId xmlns:a16="http://schemas.microsoft.com/office/drawing/2014/main" id="{00000000-0008-0000-0300-000044000000}"/>
                  </a:ext>
                </a:extLst>
              </xdr:cNvPr>
              <xdr:cNvCxnSpPr>
                <a:cxnSpLocks/>
              </xdr:cNvCxnSpPr>
            </xdr:nvCxnSpPr>
            <xdr:spPr>
              <a:xfrm>
                <a:off x="11536113" y="23701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9" name="Straight Connector 68">
                <a:extLst>
                  <a:ext uri="{FF2B5EF4-FFF2-40B4-BE49-F238E27FC236}">
                    <a16:creationId xmlns:a16="http://schemas.microsoft.com/office/drawing/2014/main" id="{00000000-0008-0000-0300-000045000000}"/>
                  </a:ext>
                </a:extLst>
              </xdr:cNvPr>
              <xdr:cNvCxnSpPr>
                <a:cxnSpLocks/>
              </xdr:cNvCxnSpPr>
            </xdr:nvCxnSpPr>
            <xdr:spPr>
              <a:xfrm>
                <a:off x="11326215" y="240287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0" name="Straight Connector 69">
                <a:extLst>
                  <a:ext uri="{FF2B5EF4-FFF2-40B4-BE49-F238E27FC236}">
                    <a16:creationId xmlns:a16="http://schemas.microsoft.com/office/drawing/2014/main" id="{00000000-0008-0000-0300-000046000000}"/>
                  </a:ext>
                </a:extLst>
              </xdr:cNvPr>
              <xdr:cNvCxnSpPr>
                <a:cxnSpLocks/>
              </xdr:cNvCxnSpPr>
            </xdr:nvCxnSpPr>
            <xdr:spPr>
              <a:xfrm>
                <a:off x="11053061" y="2413932"/>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1" name="Straight Connector 70">
                <a:extLst>
                  <a:ext uri="{FF2B5EF4-FFF2-40B4-BE49-F238E27FC236}">
                    <a16:creationId xmlns:a16="http://schemas.microsoft.com/office/drawing/2014/main" id="{00000000-0008-0000-0300-000047000000}"/>
                  </a:ext>
                </a:extLst>
              </xdr:cNvPr>
              <xdr:cNvCxnSpPr>
                <a:cxnSpLocks/>
              </xdr:cNvCxnSpPr>
            </xdr:nvCxnSpPr>
            <xdr:spPr>
              <a:xfrm>
                <a:off x="10769691" y="237656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sp macro="" textlink="">
            <xdr:nvSpPr>
              <xdr:cNvPr id="72" name="Rectangle 71">
                <a:extLst>
                  <a:ext uri="{FF2B5EF4-FFF2-40B4-BE49-F238E27FC236}">
                    <a16:creationId xmlns:a16="http://schemas.microsoft.com/office/drawing/2014/main" id="{00000000-0008-0000-0300-000048000000}"/>
                  </a:ext>
                </a:extLst>
              </xdr:cNvPr>
              <xdr:cNvSpPr/>
            </xdr:nvSpPr>
            <xdr:spPr>
              <a:xfrm>
                <a:off x="12655713" y="2631437"/>
                <a:ext cx="114940" cy="2874666"/>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73" name="Cylinder 72">
                <a:extLst>
                  <a:ext uri="{FF2B5EF4-FFF2-40B4-BE49-F238E27FC236}">
                    <a16:creationId xmlns:a16="http://schemas.microsoft.com/office/drawing/2014/main" id="{00000000-0008-0000-0300-000049000000}"/>
                  </a:ext>
                </a:extLst>
              </xdr:cNvPr>
              <xdr:cNvSpPr/>
            </xdr:nvSpPr>
            <xdr:spPr>
              <a:xfrm>
                <a:off x="12655713" y="5108732"/>
                <a:ext cx="114940" cy="410294"/>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74" name="Straight Arrow Connector 73">
                <a:extLst>
                  <a:ext uri="{FF2B5EF4-FFF2-40B4-BE49-F238E27FC236}">
                    <a16:creationId xmlns:a16="http://schemas.microsoft.com/office/drawing/2014/main" id="{00000000-0008-0000-0300-00004A000000}"/>
                  </a:ext>
                </a:extLst>
              </xdr:cNvPr>
              <xdr:cNvCxnSpPr>
                <a:cxnSpLocks/>
              </xdr:cNvCxnSpPr>
            </xdr:nvCxnSpPr>
            <xdr:spPr>
              <a:xfrm flipH="1">
                <a:off x="12775558" y="4996768"/>
                <a:ext cx="949012" cy="7153"/>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5" name="TextBox 110">
                <a:extLst>
                  <a:ext uri="{FF2B5EF4-FFF2-40B4-BE49-F238E27FC236}">
                    <a16:creationId xmlns:a16="http://schemas.microsoft.com/office/drawing/2014/main" id="{00000000-0008-0000-0300-00004B000000}"/>
                  </a:ext>
                </a:extLst>
              </xdr:cNvPr>
              <xdr:cNvSpPr txBox="1"/>
            </xdr:nvSpPr>
            <xdr:spPr>
              <a:xfrm>
                <a:off x="13614849" y="4765935"/>
                <a:ext cx="1408488"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pic>
            <xdr:nvPicPr>
              <xdr:cNvPr id="76" name="Picture 75">
                <a:extLst>
                  <a:ext uri="{FF2B5EF4-FFF2-40B4-BE49-F238E27FC236}">
                    <a16:creationId xmlns:a16="http://schemas.microsoft.com/office/drawing/2014/main" id="{00000000-0008-0000-0300-00004C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flipH="1">
                <a:off x="12420511" y="2124727"/>
                <a:ext cx="499423" cy="499423"/>
              </a:xfrm>
              <a:prstGeom prst="rect">
                <a:avLst/>
              </a:prstGeom>
            </xdr:spPr>
          </xdr:pic>
        </xdr:grpSp>
        <xdr:sp macro="" textlink="">
          <xdr:nvSpPr>
            <xdr:cNvPr id="35" name="TextBox 34">
              <a:extLst>
                <a:ext uri="{FF2B5EF4-FFF2-40B4-BE49-F238E27FC236}">
                  <a16:creationId xmlns:a16="http://schemas.microsoft.com/office/drawing/2014/main" id="{00000000-0008-0000-0300-000023000000}"/>
                </a:ext>
              </a:extLst>
            </xdr:cNvPr>
            <xdr:cNvSpPr txBox="1"/>
          </xdr:nvSpPr>
          <xdr:spPr>
            <a:xfrm>
              <a:off x="7932207" y="5363105"/>
              <a:ext cx="5752043" cy="764646"/>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latin typeface="Times New Roman" panose="02020603050405020304" pitchFamily="18" charset="0"/>
                  <a:cs typeface="Times New Roman" panose="02020603050405020304" pitchFamily="18" charset="0"/>
                </a:rPr>
                <a:t>A conceptual model for PFAS attenuation in the vadose zone and groundwater. PFAS released</a:t>
              </a:r>
              <a:r>
                <a:rPr lang="en-US" sz="1100" b="1" baseline="0">
                  <a:latin typeface="Times New Roman" panose="02020603050405020304" pitchFamily="18" charset="0"/>
                  <a:cs typeface="Times New Roman" panose="02020603050405020304" pitchFamily="18" charset="0"/>
                </a:rPr>
                <a:t> to the surface leach downward though the vadose zone to groundwater driven by water infiltration flux. A receptor well is assumed to be located at the edge of the source zone.</a:t>
              </a:r>
              <a:endParaRPr lang="en-US" sz="1100" b="1">
                <a:latin typeface="Times New Roman" panose="02020603050405020304" pitchFamily="18" charset="0"/>
                <a:cs typeface="Times New Roman" panose="02020603050405020304" pitchFamily="18" charset="0"/>
              </a:endParaRPr>
            </a:p>
          </xdr:txBody>
        </xdr:sp>
      </xdr:grpSp>
      <xdr:sp macro="" textlink="">
        <xdr:nvSpPr>
          <xdr:cNvPr id="33" name="TextBox 32">
            <a:extLst>
              <a:ext uri="{FF2B5EF4-FFF2-40B4-BE49-F238E27FC236}">
                <a16:creationId xmlns:a16="http://schemas.microsoft.com/office/drawing/2014/main" id="{00000000-0008-0000-0300-000021000000}"/>
              </a:ext>
            </a:extLst>
          </xdr:cNvPr>
          <xdr:cNvSpPr txBox="1"/>
        </xdr:nvSpPr>
        <xdr:spPr>
          <a:xfrm>
            <a:off x="11329457" y="5249333"/>
            <a:ext cx="1296459" cy="211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J.</a:t>
            </a:r>
            <a:r>
              <a:rPr lang="en-US" sz="900" i="1" baseline="0">
                <a:latin typeface="Times New Roman" panose="02020603050405020304" pitchFamily="18" charset="0"/>
                <a:cs typeface="Times New Roman" panose="02020603050405020304" pitchFamily="18" charset="0"/>
              </a:rPr>
              <a:t> Smith et al., 2024</a:t>
            </a:r>
            <a:endParaRPr lang="en-US" sz="900" i="1">
              <a:latin typeface="Times New Roman" panose="02020603050405020304" pitchFamily="18" charset="0"/>
              <a:cs typeface="Times New Roman" panose="02020603050405020304" pitchFamily="18" charset="0"/>
            </a:endParaRPr>
          </a:p>
        </xdr:txBody>
      </xdr:sp>
    </xdr:grpSp>
    <xdr:clientData/>
  </xdr:twoCellAnchor>
  <xdr:twoCellAnchor>
    <xdr:from>
      <xdr:col>0</xdr:col>
      <xdr:colOff>506940</xdr:colOff>
      <xdr:row>11</xdr:row>
      <xdr:rowOff>166686</xdr:rowOff>
    </xdr:from>
    <xdr:to>
      <xdr:col>11</xdr:col>
      <xdr:colOff>312207</xdr:colOff>
      <xdr:row>28</xdr:row>
      <xdr:rowOff>164042</xdr:rowOff>
    </xdr:to>
    <xdr:sp macro="" textlink="">
      <xdr:nvSpPr>
        <xdr:cNvPr id="134" name="TextBox 133">
          <a:extLst>
            <a:ext uri="{FF2B5EF4-FFF2-40B4-BE49-F238E27FC236}">
              <a16:creationId xmlns:a16="http://schemas.microsoft.com/office/drawing/2014/main" id="{00000000-0008-0000-0300-000086000000}"/>
            </a:ext>
          </a:extLst>
        </xdr:cNvPr>
        <xdr:cNvSpPr txBox="1"/>
      </xdr:nvSpPr>
      <xdr:spPr>
        <a:xfrm>
          <a:off x="506940" y="2414586"/>
          <a:ext cx="6929967" cy="299296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latin typeface="Times New Roman" panose="02020603050405020304" pitchFamily="18" charset="0"/>
              <a:cs typeface="Times New Roman" panose="02020603050405020304" pitchFamily="18" charset="0"/>
            </a:rPr>
            <a:t>Background/Abstract: </a:t>
          </a:r>
          <a:r>
            <a:rPr lang="en-US" sz="1200">
              <a:latin typeface="Times New Roman" panose="02020603050405020304" pitchFamily="18" charset="0"/>
              <a:cs typeface="Times New Roman" panose="02020603050405020304" pitchFamily="18" charset="0"/>
            </a:rPr>
            <a:t>Soils at many contaminated sites have accumulated a significant amount of per- and polyfluoroalkyl substances (PFAS) and may require remediation to mitigate leaching to groundwater. USEPA’s current approaches for determining soil screening levels (SSLs) were developed for non-PFAS contaminants. Because many PFAS are interfacially-active with unique leaching behaviors in soils, the current non-PFAS-specific soil screening models may not be applicable. Following USEPA’s general methodology, we develop a new modeling framework representing PFAS-specific transport processes for determining site-specific SSLs for PFAS-contaminated sites. We couple a process-based analytical model for PFAS leaching in the vadose zone and a dilution factor model for groundwater in an integrated framework. We apply the new modeling framework to two typical types of contaminated sites. Comparisons with the standard USEPA SSL approach suggest that accounting for the PFAS-specific transport processes may significantly increase the SSL for some PFAS. For the range of soil properties and groundwater recharge rates examined, while SSLs determined with the new model are less than a factor of 2 different from the standard-model values for less interfacially-active shorter-chain PFAS, they are up to two orders of magnitudes greater for more interfacially-active longer-chain PFAS. The new analytical modeling framework provides an effective tool for deriving more accurate site-specific SSLs and improving site characterization and remedial efforts at PFAS-contaminated sites.</a:t>
          </a:r>
        </a:p>
      </xdr:txBody>
    </xdr:sp>
    <xdr:clientData/>
  </xdr:twoCellAnchor>
  <xdr:twoCellAnchor>
    <xdr:from>
      <xdr:col>0</xdr:col>
      <xdr:colOff>601661</xdr:colOff>
      <xdr:row>121</xdr:row>
      <xdr:rowOff>5292</xdr:rowOff>
    </xdr:from>
    <xdr:to>
      <xdr:col>0</xdr:col>
      <xdr:colOff>601661</xdr:colOff>
      <xdr:row>123</xdr:row>
      <xdr:rowOff>42333</xdr:rowOff>
    </xdr:to>
    <xdr:cxnSp macro="">
      <xdr:nvCxnSpPr>
        <xdr:cNvPr id="135" name="Straight Arrow Connector 134">
          <a:extLst>
            <a:ext uri="{FF2B5EF4-FFF2-40B4-BE49-F238E27FC236}">
              <a16:creationId xmlns:a16="http://schemas.microsoft.com/office/drawing/2014/main" id="{00000000-0008-0000-0300-000087000000}"/>
            </a:ext>
          </a:extLst>
        </xdr:cNvPr>
        <xdr:cNvCxnSpPr/>
      </xdr:nvCxnSpPr>
      <xdr:spPr>
        <a:xfrm>
          <a:off x="601661" y="21636567"/>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242356</xdr:colOff>
      <xdr:row>150</xdr:row>
      <xdr:rowOff>76728</xdr:rowOff>
    </xdr:from>
    <xdr:to>
      <xdr:col>9</xdr:col>
      <xdr:colOff>608541</xdr:colOff>
      <xdr:row>162</xdr:row>
      <xdr:rowOff>21165</xdr:rowOff>
    </xdr:to>
    <xdr:sp macro="" textlink="">
      <xdr:nvSpPr>
        <xdr:cNvPr id="136" name="TextBox 135">
          <a:extLst>
            <a:ext uri="{FF2B5EF4-FFF2-40B4-BE49-F238E27FC236}">
              <a16:creationId xmlns:a16="http://schemas.microsoft.com/office/drawing/2014/main" id="{00000000-0008-0000-0300-000088000000}"/>
            </a:ext>
          </a:extLst>
        </xdr:cNvPr>
        <xdr:cNvSpPr txBox="1"/>
      </xdr:nvSpPr>
      <xdr:spPr>
        <a:xfrm>
          <a:off x="242356" y="26582687"/>
          <a:ext cx="6176435" cy="203993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baseline="0">
              <a:latin typeface="Times New Roman" panose="02020603050405020304" pitchFamily="18" charset="0"/>
              <a:cs typeface="Times New Roman" panose="02020603050405020304" pitchFamily="18" charset="0"/>
            </a:rPr>
            <a:t>Next, users shall begin with determing properties of the soil at a specifc site, and quantifying the amount of net annual infiltration reaching groundwater in a given year.</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portion functions much the same as the previous section of the tool. Users must input PFAS specific parameters in order to use the tool</a:t>
          </a:r>
        </a:p>
        <a:p>
          <a:endParaRPr lang="en-US" sz="1200" b="0" i="0" baseline="0">
            <a:latin typeface="Times New Roman" panose="02020603050405020304" pitchFamily="18" charset="0"/>
            <a:cs typeface="Times New Roman" panose="02020603050405020304" pitchFamily="18" charset="0"/>
          </a:endParaRPr>
        </a:p>
        <a:p>
          <a:r>
            <a:rPr lang="en-US" sz="1200" b="1" i="0" baseline="0">
              <a:latin typeface="Times New Roman" panose="02020603050405020304" pitchFamily="18" charset="0"/>
              <a:cs typeface="Times New Roman" panose="02020603050405020304" pitchFamily="18" charset="0"/>
            </a:rPr>
            <a:t>Note: users do not necessarily have to complete the different input sections in a specific order. </a:t>
          </a:r>
          <a:r>
            <a:rPr lang="en-US" sz="1200" b="0" i="0" baseline="0">
              <a:latin typeface="Times New Roman" panose="02020603050405020304" pitchFamily="18" charset="0"/>
              <a:cs typeface="Times New Roman" panose="02020603050405020304" pitchFamily="18" charset="0"/>
            </a:rPr>
            <a:t>However, certain parameters are required in order to use the button (functions) to estimate either Air–water interfacial area (</a:t>
          </a:r>
          <a:r>
            <a:rPr lang="en-US" sz="1200" b="1" i="1" baseline="0">
              <a:latin typeface="Times New Roman" panose="02020603050405020304" pitchFamily="18" charset="0"/>
              <a:cs typeface="Times New Roman" panose="02020603050405020304" pitchFamily="18" charset="0"/>
            </a:rPr>
            <a:t>A</a:t>
          </a:r>
          <a:r>
            <a:rPr lang="en-US" sz="1200" b="1" i="1" baseline="-25000">
              <a:latin typeface="Times New Roman" panose="02020603050405020304" pitchFamily="18" charset="0"/>
              <a:cs typeface="Times New Roman" panose="02020603050405020304" pitchFamily="18" charset="0"/>
            </a:rPr>
            <a:t>aw</a:t>
          </a:r>
          <a:r>
            <a:rPr lang="en-US" sz="1200" b="0" i="0" baseline="0">
              <a:latin typeface="Times New Roman" panose="02020603050405020304" pitchFamily="18" charset="0"/>
              <a:cs typeface="Times New Roman" panose="02020603050405020304" pitchFamily="18" charset="0"/>
            </a:rPr>
            <a:t>) or Total water content (</a:t>
          </a:r>
          <a:r>
            <a:rPr lang="el-GR" sz="1200" b="1" i="1" baseline="0">
              <a:latin typeface="Times New Roman" panose="02020603050405020304" pitchFamily="18" charset="0"/>
              <a:ea typeface="Calibri" panose="020F0502020204030204" pitchFamily="34" charset="0"/>
              <a:cs typeface="Times New Roman" panose="02020603050405020304" pitchFamily="18" charset="0"/>
            </a:rPr>
            <a:t>θ</a:t>
          </a:r>
          <a:r>
            <a:rPr lang="en-US" sz="1200" b="0" i="0" baseline="0">
              <a:latin typeface="Times New Roman" panose="02020603050405020304" pitchFamily="18" charset="0"/>
              <a:ea typeface="Calibri" panose="020F0502020204030204" pitchFamily="34" charset="0"/>
              <a:cs typeface="Times New Roman" panose="02020603050405020304" pitchFamily="18" charset="0"/>
            </a:rPr>
            <a:t>). Again, these estimation tools are not required, and the tool can accept a direct, numerical input from the user. </a:t>
          </a:r>
          <a:r>
            <a:rPr lang="en-US" sz="1200" b="0" i="1" baseline="0">
              <a:latin typeface="Times New Roman" panose="02020603050405020304" pitchFamily="18" charset="0"/>
              <a:ea typeface="Calibri" panose="020F0502020204030204" pitchFamily="34" charset="0"/>
              <a:cs typeface="Times New Roman" panose="02020603050405020304" pitchFamily="18" charset="0"/>
            </a:rPr>
            <a:t>The buttons will prompt a user if any required parameters are missing.</a:t>
          </a:r>
          <a:endParaRPr lang="en-US" sz="1200" b="0" i="1">
            <a:latin typeface="Times New Roman" panose="02020603050405020304" pitchFamily="18" charset="0"/>
            <a:cs typeface="Times New Roman" panose="02020603050405020304" pitchFamily="18" charset="0"/>
          </a:endParaRPr>
        </a:p>
      </xdr:txBody>
    </xdr:sp>
    <xdr:clientData/>
  </xdr:twoCellAnchor>
  <xdr:twoCellAnchor>
    <xdr:from>
      <xdr:col>1</xdr:col>
      <xdr:colOff>87312</xdr:colOff>
      <xdr:row>147</xdr:row>
      <xdr:rowOff>152402</xdr:rowOff>
    </xdr:from>
    <xdr:to>
      <xdr:col>1</xdr:col>
      <xdr:colOff>87312</xdr:colOff>
      <xdr:row>150</xdr:row>
      <xdr:rowOff>14817</xdr:rowOff>
    </xdr:to>
    <xdr:cxnSp macro="">
      <xdr:nvCxnSpPr>
        <xdr:cNvPr id="137" name="Straight Arrow Connector 136">
          <a:extLst>
            <a:ext uri="{FF2B5EF4-FFF2-40B4-BE49-F238E27FC236}">
              <a16:creationId xmlns:a16="http://schemas.microsoft.com/office/drawing/2014/main" id="{00000000-0008-0000-0300-000089000000}"/>
            </a:ext>
          </a:extLst>
        </xdr:cNvPr>
        <xdr:cNvCxnSpPr/>
      </xdr:nvCxnSpPr>
      <xdr:spPr>
        <a:xfrm>
          <a:off x="735012" y="26365202"/>
          <a:ext cx="0" cy="391053"/>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146047</xdr:colOff>
      <xdr:row>37</xdr:row>
      <xdr:rowOff>43918</xdr:rowOff>
    </xdr:from>
    <xdr:to>
      <xdr:col>12</xdr:col>
      <xdr:colOff>333374</xdr:colOff>
      <xdr:row>48</xdr:row>
      <xdr:rowOff>148165</xdr:rowOff>
    </xdr:to>
    <xdr:sp macro="" textlink="">
      <xdr:nvSpPr>
        <xdr:cNvPr id="138" name="TextBox 137">
          <a:extLst>
            <a:ext uri="{FF2B5EF4-FFF2-40B4-BE49-F238E27FC236}">
              <a16:creationId xmlns:a16="http://schemas.microsoft.com/office/drawing/2014/main" id="{00000000-0008-0000-0300-00008A000000}"/>
            </a:ext>
          </a:extLst>
        </xdr:cNvPr>
        <xdr:cNvSpPr txBox="1"/>
      </xdr:nvSpPr>
      <xdr:spPr>
        <a:xfrm>
          <a:off x="146047" y="6873343"/>
          <a:ext cx="7959727" cy="204258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This tool functions through the coupling of a</a:t>
          </a:r>
          <a:r>
            <a:rPr lang="en-US" sz="1200" baseline="0">
              <a:latin typeface="Times New Roman" panose="02020603050405020304" pitchFamily="18" charset="0"/>
              <a:cs typeface="Times New Roman" panose="02020603050405020304" pitchFamily="18" charset="0"/>
            </a:rPr>
            <a:t> vadose zone and a groundwater mathematical model. </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The vadose zone model is an </a:t>
          </a:r>
          <a:r>
            <a:rPr lang="en-US" sz="1200">
              <a:latin typeface="Times New Roman" panose="02020603050405020304" pitchFamily="18" charset="0"/>
              <a:cs typeface="Times New Roman" panose="02020603050405020304" pitchFamily="18" charset="0"/>
            </a:rPr>
            <a:t>analytical</a:t>
          </a:r>
          <a:r>
            <a:rPr lang="en-US" sz="1200" baseline="0">
              <a:latin typeface="Times New Roman" panose="02020603050405020304" pitchFamily="18" charset="0"/>
              <a:cs typeface="Times New Roman" panose="02020603050405020304" pitchFamily="18" charset="0"/>
            </a:rPr>
            <a:t> solution to an advection dispersion equation, which accounts for PFAS-specific attenuation processes during transport through the unsaturated zone.</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It accounts for sorption of PFAS to the solid–water and air–water interfaces in a porous media. This analytical model allows one to determine both total PFAS concentration, and aqueous phase (porewater) concentration spatially and temporally. </a:t>
          </a:r>
          <a:r>
            <a:rPr lang="en-US" sz="1050" i="1" baseline="0">
              <a:latin typeface="Times New Roman" panose="02020603050405020304" pitchFamily="18" charset="0"/>
              <a:cs typeface="Times New Roman" panose="02020603050405020304" pitchFamily="18" charset="0"/>
            </a:rPr>
            <a:t>(For more details, see Guo et al., 2022 &amp; J. Smith et al., 2024)</a:t>
          </a:r>
        </a:p>
        <a:p>
          <a:endParaRPr lang="en-US" sz="1100" i="1"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The model operates under some</a:t>
          </a:r>
          <a:r>
            <a:rPr lang="en-US" sz="1200" b="1" i="0" baseline="0">
              <a:latin typeface="Times New Roman" panose="02020603050405020304" pitchFamily="18" charset="0"/>
              <a:cs typeface="Times New Roman" panose="02020603050405020304" pitchFamily="18" charset="0"/>
            </a:rPr>
            <a:t> important simplifying assumptions, </a:t>
          </a:r>
          <a:r>
            <a:rPr lang="en-US" sz="1200" b="0" i="0" baseline="0">
              <a:latin typeface="Times New Roman" panose="02020603050405020304" pitchFamily="18" charset="0"/>
              <a:cs typeface="Times New Roman" panose="02020603050405020304" pitchFamily="18" charset="0"/>
            </a:rPr>
            <a:t>required in order to reach our analytical solution.</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433916</xdr:colOff>
      <xdr:row>48</xdr:row>
      <xdr:rowOff>79373</xdr:rowOff>
    </xdr:from>
    <xdr:to>
      <xdr:col>11</xdr:col>
      <xdr:colOff>232832</xdr:colOff>
      <xdr:row>58</xdr:row>
      <xdr:rowOff>68790</xdr:rowOff>
    </xdr:to>
    <xdr:sp macro="" textlink="">
      <xdr:nvSpPr>
        <xdr:cNvPr id="139" name="TextBox 138">
          <a:extLst>
            <a:ext uri="{FF2B5EF4-FFF2-40B4-BE49-F238E27FC236}">
              <a16:creationId xmlns:a16="http://schemas.microsoft.com/office/drawing/2014/main" id="{00000000-0008-0000-0300-00008B000000}"/>
            </a:ext>
          </a:extLst>
        </xdr:cNvPr>
        <xdr:cNvSpPr txBox="1"/>
      </xdr:nvSpPr>
      <xdr:spPr>
        <a:xfrm>
          <a:off x="433916" y="8847136"/>
          <a:ext cx="6923616" cy="1751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One-dimensional,</a:t>
          </a:r>
          <a:r>
            <a:rPr lang="en-US" sz="1200" b="1" baseline="0">
              <a:latin typeface="Times New Roman" panose="02020603050405020304" pitchFamily="18" charset="0"/>
              <a:cs typeface="Times New Roman" panose="02020603050405020304" pitchFamily="18" charset="0"/>
            </a:rPr>
            <a:t> steady-state water infiltration</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Homogenous, uniformly saturated vadose zone</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Linear and instantaneous adsorption at solid–water and air</a:t>
          </a:r>
          <a:r>
            <a:rPr lang="en-US" sz="1200" b="1">
              <a:solidFill>
                <a:schemeClr val="dk1"/>
              </a:solidFill>
              <a:effectLst/>
              <a:latin typeface="Times New Roman" panose="02020603050405020304" pitchFamily="18" charset="0"/>
              <a:ea typeface="+mn-ea"/>
              <a:cs typeface="Times New Roman" panose="02020603050405020304" pitchFamily="18" charset="0"/>
            </a:rPr>
            <a:t>–water interfaces</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Partitioning</a:t>
          </a:r>
          <a:r>
            <a:rPr lang="en-US" sz="1200" b="1" baseline="0">
              <a:latin typeface="Times New Roman" panose="02020603050405020304" pitchFamily="18" charset="0"/>
              <a:cs typeface="Times New Roman" panose="02020603050405020304" pitchFamily="18" charset="0"/>
            </a:rPr>
            <a:t> at the air phase is neglected</a:t>
          </a:r>
        </a:p>
        <a:p>
          <a:pPr marL="171450" indent="-171450">
            <a:buFont typeface="Arial" panose="020B0604020202020204" pitchFamily="34" charset="0"/>
            <a:buChar char="•"/>
          </a:pPr>
          <a:endParaRPr lang="en-US" sz="1200" b="1" baseline="0">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baseline="0">
              <a:latin typeface="Times New Roman" panose="02020603050405020304" pitchFamily="18" charset="0"/>
              <a:cs typeface="Times New Roman" panose="02020603050405020304" pitchFamily="18" charset="0"/>
            </a:rPr>
            <a:t>PFAS precursors are not directly accounted for</a:t>
          </a:r>
          <a:endParaRPr lang="en-US" sz="1200" b="1">
            <a:latin typeface="Times New Roman" panose="02020603050405020304" pitchFamily="18" charset="0"/>
            <a:cs typeface="Times New Roman" panose="02020603050405020304" pitchFamily="18" charset="0"/>
          </a:endParaRPr>
        </a:p>
        <a:p>
          <a:endParaRPr lang="en-US" sz="1200">
            <a:latin typeface="Times New Roman" panose="02020603050405020304" pitchFamily="18" charset="0"/>
            <a:cs typeface="Times New Roman" panose="02020603050405020304" pitchFamily="18" charset="0"/>
          </a:endParaRPr>
        </a:p>
      </xdr:txBody>
    </xdr:sp>
    <xdr:clientData/>
  </xdr:twoCellAnchor>
  <xdr:twoCellAnchor>
    <xdr:from>
      <xdr:col>0</xdr:col>
      <xdr:colOff>192614</xdr:colOff>
      <xdr:row>58</xdr:row>
      <xdr:rowOff>164567</xdr:rowOff>
    </xdr:from>
    <xdr:to>
      <xdr:col>12</xdr:col>
      <xdr:colOff>190500</xdr:colOff>
      <xdr:row>68</xdr:row>
      <xdr:rowOff>105833</xdr:rowOff>
    </xdr:to>
    <xdr:sp macro="" textlink="">
      <xdr:nvSpPr>
        <xdr:cNvPr id="140" name="TextBox 139">
          <a:extLst>
            <a:ext uri="{FF2B5EF4-FFF2-40B4-BE49-F238E27FC236}">
              <a16:creationId xmlns:a16="http://schemas.microsoft.com/office/drawing/2014/main" id="{00000000-0008-0000-0300-00008C000000}"/>
            </a:ext>
          </a:extLst>
        </xdr:cNvPr>
        <xdr:cNvSpPr txBox="1"/>
      </xdr:nvSpPr>
      <xdr:spPr>
        <a:xfrm>
          <a:off x="192614" y="10694455"/>
          <a:ext cx="7770286" cy="1703391"/>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Due to these assumptions,</a:t>
          </a:r>
          <a:r>
            <a:rPr lang="en-US" sz="1200" baseline="0">
              <a:latin typeface="Times New Roman" panose="02020603050405020304" pitchFamily="18" charset="0"/>
              <a:cs typeface="Times New Roman" panose="02020603050405020304" pitchFamily="18" charset="0"/>
            </a:rPr>
            <a:t> </a:t>
          </a:r>
          <a:r>
            <a:rPr lang="en-US" sz="1200" b="1" baseline="0">
              <a:latin typeface="Times New Roman" panose="02020603050405020304" pitchFamily="18" charset="0"/>
              <a:cs typeface="Times New Roman" panose="02020603050405020304" pitchFamily="18" charset="0"/>
            </a:rPr>
            <a:t>this model may not directly apply to </a:t>
          </a:r>
          <a:r>
            <a:rPr lang="en-US" sz="1200" b="0" baseline="0">
              <a:latin typeface="Times New Roman" panose="02020603050405020304" pitchFamily="18" charset="0"/>
              <a:cs typeface="Times New Roman" panose="02020603050405020304" pitchFamily="18" charset="0"/>
            </a:rPr>
            <a:t>cases of </a:t>
          </a:r>
          <a:r>
            <a:rPr lang="en-US" sz="1200" b="1" baseline="0">
              <a:latin typeface="Times New Roman" panose="02020603050405020304" pitchFamily="18" charset="0"/>
              <a:cs typeface="Times New Roman" panose="02020603050405020304" pitchFamily="18" charset="0"/>
            </a:rPr>
            <a:t>highly heterogenous vadose zones, </a:t>
          </a:r>
          <a:r>
            <a:rPr lang="en-US" sz="1200" baseline="0">
              <a:latin typeface="Times New Roman" panose="02020603050405020304" pitchFamily="18" charset="0"/>
              <a:cs typeface="Times New Roman" panose="02020603050405020304" pitchFamily="18" charset="0"/>
            </a:rPr>
            <a:t>or in cases where there may be strong influence on PFAS transport due to </a:t>
          </a:r>
          <a:r>
            <a:rPr lang="en-US" sz="1200" b="1" baseline="0">
              <a:latin typeface="Times New Roman" panose="02020603050405020304" pitchFamily="18" charset="0"/>
              <a:cs typeface="Times New Roman" panose="02020603050405020304" pitchFamily="18" charset="0"/>
            </a:rPr>
            <a:t>preferential flow</a:t>
          </a:r>
          <a:r>
            <a:rPr lang="en-US" sz="1200" baseline="0">
              <a:latin typeface="Times New Roman" panose="02020603050405020304" pitchFamily="18" charset="0"/>
              <a:cs typeface="Times New Roman" panose="02020603050405020304" pitchFamily="18" charset="0"/>
            </a:rPr>
            <a:t> conditions </a:t>
          </a:r>
        </a:p>
        <a:p>
          <a:endParaRPr lang="en-US" sz="1200" b="1"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Our framework computes a leachate concentration at the bottom of the domain, and derives a </a:t>
          </a:r>
          <a:r>
            <a:rPr lang="en-US" sz="1200" b="0" i="0" u="sng" baseline="0">
              <a:latin typeface="Times New Roman" panose="02020603050405020304" pitchFamily="18" charset="0"/>
              <a:cs typeface="Times New Roman" panose="02020603050405020304" pitchFamily="18" charset="0"/>
            </a:rPr>
            <a:t>Vadose Zone Attenuation Factor </a:t>
          </a:r>
          <a:r>
            <a:rPr lang="en-US" sz="1200" b="0" i="0" baseline="0">
              <a:latin typeface="Times New Roman" panose="02020603050405020304" pitchFamily="18" charset="0"/>
              <a:cs typeface="Times New Roman" panose="02020603050405020304" pitchFamily="18" charset="0"/>
            </a:rPr>
            <a:t>- defined as the ratio of maximum porewater concentration in the total vadose zone, versus peak leachate porewater concentration.</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leachate concentration is then passed through to a groundwater dilution model, described briefly below.</a:t>
          </a:r>
        </a:p>
        <a:p>
          <a:r>
            <a:rPr lang="en-US" sz="1050" b="0" i="1" baseline="0">
              <a:latin typeface="Times New Roman" panose="02020603050405020304" pitchFamily="18" charset="0"/>
              <a:cs typeface="Times New Roman" panose="02020603050405020304" pitchFamily="18" charset="0"/>
            </a:rPr>
            <a:t>(For more detailed information on the vadose zone model, refer to Guo et al., 2022 and J. Smith et al., 2024)</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134405</xdr:colOff>
      <xdr:row>32</xdr:row>
      <xdr:rowOff>111650</xdr:rowOff>
    </xdr:from>
    <xdr:to>
      <xdr:col>3</xdr:col>
      <xdr:colOff>523875</xdr:colOff>
      <xdr:row>34</xdr:row>
      <xdr:rowOff>79375</xdr:rowOff>
    </xdr:to>
    <xdr:sp macro="" textlink="">
      <xdr:nvSpPr>
        <xdr:cNvPr id="141" name="TextBox 140">
          <a:extLst>
            <a:ext uri="{FF2B5EF4-FFF2-40B4-BE49-F238E27FC236}">
              <a16:creationId xmlns:a16="http://schemas.microsoft.com/office/drawing/2014/main" id="{00000000-0008-0000-0300-00008D000000}"/>
            </a:ext>
          </a:extLst>
        </xdr:cNvPr>
        <xdr:cNvSpPr txBox="1"/>
      </xdr:nvSpPr>
      <xdr:spPr>
        <a:xfrm>
          <a:off x="134405" y="6060013"/>
          <a:ext cx="2332570"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a:latin typeface="Times New Roman" panose="02020603050405020304" pitchFamily="18" charset="0"/>
              <a:cs typeface="Times New Roman" panose="02020603050405020304" pitchFamily="18" charset="0"/>
            </a:rPr>
            <a:t>Framework Description</a:t>
          </a:r>
        </a:p>
      </xdr:txBody>
    </xdr:sp>
    <xdr:clientData/>
  </xdr:twoCellAnchor>
  <xdr:twoCellAnchor>
    <xdr:from>
      <xdr:col>0</xdr:col>
      <xdr:colOff>138639</xdr:colOff>
      <xdr:row>34</xdr:row>
      <xdr:rowOff>158216</xdr:rowOff>
    </xdr:from>
    <xdr:to>
      <xdr:col>3</xdr:col>
      <xdr:colOff>528109</xdr:colOff>
      <xdr:row>36</xdr:row>
      <xdr:rowOff>125941</xdr:rowOff>
    </xdr:to>
    <xdr:sp macro="" textlink="">
      <xdr:nvSpPr>
        <xdr:cNvPr id="142" name="TextBox 141">
          <a:extLst>
            <a:ext uri="{FF2B5EF4-FFF2-40B4-BE49-F238E27FC236}">
              <a16:creationId xmlns:a16="http://schemas.microsoft.com/office/drawing/2014/main" id="{00000000-0008-0000-0300-00008E000000}"/>
            </a:ext>
          </a:extLst>
        </xdr:cNvPr>
        <xdr:cNvSpPr txBox="1"/>
      </xdr:nvSpPr>
      <xdr:spPr>
        <a:xfrm>
          <a:off x="138639" y="6459004"/>
          <a:ext cx="2332570"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Vadose zone model</a:t>
          </a:r>
        </a:p>
      </xdr:txBody>
    </xdr:sp>
    <xdr:clientData/>
  </xdr:twoCellAnchor>
  <xdr:twoCellAnchor>
    <xdr:from>
      <xdr:col>0</xdr:col>
      <xdr:colOff>174625</xdr:colOff>
      <xdr:row>70</xdr:row>
      <xdr:rowOff>52918</xdr:rowOff>
    </xdr:from>
    <xdr:to>
      <xdr:col>5</xdr:col>
      <xdr:colOff>470958</xdr:colOff>
      <xdr:row>72</xdr:row>
      <xdr:rowOff>20643</xdr:rowOff>
    </xdr:to>
    <xdr:sp macro="" textlink="">
      <xdr:nvSpPr>
        <xdr:cNvPr id="143" name="TextBox 142">
          <a:extLst>
            <a:ext uri="{FF2B5EF4-FFF2-40B4-BE49-F238E27FC236}">
              <a16:creationId xmlns:a16="http://schemas.microsoft.com/office/drawing/2014/main" id="{00000000-0008-0000-0300-00008F000000}"/>
            </a:ext>
          </a:extLst>
        </xdr:cNvPr>
        <xdr:cNvSpPr txBox="1"/>
      </xdr:nvSpPr>
      <xdr:spPr>
        <a:xfrm>
          <a:off x="174625" y="12697356"/>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USEPA Groundwater Dilution model</a:t>
          </a:r>
        </a:p>
      </xdr:txBody>
    </xdr:sp>
    <xdr:clientData/>
  </xdr:twoCellAnchor>
  <xdr:twoCellAnchor>
    <xdr:from>
      <xdr:col>0</xdr:col>
      <xdr:colOff>191555</xdr:colOff>
      <xdr:row>72</xdr:row>
      <xdr:rowOff>137050</xdr:rowOff>
    </xdr:from>
    <xdr:to>
      <xdr:col>12</xdr:col>
      <xdr:colOff>189441</xdr:colOff>
      <xdr:row>80</xdr:row>
      <xdr:rowOff>79374</xdr:rowOff>
    </xdr:to>
    <xdr:sp macro="" textlink="">
      <xdr:nvSpPr>
        <xdr:cNvPr id="144" name="TextBox 143">
          <a:extLst>
            <a:ext uri="{FF2B5EF4-FFF2-40B4-BE49-F238E27FC236}">
              <a16:creationId xmlns:a16="http://schemas.microsoft.com/office/drawing/2014/main" id="{00000000-0008-0000-0300-000090000000}"/>
            </a:ext>
          </a:extLst>
        </xdr:cNvPr>
        <xdr:cNvSpPr txBox="1"/>
      </xdr:nvSpPr>
      <xdr:spPr>
        <a:xfrm>
          <a:off x="191555" y="13133913"/>
          <a:ext cx="7770286" cy="135202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We employ a simple, dilution factor model present within the USEPA Soil Screening Guidance published</a:t>
          </a:r>
          <a:r>
            <a:rPr lang="en-US" sz="1200" baseline="0">
              <a:latin typeface="Times New Roman" panose="02020603050405020304" pitchFamily="18" charset="0"/>
              <a:cs typeface="Times New Roman" panose="02020603050405020304" pitchFamily="18" charset="0"/>
            </a:rPr>
            <a:t> in 1996. This method requires minimal parameters, and is widely used for screening level applications.</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model assumes well-mixed conditions in the aquifer, and that a down-gradient receptor well is more or less adjacent to the contaminated zone. </a:t>
          </a:r>
          <a:r>
            <a:rPr lang="en-US" sz="1200" b="0" i="1" baseline="0">
              <a:latin typeface="Times New Roman" panose="02020603050405020304" pitchFamily="18" charset="0"/>
              <a:cs typeface="Times New Roman" panose="02020603050405020304" pitchFamily="18" charset="0"/>
            </a:rPr>
            <a:t>The receptor well position in the figures is for conceptual visualization, and are not to scale</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model contains </a:t>
          </a:r>
          <a:r>
            <a:rPr lang="en-US" sz="1200" b="1" i="0" baseline="0">
              <a:latin typeface="Times New Roman" panose="02020603050405020304" pitchFamily="18" charset="0"/>
              <a:cs typeface="Times New Roman" panose="02020603050405020304" pitchFamily="18" charset="0"/>
            </a:rPr>
            <a:t>two governing equations, with some key variables </a:t>
          </a:r>
          <a:r>
            <a:rPr lang="en-US" sz="1200" b="0" i="1" baseline="0">
              <a:latin typeface="Times New Roman" panose="02020603050405020304" pitchFamily="18" charset="0"/>
              <a:cs typeface="Times New Roman" panose="02020603050405020304" pitchFamily="18" charset="0"/>
            </a:rPr>
            <a:t>(reference figure to right)</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12</xdr:col>
      <xdr:colOff>523875</xdr:colOff>
      <xdr:row>65</xdr:row>
      <xdr:rowOff>37043</xdr:rowOff>
    </xdr:from>
    <xdr:to>
      <xdr:col>22</xdr:col>
      <xdr:colOff>100934</xdr:colOff>
      <xdr:row>96</xdr:row>
      <xdr:rowOff>169333</xdr:rowOff>
    </xdr:to>
    <xdr:grpSp>
      <xdr:nvGrpSpPr>
        <xdr:cNvPr id="145" name="Group 144">
          <a:extLst>
            <a:ext uri="{FF2B5EF4-FFF2-40B4-BE49-F238E27FC236}">
              <a16:creationId xmlns:a16="http://schemas.microsoft.com/office/drawing/2014/main" id="{00000000-0008-0000-0300-000091000000}"/>
            </a:ext>
          </a:extLst>
        </xdr:cNvPr>
        <xdr:cNvGrpSpPr/>
      </xdr:nvGrpSpPr>
      <xdr:grpSpPr>
        <a:xfrm>
          <a:off x="8821208" y="12243154"/>
          <a:ext cx="6491504" cy="5819068"/>
          <a:chOff x="8175625" y="11710459"/>
          <a:chExt cx="6032892" cy="5545666"/>
        </a:xfrm>
      </xdr:grpSpPr>
      <xdr:grpSp>
        <xdr:nvGrpSpPr>
          <xdr:cNvPr id="146" name="Group 145">
            <a:extLst>
              <a:ext uri="{FF2B5EF4-FFF2-40B4-BE49-F238E27FC236}">
                <a16:creationId xmlns:a16="http://schemas.microsoft.com/office/drawing/2014/main" id="{00000000-0008-0000-0300-000092000000}"/>
              </a:ext>
            </a:extLst>
          </xdr:cNvPr>
          <xdr:cNvGrpSpPr/>
        </xdr:nvGrpSpPr>
        <xdr:grpSpPr>
          <a:xfrm>
            <a:off x="8254999" y="11710459"/>
            <a:ext cx="5953518" cy="5545666"/>
            <a:chOff x="8636000" y="8604250"/>
            <a:chExt cx="5953518" cy="5545666"/>
          </a:xfrm>
        </xdr:grpSpPr>
        <xdr:grpSp>
          <xdr:nvGrpSpPr>
            <xdr:cNvPr id="158" name="Group 157">
              <a:extLst>
                <a:ext uri="{FF2B5EF4-FFF2-40B4-BE49-F238E27FC236}">
                  <a16:creationId xmlns:a16="http://schemas.microsoft.com/office/drawing/2014/main" id="{00000000-0008-0000-0300-00009E000000}"/>
                </a:ext>
              </a:extLst>
            </xdr:cNvPr>
            <xdr:cNvGrpSpPr/>
          </xdr:nvGrpSpPr>
          <xdr:grpSpPr>
            <a:xfrm>
              <a:off x="8636000" y="8604250"/>
              <a:ext cx="5953518" cy="5311089"/>
              <a:chOff x="9835949" y="9494042"/>
              <a:chExt cx="5970471" cy="4709045"/>
            </a:xfrm>
          </xdr:grpSpPr>
          <xdr:sp macro="" textlink="">
            <xdr:nvSpPr>
              <xdr:cNvPr id="160" name="Rectangle 159">
                <a:extLst>
                  <a:ext uri="{FF2B5EF4-FFF2-40B4-BE49-F238E27FC236}">
                    <a16:creationId xmlns:a16="http://schemas.microsoft.com/office/drawing/2014/main" id="{00000000-0008-0000-0300-0000A0000000}"/>
                  </a:ext>
                </a:extLst>
              </xdr:cNvPr>
              <xdr:cNvSpPr/>
            </xdr:nvSpPr>
            <xdr:spPr>
              <a:xfrm>
                <a:off x="9858082" y="11923567"/>
                <a:ext cx="3680406" cy="2268681"/>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61" name="Group 160">
                <a:extLst>
                  <a:ext uri="{FF2B5EF4-FFF2-40B4-BE49-F238E27FC236}">
                    <a16:creationId xmlns:a16="http://schemas.microsoft.com/office/drawing/2014/main" id="{00000000-0008-0000-0300-0000A1000000}"/>
                  </a:ext>
                </a:extLst>
              </xdr:cNvPr>
              <xdr:cNvGrpSpPr/>
            </xdr:nvGrpSpPr>
            <xdr:grpSpPr>
              <a:xfrm>
                <a:off x="9835949" y="9494042"/>
                <a:ext cx="5970471" cy="4709045"/>
                <a:chOff x="10156040" y="10120898"/>
                <a:chExt cx="5954067" cy="4713371"/>
              </a:xfrm>
            </xdr:grpSpPr>
            <xdr:grpSp>
              <xdr:nvGrpSpPr>
                <xdr:cNvPr id="162" name="Group 161">
                  <a:extLst>
                    <a:ext uri="{FF2B5EF4-FFF2-40B4-BE49-F238E27FC236}">
                      <a16:creationId xmlns:a16="http://schemas.microsoft.com/office/drawing/2014/main" id="{00000000-0008-0000-0300-0000A2000000}"/>
                    </a:ext>
                  </a:extLst>
                </xdr:cNvPr>
                <xdr:cNvGrpSpPr/>
              </xdr:nvGrpSpPr>
              <xdr:grpSpPr>
                <a:xfrm>
                  <a:off x="10156040" y="10120898"/>
                  <a:ext cx="5954067" cy="4713371"/>
                  <a:chOff x="7011135" y="9271521"/>
                  <a:chExt cx="5963551" cy="4694351"/>
                </a:xfrm>
              </xdr:grpSpPr>
              <xdr:grpSp>
                <xdr:nvGrpSpPr>
                  <xdr:cNvPr id="164" name="Group 163">
                    <a:extLst>
                      <a:ext uri="{FF2B5EF4-FFF2-40B4-BE49-F238E27FC236}">
                        <a16:creationId xmlns:a16="http://schemas.microsoft.com/office/drawing/2014/main" id="{00000000-0008-0000-0300-0000A4000000}"/>
                      </a:ext>
                    </a:extLst>
                  </xdr:cNvPr>
                  <xdr:cNvGrpSpPr/>
                </xdr:nvGrpSpPr>
                <xdr:grpSpPr>
                  <a:xfrm>
                    <a:off x="7011135" y="9271521"/>
                    <a:ext cx="5963551" cy="4694351"/>
                    <a:chOff x="7482860" y="10256921"/>
                    <a:chExt cx="5948180" cy="4713010"/>
                  </a:xfrm>
                </xdr:grpSpPr>
                <xdr:sp macro="" textlink="">
                  <xdr:nvSpPr>
                    <xdr:cNvPr id="166" name="Freeform: Shape 165">
                      <a:extLst>
                        <a:ext uri="{FF2B5EF4-FFF2-40B4-BE49-F238E27FC236}">
                          <a16:creationId xmlns:a16="http://schemas.microsoft.com/office/drawing/2014/main" id="{00000000-0008-0000-0300-0000A6000000}"/>
                        </a:ext>
                      </a:extLst>
                    </xdr:cNvPr>
                    <xdr:cNvSpPr/>
                  </xdr:nvSpPr>
                  <xdr:spPr>
                    <a:xfrm>
                      <a:off x="11163203" y="12771816"/>
                      <a:ext cx="2258705" cy="2193878"/>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705" h="2193878">
                          <a:moveTo>
                            <a:pt x="0" y="2193878"/>
                          </a:moveTo>
                          <a:lnTo>
                            <a:pt x="2258705" y="764275"/>
                          </a:lnTo>
                          <a:cubicBezTo>
                            <a:pt x="2257568" y="509517"/>
                            <a:pt x="2256430" y="254758"/>
                            <a:pt x="2255293" y="0"/>
                          </a:cubicBezTo>
                          <a:lnTo>
                            <a:pt x="0" y="1426191"/>
                          </a:lnTo>
                          <a:lnTo>
                            <a:pt x="0" y="2193878"/>
                          </a:lnTo>
                          <a:close/>
                        </a:path>
                      </a:pathLst>
                    </a:cu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7" name="Freeform: Shape 166">
                      <a:extLst>
                        <a:ext uri="{FF2B5EF4-FFF2-40B4-BE49-F238E27FC236}">
                          <a16:creationId xmlns:a16="http://schemas.microsoft.com/office/drawing/2014/main" id="{00000000-0008-0000-0300-0000A7000000}"/>
                        </a:ext>
                      </a:extLst>
                    </xdr:cNvPr>
                    <xdr:cNvSpPr/>
                  </xdr:nvSpPr>
                  <xdr:spPr>
                    <a:xfrm>
                      <a:off x="11172581" y="11257959"/>
                      <a:ext cx="2258458" cy="2930486"/>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58" h="2930486">
                          <a:moveTo>
                            <a:pt x="0" y="2930486"/>
                          </a:moveTo>
                          <a:lnTo>
                            <a:pt x="0" y="1413831"/>
                          </a:lnTo>
                          <a:lnTo>
                            <a:pt x="2258458" y="0"/>
                          </a:lnTo>
                          <a:lnTo>
                            <a:pt x="2254786" y="1501966"/>
                          </a:lnTo>
                          <a:lnTo>
                            <a:pt x="0" y="2930486"/>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8" name="Rectangle 167">
                      <a:extLst>
                        <a:ext uri="{FF2B5EF4-FFF2-40B4-BE49-F238E27FC236}">
                          <a16:creationId xmlns:a16="http://schemas.microsoft.com/office/drawing/2014/main" id="{00000000-0008-0000-0300-0000A8000000}"/>
                        </a:ext>
                      </a:extLst>
                    </xdr:cNvPr>
                    <xdr:cNvSpPr/>
                  </xdr:nvSpPr>
                  <xdr:spPr>
                    <a:xfrm>
                      <a:off x="7511725" y="14188445"/>
                      <a:ext cx="3644514" cy="778759"/>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9" name="Rectangle 168">
                      <a:extLst>
                        <a:ext uri="{FF2B5EF4-FFF2-40B4-BE49-F238E27FC236}">
                          <a16:creationId xmlns:a16="http://schemas.microsoft.com/office/drawing/2014/main" id="{00000000-0008-0000-0300-0000A9000000}"/>
                        </a:ext>
                      </a:extLst>
                    </xdr:cNvPr>
                    <xdr:cNvSpPr/>
                  </xdr:nvSpPr>
                  <xdr:spPr>
                    <a:xfrm>
                      <a:off x="7505368" y="12681204"/>
                      <a:ext cx="3650875" cy="1496804"/>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70" name="Freeform: Shape 169">
                      <a:extLst>
                        <a:ext uri="{FF2B5EF4-FFF2-40B4-BE49-F238E27FC236}">
                          <a16:creationId xmlns:a16="http://schemas.microsoft.com/office/drawing/2014/main" id="{00000000-0008-0000-0300-0000AA000000}"/>
                        </a:ext>
                      </a:extLst>
                    </xdr:cNvPr>
                    <xdr:cNvSpPr/>
                  </xdr:nvSpPr>
                  <xdr:spPr>
                    <a:xfrm>
                      <a:off x="7505369" y="11243506"/>
                      <a:ext cx="5912222" cy="1430974"/>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solidFill>
                      <a:schemeClr val="accent6">
                        <a:lumMod val="60000"/>
                        <a:lumOff val="4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71" name="Group 170">
                      <a:extLst>
                        <a:ext uri="{FF2B5EF4-FFF2-40B4-BE49-F238E27FC236}">
                          <a16:creationId xmlns:a16="http://schemas.microsoft.com/office/drawing/2014/main" id="{00000000-0008-0000-0300-0000AB000000}"/>
                        </a:ext>
                      </a:extLst>
                    </xdr:cNvPr>
                    <xdr:cNvGrpSpPr/>
                  </xdr:nvGrpSpPr>
                  <xdr:grpSpPr>
                    <a:xfrm>
                      <a:off x="7505369" y="11244869"/>
                      <a:ext cx="5925671" cy="3722336"/>
                      <a:chOff x="4267200" y="2205315"/>
                      <a:chExt cx="5925671" cy="3722336"/>
                    </a:xfrm>
                  </xdr:grpSpPr>
                  <xdr:sp macro="" textlink="">
                    <xdr:nvSpPr>
                      <xdr:cNvPr id="400" name="Rectangle 399">
                        <a:extLst>
                          <a:ext uri="{FF2B5EF4-FFF2-40B4-BE49-F238E27FC236}">
                            <a16:creationId xmlns:a16="http://schemas.microsoft.com/office/drawing/2014/main" id="{00000000-0008-0000-0300-000090010000}"/>
                          </a:ext>
                        </a:extLst>
                      </xdr:cNvPr>
                      <xdr:cNvSpPr/>
                    </xdr:nvSpPr>
                    <xdr:spPr>
                      <a:xfrm>
                        <a:off x="4267200" y="3641650"/>
                        <a:ext cx="3657600" cy="2286000"/>
                      </a:xfrm>
                      <a:prstGeom prst="rect">
                        <a:avLst/>
                      </a:prstGeom>
                      <a:noFill/>
                      <a:ln w="254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01" name="Straight Connector 400">
                        <a:extLst>
                          <a:ext uri="{FF2B5EF4-FFF2-40B4-BE49-F238E27FC236}">
                            <a16:creationId xmlns:a16="http://schemas.microsoft.com/office/drawing/2014/main" id="{00000000-0008-0000-0300-000091010000}"/>
                          </a:ext>
                        </a:extLst>
                      </xdr:cNvPr>
                      <xdr:cNvCxnSpPr>
                        <a:cxnSpLocks/>
                      </xdr:cNvCxnSpPr>
                    </xdr:nvCxnSpPr>
                    <xdr:spPr>
                      <a:xfrm flipV="1">
                        <a:off x="4267200" y="2212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2" name="Straight Connector 401">
                        <a:extLst>
                          <a:ext uri="{FF2B5EF4-FFF2-40B4-BE49-F238E27FC236}">
                            <a16:creationId xmlns:a16="http://schemas.microsoft.com/office/drawing/2014/main" id="{00000000-0008-0000-0300-000092010000}"/>
                          </a:ext>
                        </a:extLst>
                      </xdr:cNvPr>
                      <xdr:cNvCxnSpPr>
                        <a:cxnSpLocks/>
                      </xdr:cNvCxnSpPr>
                    </xdr:nvCxnSpPr>
                    <xdr:spPr>
                      <a:xfrm flipV="1">
                        <a:off x="7924800" y="2212040"/>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3" name="Straight Connector 402">
                        <a:extLst>
                          <a:ext uri="{FF2B5EF4-FFF2-40B4-BE49-F238E27FC236}">
                            <a16:creationId xmlns:a16="http://schemas.microsoft.com/office/drawing/2014/main" id="{00000000-0008-0000-0300-000093010000}"/>
                          </a:ext>
                        </a:extLst>
                      </xdr:cNvPr>
                      <xdr:cNvCxnSpPr>
                        <a:cxnSpLocks/>
                      </xdr:cNvCxnSpPr>
                    </xdr:nvCxnSpPr>
                    <xdr:spPr>
                      <a:xfrm>
                        <a:off x="6535271" y="2212040"/>
                        <a:ext cx="3657600"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4" name="Straight Connector 403">
                        <a:extLst>
                          <a:ext uri="{FF2B5EF4-FFF2-40B4-BE49-F238E27FC236}">
                            <a16:creationId xmlns:a16="http://schemas.microsoft.com/office/drawing/2014/main" id="{00000000-0008-0000-0300-000094010000}"/>
                          </a:ext>
                        </a:extLst>
                      </xdr:cNvPr>
                      <xdr:cNvCxnSpPr>
                        <a:cxnSpLocks/>
                      </xdr:cNvCxnSpPr>
                    </xdr:nvCxnSpPr>
                    <xdr:spPr>
                      <a:xfrm flipV="1">
                        <a:off x="7924799" y="4498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5" name="Straight Connector 404">
                        <a:extLst>
                          <a:ext uri="{FF2B5EF4-FFF2-40B4-BE49-F238E27FC236}">
                            <a16:creationId xmlns:a16="http://schemas.microsoft.com/office/drawing/2014/main" id="{00000000-0008-0000-0300-000095010000}"/>
                          </a:ext>
                        </a:extLst>
                      </xdr:cNvPr>
                      <xdr:cNvCxnSpPr>
                        <a:cxnSpLocks/>
                      </xdr:cNvCxnSpPr>
                    </xdr:nvCxnSpPr>
                    <xdr:spPr>
                      <a:xfrm>
                        <a:off x="10186146" y="2205315"/>
                        <a:ext cx="0" cy="2295144"/>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172" name="Straight Connector 171">
                      <a:extLst>
                        <a:ext uri="{FF2B5EF4-FFF2-40B4-BE49-F238E27FC236}">
                          <a16:creationId xmlns:a16="http://schemas.microsoft.com/office/drawing/2014/main" id="{00000000-0008-0000-0300-0000AC000000}"/>
                        </a:ext>
                      </a:extLst>
                    </xdr:cNvPr>
                    <xdr:cNvCxnSpPr>
                      <a:cxnSpLocks/>
                    </xdr:cNvCxnSpPr>
                  </xdr:nvCxnSpPr>
                  <xdr:spPr>
                    <a:xfrm>
                      <a:off x="7505369" y="14194258"/>
                      <a:ext cx="3657600" cy="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73" name="Straight Connector 172">
                      <a:extLst>
                        <a:ext uri="{FF2B5EF4-FFF2-40B4-BE49-F238E27FC236}">
                          <a16:creationId xmlns:a16="http://schemas.microsoft.com/office/drawing/2014/main" id="{00000000-0008-0000-0300-0000AD000000}"/>
                        </a:ext>
                      </a:extLst>
                    </xdr:cNvPr>
                    <xdr:cNvCxnSpPr>
                      <a:cxnSpLocks/>
                    </xdr:cNvCxnSpPr>
                  </xdr:nvCxnSpPr>
                  <xdr:spPr>
                    <a:xfrm flipV="1">
                      <a:off x="11162968" y="12771374"/>
                      <a:ext cx="2268071" cy="142961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74" name="Isosceles Triangle 173">
                      <a:extLst>
                        <a:ext uri="{FF2B5EF4-FFF2-40B4-BE49-F238E27FC236}">
                          <a16:creationId xmlns:a16="http://schemas.microsoft.com/office/drawing/2014/main" id="{00000000-0008-0000-0300-0000AE000000}"/>
                        </a:ext>
                      </a:extLst>
                    </xdr:cNvPr>
                    <xdr:cNvSpPr/>
                  </xdr:nvSpPr>
                  <xdr:spPr>
                    <a:xfrm rot="10800000">
                      <a:off x="7626316" y="14118621"/>
                      <a:ext cx="71719" cy="52667"/>
                    </a:xfrm>
                    <a:prstGeom prst="triangle">
                      <a:avLst/>
                    </a:prstGeom>
                    <a:noFill/>
                    <a:ln w="1905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75" name="Freeform: Shape 174">
                      <a:extLst>
                        <a:ext uri="{FF2B5EF4-FFF2-40B4-BE49-F238E27FC236}">
                          <a16:creationId xmlns:a16="http://schemas.microsoft.com/office/drawing/2014/main" id="{00000000-0008-0000-0300-0000AF000000}"/>
                        </a:ext>
                      </a:extLst>
                    </xdr:cNvPr>
                    <xdr:cNvSpPr/>
                  </xdr:nvSpPr>
                  <xdr:spPr>
                    <a:xfrm>
                      <a:off x="8792733" y="12278894"/>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76" name="Straight Connector 175">
                      <a:extLst>
                        <a:ext uri="{FF2B5EF4-FFF2-40B4-BE49-F238E27FC236}">
                          <a16:creationId xmlns:a16="http://schemas.microsoft.com/office/drawing/2014/main" id="{00000000-0008-0000-0300-0000B0000000}"/>
                        </a:ext>
                      </a:extLst>
                    </xdr:cNvPr>
                    <xdr:cNvCxnSpPr>
                      <a:cxnSpLocks/>
                    </xdr:cNvCxnSpPr>
                  </xdr:nvCxnSpPr>
                  <xdr:spPr>
                    <a:xfrm>
                      <a:off x="8789883" y="12691637"/>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77" name="Straight Connector 176">
                      <a:extLst>
                        <a:ext uri="{FF2B5EF4-FFF2-40B4-BE49-F238E27FC236}">
                          <a16:creationId xmlns:a16="http://schemas.microsoft.com/office/drawing/2014/main" id="{00000000-0008-0000-0300-0000B1000000}"/>
                        </a:ext>
                      </a:extLst>
                    </xdr:cNvPr>
                    <xdr:cNvCxnSpPr>
                      <a:cxnSpLocks/>
                    </xdr:cNvCxnSpPr>
                  </xdr:nvCxnSpPr>
                  <xdr:spPr>
                    <a:xfrm>
                      <a:off x="9801851" y="12681200"/>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178" name="Freeform: Shape 177">
                      <a:extLst>
                        <a:ext uri="{FF2B5EF4-FFF2-40B4-BE49-F238E27FC236}">
                          <a16:creationId xmlns:a16="http://schemas.microsoft.com/office/drawing/2014/main" id="{00000000-0008-0000-0300-0000B2000000}"/>
                        </a:ext>
                      </a:extLst>
                    </xdr:cNvPr>
                    <xdr:cNvSpPr/>
                  </xdr:nvSpPr>
                  <xdr:spPr>
                    <a:xfrm>
                      <a:off x="8786009" y="14199497"/>
                      <a:ext cx="2376510" cy="465675"/>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179" name="Picture 178">
                      <a:extLst>
                        <a:ext uri="{FF2B5EF4-FFF2-40B4-BE49-F238E27FC236}">
                          <a16:creationId xmlns:a16="http://schemas.microsoft.com/office/drawing/2014/main" id="{00000000-0008-0000-0300-0000B3000000}"/>
                        </a:ext>
                      </a:extLst>
                    </xdr:cNvPr>
                    <xdr:cNvPicPr>
                      <a:picLocks noChangeAspect="1"/>
                    </xdr:cNvPicPr>
                  </xdr:nvPicPr>
                  <xdr:blipFill>
                    <a:blip xmlns:r="http://schemas.openxmlformats.org/officeDocument/2006/relationships" r:embed="rId11"/>
                    <a:stretch>
                      <a:fillRect/>
                    </a:stretch>
                  </xdr:blipFill>
                  <xdr:spPr>
                    <a:xfrm>
                      <a:off x="8792733" y="12684740"/>
                      <a:ext cx="1009118" cy="1486549"/>
                    </a:xfrm>
                    <a:prstGeom prst="rect">
                      <a:avLst/>
                    </a:prstGeom>
                  </xdr:spPr>
                </xdr:pic>
                <xdr:grpSp>
                  <xdr:nvGrpSpPr>
                    <xdr:cNvPr id="180" name="Group 179">
                      <a:extLst>
                        <a:ext uri="{FF2B5EF4-FFF2-40B4-BE49-F238E27FC236}">
                          <a16:creationId xmlns:a16="http://schemas.microsoft.com/office/drawing/2014/main" id="{00000000-0008-0000-0300-0000B4000000}"/>
                        </a:ext>
                      </a:extLst>
                    </xdr:cNvPr>
                    <xdr:cNvGrpSpPr/>
                  </xdr:nvGrpSpPr>
                  <xdr:grpSpPr>
                    <a:xfrm>
                      <a:off x="10451743" y="11472192"/>
                      <a:ext cx="133214" cy="50618"/>
                      <a:chOff x="5315884" y="3396043"/>
                      <a:chExt cx="133214" cy="50618"/>
                    </a:xfrm>
                  </xdr:grpSpPr>
                  <xdr:grpSp>
                    <xdr:nvGrpSpPr>
                      <xdr:cNvPr id="380" name="Group 379">
                        <a:extLst>
                          <a:ext uri="{FF2B5EF4-FFF2-40B4-BE49-F238E27FC236}">
                            <a16:creationId xmlns:a16="http://schemas.microsoft.com/office/drawing/2014/main" id="{00000000-0008-0000-0300-00007C010000}"/>
                          </a:ext>
                        </a:extLst>
                      </xdr:cNvPr>
                      <xdr:cNvGrpSpPr/>
                    </xdr:nvGrpSpPr>
                    <xdr:grpSpPr>
                      <a:xfrm>
                        <a:off x="5315884" y="3400942"/>
                        <a:ext cx="43094" cy="45719"/>
                        <a:chOff x="5082563" y="2759244"/>
                        <a:chExt cx="43094" cy="64865"/>
                      </a:xfrm>
                    </xdr:grpSpPr>
                    <xdr:cxnSp macro="">
                      <xdr:nvCxnSpPr>
                        <xdr:cNvPr id="397" name="Straight Connector 396">
                          <a:extLst>
                            <a:ext uri="{FF2B5EF4-FFF2-40B4-BE49-F238E27FC236}">
                              <a16:creationId xmlns:a16="http://schemas.microsoft.com/office/drawing/2014/main" id="{00000000-0008-0000-0300-00008D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8" name="Straight Connector 397">
                          <a:extLst>
                            <a:ext uri="{FF2B5EF4-FFF2-40B4-BE49-F238E27FC236}">
                              <a16:creationId xmlns:a16="http://schemas.microsoft.com/office/drawing/2014/main" id="{00000000-0008-0000-0300-00008E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9" name="Straight Connector 398">
                          <a:extLst>
                            <a:ext uri="{FF2B5EF4-FFF2-40B4-BE49-F238E27FC236}">
                              <a16:creationId xmlns:a16="http://schemas.microsoft.com/office/drawing/2014/main" id="{00000000-0008-0000-0300-00008F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1" name="Group 380">
                        <a:extLst>
                          <a:ext uri="{FF2B5EF4-FFF2-40B4-BE49-F238E27FC236}">
                            <a16:creationId xmlns:a16="http://schemas.microsoft.com/office/drawing/2014/main" id="{00000000-0008-0000-0300-00007D010000}"/>
                          </a:ext>
                        </a:extLst>
                      </xdr:cNvPr>
                      <xdr:cNvGrpSpPr/>
                    </xdr:nvGrpSpPr>
                    <xdr:grpSpPr>
                      <a:xfrm>
                        <a:off x="5339806" y="3399172"/>
                        <a:ext cx="43094" cy="45719"/>
                        <a:chOff x="5082563" y="2759244"/>
                        <a:chExt cx="43094" cy="64865"/>
                      </a:xfrm>
                    </xdr:grpSpPr>
                    <xdr:cxnSp macro="">
                      <xdr:nvCxnSpPr>
                        <xdr:cNvPr id="394" name="Straight Connector 393">
                          <a:extLst>
                            <a:ext uri="{FF2B5EF4-FFF2-40B4-BE49-F238E27FC236}">
                              <a16:creationId xmlns:a16="http://schemas.microsoft.com/office/drawing/2014/main" id="{00000000-0008-0000-0300-00008A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5" name="Straight Connector 394">
                          <a:extLst>
                            <a:ext uri="{FF2B5EF4-FFF2-40B4-BE49-F238E27FC236}">
                              <a16:creationId xmlns:a16="http://schemas.microsoft.com/office/drawing/2014/main" id="{00000000-0008-0000-0300-00008B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6" name="Straight Connector 395">
                          <a:extLst>
                            <a:ext uri="{FF2B5EF4-FFF2-40B4-BE49-F238E27FC236}">
                              <a16:creationId xmlns:a16="http://schemas.microsoft.com/office/drawing/2014/main" id="{00000000-0008-0000-0300-00008C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2" name="Group 381">
                        <a:extLst>
                          <a:ext uri="{FF2B5EF4-FFF2-40B4-BE49-F238E27FC236}">
                            <a16:creationId xmlns:a16="http://schemas.microsoft.com/office/drawing/2014/main" id="{00000000-0008-0000-0300-00007E010000}"/>
                          </a:ext>
                        </a:extLst>
                      </xdr:cNvPr>
                      <xdr:cNvGrpSpPr/>
                    </xdr:nvGrpSpPr>
                    <xdr:grpSpPr>
                      <a:xfrm>
                        <a:off x="5364895" y="3396537"/>
                        <a:ext cx="43094" cy="45719"/>
                        <a:chOff x="5082563" y="2759244"/>
                        <a:chExt cx="43094" cy="64865"/>
                      </a:xfrm>
                    </xdr:grpSpPr>
                    <xdr:cxnSp macro="">
                      <xdr:nvCxnSpPr>
                        <xdr:cNvPr id="391" name="Straight Connector 390">
                          <a:extLst>
                            <a:ext uri="{FF2B5EF4-FFF2-40B4-BE49-F238E27FC236}">
                              <a16:creationId xmlns:a16="http://schemas.microsoft.com/office/drawing/2014/main" id="{00000000-0008-0000-0300-000087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2" name="Straight Connector 391">
                          <a:extLst>
                            <a:ext uri="{FF2B5EF4-FFF2-40B4-BE49-F238E27FC236}">
                              <a16:creationId xmlns:a16="http://schemas.microsoft.com/office/drawing/2014/main" id="{00000000-0008-0000-0300-000088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3" name="Straight Connector 392">
                          <a:extLst>
                            <a:ext uri="{FF2B5EF4-FFF2-40B4-BE49-F238E27FC236}">
                              <a16:creationId xmlns:a16="http://schemas.microsoft.com/office/drawing/2014/main" id="{00000000-0008-0000-0300-000089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3" name="Group 382">
                        <a:extLst>
                          <a:ext uri="{FF2B5EF4-FFF2-40B4-BE49-F238E27FC236}">
                            <a16:creationId xmlns:a16="http://schemas.microsoft.com/office/drawing/2014/main" id="{00000000-0008-0000-0300-00007F010000}"/>
                          </a:ext>
                        </a:extLst>
                      </xdr:cNvPr>
                      <xdr:cNvGrpSpPr/>
                    </xdr:nvGrpSpPr>
                    <xdr:grpSpPr>
                      <a:xfrm>
                        <a:off x="5380336" y="3396043"/>
                        <a:ext cx="43094" cy="45719"/>
                        <a:chOff x="5082563" y="2759244"/>
                        <a:chExt cx="43094" cy="64865"/>
                      </a:xfrm>
                    </xdr:grpSpPr>
                    <xdr:cxnSp macro="">
                      <xdr:nvCxnSpPr>
                        <xdr:cNvPr id="388" name="Straight Connector 387">
                          <a:extLst>
                            <a:ext uri="{FF2B5EF4-FFF2-40B4-BE49-F238E27FC236}">
                              <a16:creationId xmlns:a16="http://schemas.microsoft.com/office/drawing/2014/main" id="{00000000-0008-0000-0300-000084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9" name="Straight Connector 388">
                          <a:extLst>
                            <a:ext uri="{FF2B5EF4-FFF2-40B4-BE49-F238E27FC236}">
                              <a16:creationId xmlns:a16="http://schemas.microsoft.com/office/drawing/2014/main" id="{00000000-0008-0000-0300-000085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0" name="Straight Connector 389">
                          <a:extLst>
                            <a:ext uri="{FF2B5EF4-FFF2-40B4-BE49-F238E27FC236}">
                              <a16:creationId xmlns:a16="http://schemas.microsoft.com/office/drawing/2014/main" id="{00000000-0008-0000-0300-000086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4" name="Group 383">
                        <a:extLst>
                          <a:ext uri="{FF2B5EF4-FFF2-40B4-BE49-F238E27FC236}">
                            <a16:creationId xmlns:a16="http://schemas.microsoft.com/office/drawing/2014/main" id="{00000000-0008-0000-0300-000080010000}"/>
                          </a:ext>
                        </a:extLst>
                      </xdr:cNvPr>
                      <xdr:cNvGrpSpPr/>
                    </xdr:nvGrpSpPr>
                    <xdr:grpSpPr>
                      <a:xfrm>
                        <a:off x="5406004" y="3399172"/>
                        <a:ext cx="43094" cy="45719"/>
                        <a:chOff x="5082563" y="2759244"/>
                        <a:chExt cx="43094" cy="64865"/>
                      </a:xfrm>
                    </xdr:grpSpPr>
                    <xdr:cxnSp macro="">
                      <xdr:nvCxnSpPr>
                        <xdr:cNvPr id="385" name="Straight Connector 384">
                          <a:extLst>
                            <a:ext uri="{FF2B5EF4-FFF2-40B4-BE49-F238E27FC236}">
                              <a16:creationId xmlns:a16="http://schemas.microsoft.com/office/drawing/2014/main" id="{00000000-0008-0000-0300-000081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6" name="Straight Connector 385">
                          <a:extLst>
                            <a:ext uri="{FF2B5EF4-FFF2-40B4-BE49-F238E27FC236}">
                              <a16:creationId xmlns:a16="http://schemas.microsoft.com/office/drawing/2014/main" id="{00000000-0008-0000-0300-000082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7" name="Straight Connector 386">
                          <a:extLst>
                            <a:ext uri="{FF2B5EF4-FFF2-40B4-BE49-F238E27FC236}">
                              <a16:creationId xmlns:a16="http://schemas.microsoft.com/office/drawing/2014/main" id="{00000000-0008-0000-0300-000083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1" name="Group 180">
                      <a:extLst>
                        <a:ext uri="{FF2B5EF4-FFF2-40B4-BE49-F238E27FC236}">
                          <a16:creationId xmlns:a16="http://schemas.microsoft.com/office/drawing/2014/main" id="{00000000-0008-0000-0300-0000B5000000}"/>
                        </a:ext>
                      </a:extLst>
                    </xdr:cNvPr>
                    <xdr:cNvGrpSpPr/>
                  </xdr:nvGrpSpPr>
                  <xdr:grpSpPr>
                    <a:xfrm>
                      <a:off x="9793225" y="12300767"/>
                      <a:ext cx="133214" cy="50618"/>
                      <a:chOff x="5315884" y="3396043"/>
                      <a:chExt cx="133214" cy="50618"/>
                    </a:xfrm>
                  </xdr:grpSpPr>
                  <xdr:grpSp>
                    <xdr:nvGrpSpPr>
                      <xdr:cNvPr id="360" name="Group 359">
                        <a:extLst>
                          <a:ext uri="{FF2B5EF4-FFF2-40B4-BE49-F238E27FC236}">
                            <a16:creationId xmlns:a16="http://schemas.microsoft.com/office/drawing/2014/main" id="{00000000-0008-0000-0300-000068010000}"/>
                          </a:ext>
                        </a:extLst>
                      </xdr:cNvPr>
                      <xdr:cNvGrpSpPr/>
                    </xdr:nvGrpSpPr>
                    <xdr:grpSpPr>
                      <a:xfrm>
                        <a:off x="5315884" y="3400942"/>
                        <a:ext cx="43094" cy="45719"/>
                        <a:chOff x="5082563" y="2759244"/>
                        <a:chExt cx="43094" cy="64865"/>
                      </a:xfrm>
                    </xdr:grpSpPr>
                    <xdr:cxnSp macro="">
                      <xdr:nvCxnSpPr>
                        <xdr:cNvPr id="377" name="Straight Connector 376">
                          <a:extLst>
                            <a:ext uri="{FF2B5EF4-FFF2-40B4-BE49-F238E27FC236}">
                              <a16:creationId xmlns:a16="http://schemas.microsoft.com/office/drawing/2014/main" id="{00000000-0008-0000-0300-000079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8" name="Straight Connector 377">
                          <a:extLst>
                            <a:ext uri="{FF2B5EF4-FFF2-40B4-BE49-F238E27FC236}">
                              <a16:creationId xmlns:a16="http://schemas.microsoft.com/office/drawing/2014/main" id="{00000000-0008-0000-0300-00007A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9" name="Straight Connector 378">
                          <a:extLst>
                            <a:ext uri="{FF2B5EF4-FFF2-40B4-BE49-F238E27FC236}">
                              <a16:creationId xmlns:a16="http://schemas.microsoft.com/office/drawing/2014/main" id="{00000000-0008-0000-0300-00007B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1" name="Group 360">
                        <a:extLst>
                          <a:ext uri="{FF2B5EF4-FFF2-40B4-BE49-F238E27FC236}">
                            <a16:creationId xmlns:a16="http://schemas.microsoft.com/office/drawing/2014/main" id="{00000000-0008-0000-0300-000069010000}"/>
                          </a:ext>
                        </a:extLst>
                      </xdr:cNvPr>
                      <xdr:cNvGrpSpPr/>
                    </xdr:nvGrpSpPr>
                    <xdr:grpSpPr>
                      <a:xfrm>
                        <a:off x="5339806" y="3399172"/>
                        <a:ext cx="43094" cy="45719"/>
                        <a:chOff x="5082563" y="2759244"/>
                        <a:chExt cx="43094" cy="64865"/>
                      </a:xfrm>
                    </xdr:grpSpPr>
                    <xdr:cxnSp macro="">
                      <xdr:nvCxnSpPr>
                        <xdr:cNvPr id="374" name="Straight Connector 373">
                          <a:extLst>
                            <a:ext uri="{FF2B5EF4-FFF2-40B4-BE49-F238E27FC236}">
                              <a16:creationId xmlns:a16="http://schemas.microsoft.com/office/drawing/2014/main" id="{00000000-0008-0000-0300-000076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5" name="Straight Connector 374">
                          <a:extLst>
                            <a:ext uri="{FF2B5EF4-FFF2-40B4-BE49-F238E27FC236}">
                              <a16:creationId xmlns:a16="http://schemas.microsoft.com/office/drawing/2014/main" id="{00000000-0008-0000-0300-000077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6" name="Straight Connector 375">
                          <a:extLst>
                            <a:ext uri="{FF2B5EF4-FFF2-40B4-BE49-F238E27FC236}">
                              <a16:creationId xmlns:a16="http://schemas.microsoft.com/office/drawing/2014/main" id="{00000000-0008-0000-0300-000078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2" name="Group 361">
                        <a:extLst>
                          <a:ext uri="{FF2B5EF4-FFF2-40B4-BE49-F238E27FC236}">
                            <a16:creationId xmlns:a16="http://schemas.microsoft.com/office/drawing/2014/main" id="{00000000-0008-0000-0300-00006A010000}"/>
                          </a:ext>
                        </a:extLst>
                      </xdr:cNvPr>
                      <xdr:cNvGrpSpPr/>
                    </xdr:nvGrpSpPr>
                    <xdr:grpSpPr>
                      <a:xfrm>
                        <a:off x="5364895" y="3396537"/>
                        <a:ext cx="43094" cy="45719"/>
                        <a:chOff x="5082563" y="2759244"/>
                        <a:chExt cx="43094" cy="64865"/>
                      </a:xfrm>
                    </xdr:grpSpPr>
                    <xdr:cxnSp macro="">
                      <xdr:nvCxnSpPr>
                        <xdr:cNvPr id="371" name="Straight Connector 370">
                          <a:extLst>
                            <a:ext uri="{FF2B5EF4-FFF2-40B4-BE49-F238E27FC236}">
                              <a16:creationId xmlns:a16="http://schemas.microsoft.com/office/drawing/2014/main" id="{00000000-0008-0000-0300-000073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2" name="Straight Connector 371">
                          <a:extLst>
                            <a:ext uri="{FF2B5EF4-FFF2-40B4-BE49-F238E27FC236}">
                              <a16:creationId xmlns:a16="http://schemas.microsoft.com/office/drawing/2014/main" id="{00000000-0008-0000-0300-000074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3" name="Straight Connector 372">
                          <a:extLst>
                            <a:ext uri="{FF2B5EF4-FFF2-40B4-BE49-F238E27FC236}">
                              <a16:creationId xmlns:a16="http://schemas.microsoft.com/office/drawing/2014/main" id="{00000000-0008-0000-0300-000075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3" name="Group 362">
                        <a:extLst>
                          <a:ext uri="{FF2B5EF4-FFF2-40B4-BE49-F238E27FC236}">
                            <a16:creationId xmlns:a16="http://schemas.microsoft.com/office/drawing/2014/main" id="{00000000-0008-0000-0300-00006B010000}"/>
                          </a:ext>
                        </a:extLst>
                      </xdr:cNvPr>
                      <xdr:cNvGrpSpPr/>
                    </xdr:nvGrpSpPr>
                    <xdr:grpSpPr>
                      <a:xfrm>
                        <a:off x="5380336" y="3396043"/>
                        <a:ext cx="43094" cy="45719"/>
                        <a:chOff x="5082563" y="2759244"/>
                        <a:chExt cx="43094" cy="64865"/>
                      </a:xfrm>
                    </xdr:grpSpPr>
                    <xdr:cxnSp macro="">
                      <xdr:nvCxnSpPr>
                        <xdr:cNvPr id="368" name="Straight Connector 367">
                          <a:extLst>
                            <a:ext uri="{FF2B5EF4-FFF2-40B4-BE49-F238E27FC236}">
                              <a16:creationId xmlns:a16="http://schemas.microsoft.com/office/drawing/2014/main" id="{00000000-0008-0000-0300-000070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9" name="Straight Connector 368">
                          <a:extLst>
                            <a:ext uri="{FF2B5EF4-FFF2-40B4-BE49-F238E27FC236}">
                              <a16:creationId xmlns:a16="http://schemas.microsoft.com/office/drawing/2014/main" id="{00000000-0008-0000-0300-000071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0" name="Straight Connector 369">
                          <a:extLst>
                            <a:ext uri="{FF2B5EF4-FFF2-40B4-BE49-F238E27FC236}">
                              <a16:creationId xmlns:a16="http://schemas.microsoft.com/office/drawing/2014/main" id="{00000000-0008-0000-0300-000072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4" name="Group 363">
                        <a:extLst>
                          <a:ext uri="{FF2B5EF4-FFF2-40B4-BE49-F238E27FC236}">
                            <a16:creationId xmlns:a16="http://schemas.microsoft.com/office/drawing/2014/main" id="{00000000-0008-0000-0300-00006C010000}"/>
                          </a:ext>
                        </a:extLst>
                      </xdr:cNvPr>
                      <xdr:cNvGrpSpPr/>
                    </xdr:nvGrpSpPr>
                    <xdr:grpSpPr>
                      <a:xfrm>
                        <a:off x="5406004" y="3399172"/>
                        <a:ext cx="43094" cy="45719"/>
                        <a:chOff x="5082563" y="2759244"/>
                        <a:chExt cx="43094" cy="64865"/>
                      </a:xfrm>
                    </xdr:grpSpPr>
                    <xdr:cxnSp macro="">
                      <xdr:nvCxnSpPr>
                        <xdr:cNvPr id="365" name="Straight Connector 364">
                          <a:extLst>
                            <a:ext uri="{FF2B5EF4-FFF2-40B4-BE49-F238E27FC236}">
                              <a16:creationId xmlns:a16="http://schemas.microsoft.com/office/drawing/2014/main" id="{00000000-0008-0000-0300-00006D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6" name="Straight Connector 365">
                          <a:extLst>
                            <a:ext uri="{FF2B5EF4-FFF2-40B4-BE49-F238E27FC236}">
                              <a16:creationId xmlns:a16="http://schemas.microsoft.com/office/drawing/2014/main" id="{00000000-0008-0000-0300-00006E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7" name="Straight Connector 366">
                          <a:extLst>
                            <a:ext uri="{FF2B5EF4-FFF2-40B4-BE49-F238E27FC236}">
                              <a16:creationId xmlns:a16="http://schemas.microsoft.com/office/drawing/2014/main" id="{00000000-0008-0000-0300-00006F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2" name="Group 181">
                      <a:extLst>
                        <a:ext uri="{FF2B5EF4-FFF2-40B4-BE49-F238E27FC236}">
                          <a16:creationId xmlns:a16="http://schemas.microsoft.com/office/drawing/2014/main" id="{00000000-0008-0000-0300-0000B6000000}"/>
                        </a:ext>
                      </a:extLst>
                    </xdr:cNvPr>
                    <xdr:cNvGrpSpPr/>
                  </xdr:nvGrpSpPr>
                  <xdr:grpSpPr>
                    <a:xfrm>
                      <a:off x="11919487" y="11564578"/>
                      <a:ext cx="133214" cy="50618"/>
                      <a:chOff x="5315884" y="3396043"/>
                      <a:chExt cx="133214" cy="50618"/>
                    </a:xfrm>
                  </xdr:grpSpPr>
                  <xdr:grpSp>
                    <xdr:nvGrpSpPr>
                      <xdr:cNvPr id="340" name="Group 339">
                        <a:extLst>
                          <a:ext uri="{FF2B5EF4-FFF2-40B4-BE49-F238E27FC236}">
                            <a16:creationId xmlns:a16="http://schemas.microsoft.com/office/drawing/2014/main" id="{00000000-0008-0000-0300-000054010000}"/>
                          </a:ext>
                        </a:extLst>
                      </xdr:cNvPr>
                      <xdr:cNvGrpSpPr/>
                    </xdr:nvGrpSpPr>
                    <xdr:grpSpPr>
                      <a:xfrm>
                        <a:off x="5315884" y="3400942"/>
                        <a:ext cx="43094" cy="45719"/>
                        <a:chOff x="5082563" y="2759244"/>
                        <a:chExt cx="43094" cy="64865"/>
                      </a:xfrm>
                    </xdr:grpSpPr>
                    <xdr:cxnSp macro="">
                      <xdr:nvCxnSpPr>
                        <xdr:cNvPr id="357" name="Straight Connector 356">
                          <a:extLst>
                            <a:ext uri="{FF2B5EF4-FFF2-40B4-BE49-F238E27FC236}">
                              <a16:creationId xmlns:a16="http://schemas.microsoft.com/office/drawing/2014/main" id="{00000000-0008-0000-0300-000065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8" name="Straight Connector 357">
                          <a:extLst>
                            <a:ext uri="{FF2B5EF4-FFF2-40B4-BE49-F238E27FC236}">
                              <a16:creationId xmlns:a16="http://schemas.microsoft.com/office/drawing/2014/main" id="{00000000-0008-0000-0300-000066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9" name="Straight Connector 358">
                          <a:extLst>
                            <a:ext uri="{FF2B5EF4-FFF2-40B4-BE49-F238E27FC236}">
                              <a16:creationId xmlns:a16="http://schemas.microsoft.com/office/drawing/2014/main" id="{00000000-0008-0000-0300-000067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1" name="Group 340">
                        <a:extLst>
                          <a:ext uri="{FF2B5EF4-FFF2-40B4-BE49-F238E27FC236}">
                            <a16:creationId xmlns:a16="http://schemas.microsoft.com/office/drawing/2014/main" id="{00000000-0008-0000-0300-000055010000}"/>
                          </a:ext>
                        </a:extLst>
                      </xdr:cNvPr>
                      <xdr:cNvGrpSpPr/>
                    </xdr:nvGrpSpPr>
                    <xdr:grpSpPr>
                      <a:xfrm>
                        <a:off x="5339806" y="3399172"/>
                        <a:ext cx="43094" cy="45719"/>
                        <a:chOff x="5082563" y="2759244"/>
                        <a:chExt cx="43094" cy="64865"/>
                      </a:xfrm>
                    </xdr:grpSpPr>
                    <xdr:cxnSp macro="">
                      <xdr:nvCxnSpPr>
                        <xdr:cNvPr id="354" name="Straight Connector 353">
                          <a:extLst>
                            <a:ext uri="{FF2B5EF4-FFF2-40B4-BE49-F238E27FC236}">
                              <a16:creationId xmlns:a16="http://schemas.microsoft.com/office/drawing/2014/main" id="{00000000-0008-0000-0300-000062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5" name="Straight Connector 354">
                          <a:extLst>
                            <a:ext uri="{FF2B5EF4-FFF2-40B4-BE49-F238E27FC236}">
                              <a16:creationId xmlns:a16="http://schemas.microsoft.com/office/drawing/2014/main" id="{00000000-0008-0000-0300-000063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6" name="Straight Connector 355">
                          <a:extLst>
                            <a:ext uri="{FF2B5EF4-FFF2-40B4-BE49-F238E27FC236}">
                              <a16:creationId xmlns:a16="http://schemas.microsoft.com/office/drawing/2014/main" id="{00000000-0008-0000-0300-000064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2" name="Group 341">
                        <a:extLst>
                          <a:ext uri="{FF2B5EF4-FFF2-40B4-BE49-F238E27FC236}">
                            <a16:creationId xmlns:a16="http://schemas.microsoft.com/office/drawing/2014/main" id="{00000000-0008-0000-0300-000056010000}"/>
                          </a:ext>
                        </a:extLst>
                      </xdr:cNvPr>
                      <xdr:cNvGrpSpPr/>
                    </xdr:nvGrpSpPr>
                    <xdr:grpSpPr>
                      <a:xfrm>
                        <a:off x="5364895" y="3396537"/>
                        <a:ext cx="43094" cy="45719"/>
                        <a:chOff x="5082563" y="2759244"/>
                        <a:chExt cx="43094" cy="64865"/>
                      </a:xfrm>
                    </xdr:grpSpPr>
                    <xdr:cxnSp macro="">
                      <xdr:nvCxnSpPr>
                        <xdr:cNvPr id="351" name="Straight Connector 350">
                          <a:extLst>
                            <a:ext uri="{FF2B5EF4-FFF2-40B4-BE49-F238E27FC236}">
                              <a16:creationId xmlns:a16="http://schemas.microsoft.com/office/drawing/2014/main" id="{00000000-0008-0000-0300-00005F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2" name="Straight Connector 351">
                          <a:extLst>
                            <a:ext uri="{FF2B5EF4-FFF2-40B4-BE49-F238E27FC236}">
                              <a16:creationId xmlns:a16="http://schemas.microsoft.com/office/drawing/2014/main" id="{00000000-0008-0000-0300-000060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3" name="Straight Connector 352">
                          <a:extLst>
                            <a:ext uri="{FF2B5EF4-FFF2-40B4-BE49-F238E27FC236}">
                              <a16:creationId xmlns:a16="http://schemas.microsoft.com/office/drawing/2014/main" id="{00000000-0008-0000-0300-000061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3" name="Group 342">
                        <a:extLst>
                          <a:ext uri="{FF2B5EF4-FFF2-40B4-BE49-F238E27FC236}">
                            <a16:creationId xmlns:a16="http://schemas.microsoft.com/office/drawing/2014/main" id="{00000000-0008-0000-0300-000057010000}"/>
                          </a:ext>
                        </a:extLst>
                      </xdr:cNvPr>
                      <xdr:cNvGrpSpPr/>
                    </xdr:nvGrpSpPr>
                    <xdr:grpSpPr>
                      <a:xfrm>
                        <a:off x="5380336" y="3396043"/>
                        <a:ext cx="43094" cy="45719"/>
                        <a:chOff x="5082563" y="2759244"/>
                        <a:chExt cx="43094" cy="64865"/>
                      </a:xfrm>
                    </xdr:grpSpPr>
                    <xdr:cxnSp macro="">
                      <xdr:nvCxnSpPr>
                        <xdr:cNvPr id="348" name="Straight Connector 347">
                          <a:extLst>
                            <a:ext uri="{FF2B5EF4-FFF2-40B4-BE49-F238E27FC236}">
                              <a16:creationId xmlns:a16="http://schemas.microsoft.com/office/drawing/2014/main" id="{00000000-0008-0000-0300-00005C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9" name="Straight Connector 348">
                          <a:extLst>
                            <a:ext uri="{FF2B5EF4-FFF2-40B4-BE49-F238E27FC236}">
                              <a16:creationId xmlns:a16="http://schemas.microsoft.com/office/drawing/2014/main" id="{00000000-0008-0000-0300-00005D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0" name="Straight Connector 349">
                          <a:extLst>
                            <a:ext uri="{FF2B5EF4-FFF2-40B4-BE49-F238E27FC236}">
                              <a16:creationId xmlns:a16="http://schemas.microsoft.com/office/drawing/2014/main" id="{00000000-0008-0000-0300-00005E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4" name="Group 343">
                        <a:extLst>
                          <a:ext uri="{FF2B5EF4-FFF2-40B4-BE49-F238E27FC236}">
                            <a16:creationId xmlns:a16="http://schemas.microsoft.com/office/drawing/2014/main" id="{00000000-0008-0000-0300-000058010000}"/>
                          </a:ext>
                        </a:extLst>
                      </xdr:cNvPr>
                      <xdr:cNvGrpSpPr/>
                    </xdr:nvGrpSpPr>
                    <xdr:grpSpPr>
                      <a:xfrm>
                        <a:off x="5406004" y="3399172"/>
                        <a:ext cx="43094" cy="45719"/>
                        <a:chOff x="5082563" y="2759244"/>
                        <a:chExt cx="43094" cy="64865"/>
                      </a:xfrm>
                    </xdr:grpSpPr>
                    <xdr:cxnSp macro="">
                      <xdr:nvCxnSpPr>
                        <xdr:cNvPr id="345" name="Straight Connector 344">
                          <a:extLst>
                            <a:ext uri="{FF2B5EF4-FFF2-40B4-BE49-F238E27FC236}">
                              <a16:creationId xmlns:a16="http://schemas.microsoft.com/office/drawing/2014/main" id="{00000000-0008-0000-0300-000059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6" name="Straight Connector 345">
                          <a:extLst>
                            <a:ext uri="{FF2B5EF4-FFF2-40B4-BE49-F238E27FC236}">
                              <a16:creationId xmlns:a16="http://schemas.microsoft.com/office/drawing/2014/main" id="{00000000-0008-0000-0300-00005A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7" name="Straight Connector 346">
                          <a:extLst>
                            <a:ext uri="{FF2B5EF4-FFF2-40B4-BE49-F238E27FC236}">
                              <a16:creationId xmlns:a16="http://schemas.microsoft.com/office/drawing/2014/main" id="{00000000-0008-0000-0300-00005B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3" name="Group 182">
                      <a:extLst>
                        <a:ext uri="{FF2B5EF4-FFF2-40B4-BE49-F238E27FC236}">
                          <a16:creationId xmlns:a16="http://schemas.microsoft.com/office/drawing/2014/main" id="{00000000-0008-0000-0300-0000B7000000}"/>
                        </a:ext>
                      </a:extLst>
                    </xdr:cNvPr>
                    <xdr:cNvGrpSpPr/>
                  </xdr:nvGrpSpPr>
                  <xdr:grpSpPr>
                    <a:xfrm>
                      <a:off x="9172513" y="11895503"/>
                      <a:ext cx="133214" cy="50618"/>
                      <a:chOff x="5315884" y="3396043"/>
                      <a:chExt cx="133214" cy="50618"/>
                    </a:xfrm>
                  </xdr:grpSpPr>
                  <xdr:grpSp>
                    <xdr:nvGrpSpPr>
                      <xdr:cNvPr id="320" name="Group 319">
                        <a:extLst>
                          <a:ext uri="{FF2B5EF4-FFF2-40B4-BE49-F238E27FC236}">
                            <a16:creationId xmlns:a16="http://schemas.microsoft.com/office/drawing/2014/main" id="{00000000-0008-0000-0300-000040010000}"/>
                          </a:ext>
                        </a:extLst>
                      </xdr:cNvPr>
                      <xdr:cNvGrpSpPr/>
                    </xdr:nvGrpSpPr>
                    <xdr:grpSpPr>
                      <a:xfrm>
                        <a:off x="5315884" y="3400942"/>
                        <a:ext cx="43094" cy="45719"/>
                        <a:chOff x="5082563" y="2759244"/>
                        <a:chExt cx="43094" cy="64865"/>
                      </a:xfrm>
                    </xdr:grpSpPr>
                    <xdr:cxnSp macro="">
                      <xdr:nvCxnSpPr>
                        <xdr:cNvPr id="337" name="Straight Connector 336">
                          <a:extLst>
                            <a:ext uri="{FF2B5EF4-FFF2-40B4-BE49-F238E27FC236}">
                              <a16:creationId xmlns:a16="http://schemas.microsoft.com/office/drawing/2014/main" id="{00000000-0008-0000-0300-000051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8" name="Straight Connector 337">
                          <a:extLst>
                            <a:ext uri="{FF2B5EF4-FFF2-40B4-BE49-F238E27FC236}">
                              <a16:creationId xmlns:a16="http://schemas.microsoft.com/office/drawing/2014/main" id="{00000000-0008-0000-0300-000052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9" name="Straight Connector 338">
                          <a:extLst>
                            <a:ext uri="{FF2B5EF4-FFF2-40B4-BE49-F238E27FC236}">
                              <a16:creationId xmlns:a16="http://schemas.microsoft.com/office/drawing/2014/main" id="{00000000-0008-0000-0300-000053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1" name="Group 320">
                        <a:extLst>
                          <a:ext uri="{FF2B5EF4-FFF2-40B4-BE49-F238E27FC236}">
                            <a16:creationId xmlns:a16="http://schemas.microsoft.com/office/drawing/2014/main" id="{00000000-0008-0000-0300-000041010000}"/>
                          </a:ext>
                        </a:extLst>
                      </xdr:cNvPr>
                      <xdr:cNvGrpSpPr/>
                    </xdr:nvGrpSpPr>
                    <xdr:grpSpPr>
                      <a:xfrm>
                        <a:off x="5339806" y="3399172"/>
                        <a:ext cx="43094" cy="45719"/>
                        <a:chOff x="5082563" y="2759244"/>
                        <a:chExt cx="43094" cy="64865"/>
                      </a:xfrm>
                    </xdr:grpSpPr>
                    <xdr:cxnSp macro="">
                      <xdr:nvCxnSpPr>
                        <xdr:cNvPr id="334" name="Straight Connector 333">
                          <a:extLst>
                            <a:ext uri="{FF2B5EF4-FFF2-40B4-BE49-F238E27FC236}">
                              <a16:creationId xmlns:a16="http://schemas.microsoft.com/office/drawing/2014/main" id="{00000000-0008-0000-0300-00004E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5" name="Straight Connector 334">
                          <a:extLst>
                            <a:ext uri="{FF2B5EF4-FFF2-40B4-BE49-F238E27FC236}">
                              <a16:creationId xmlns:a16="http://schemas.microsoft.com/office/drawing/2014/main" id="{00000000-0008-0000-0300-00004F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6" name="Straight Connector 335">
                          <a:extLst>
                            <a:ext uri="{FF2B5EF4-FFF2-40B4-BE49-F238E27FC236}">
                              <a16:creationId xmlns:a16="http://schemas.microsoft.com/office/drawing/2014/main" id="{00000000-0008-0000-0300-000050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2" name="Group 321">
                        <a:extLst>
                          <a:ext uri="{FF2B5EF4-FFF2-40B4-BE49-F238E27FC236}">
                            <a16:creationId xmlns:a16="http://schemas.microsoft.com/office/drawing/2014/main" id="{00000000-0008-0000-0300-000042010000}"/>
                          </a:ext>
                        </a:extLst>
                      </xdr:cNvPr>
                      <xdr:cNvGrpSpPr/>
                    </xdr:nvGrpSpPr>
                    <xdr:grpSpPr>
                      <a:xfrm>
                        <a:off x="5364895" y="3396537"/>
                        <a:ext cx="43094" cy="45719"/>
                        <a:chOff x="5082563" y="2759244"/>
                        <a:chExt cx="43094" cy="64865"/>
                      </a:xfrm>
                    </xdr:grpSpPr>
                    <xdr:cxnSp macro="">
                      <xdr:nvCxnSpPr>
                        <xdr:cNvPr id="331" name="Straight Connector 330">
                          <a:extLst>
                            <a:ext uri="{FF2B5EF4-FFF2-40B4-BE49-F238E27FC236}">
                              <a16:creationId xmlns:a16="http://schemas.microsoft.com/office/drawing/2014/main" id="{00000000-0008-0000-0300-00004B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2" name="Straight Connector 331">
                          <a:extLst>
                            <a:ext uri="{FF2B5EF4-FFF2-40B4-BE49-F238E27FC236}">
                              <a16:creationId xmlns:a16="http://schemas.microsoft.com/office/drawing/2014/main" id="{00000000-0008-0000-0300-00004C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3" name="Straight Connector 332">
                          <a:extLst>
                            <a:ext uri="{FF2B5EF4-FFF2-40B4-BE49-F238E27FC236}">
                              <a16:creationId xmlns:a16="http://schemas.microsoft.com/office/drawing/2014/main" id="{00000000-0008-0000-0300-00004D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3" name="Group 322">
                        <a:extLst>
                          <a:ext uri="{FF2B5EF4-FFF2-40B4-BE49-F238E27FC236}">
                            <a16:creationId xmlns:a16="http://schemas.microsoft.com/office/drawing/2014/main" id="{00000000-0008-0000-0300-000043010000}"/>
                          </a:ext>
                        </a:extLst>
                      </xdr:cNvPr>
                      <xdr:cNvGrpSpPr/>
                    </xdr:nvGrpSpPr>
                    <xdr:grpSpPr>
                      <a:xfrm>
                        <a:off x="5380336" y="3396043"/>
                        <a:ext cx="43094" cy="45719"/>
                        <a:chOff x="5082563" y="2759244"/>
                        <a:chExt cx="43094" cy="64865"/>
                      </a:xfrm>
                    </xdr:grpSpPr>
                    <xdr:cxnSp macro="">
                      <xdr:nvCxnSpPr>
                        <xdr:cNvPr id="328" name="Straight Connector 327">
                          <a:extLst>
                            <a:ext uri="{FF2B5EF4-FFF2-40B4-BE49-F238E27FC236}">
                              <a16:creationId xmlns:a16="http://schemas.microsoft.com/office/drawing/2014/main" id="{00000000-0008-0000-0300-000048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9" name="Straight Connector 328">
                          <a:extLst>
                            <a:ext uri="{FF2B5EF4-FFF2-40B4-BE49-F238E27FC236}">
                              <a16:creationId xmlns:a16="http://schemas.microsoft.com/office/drawing/2014/main" id="{00000000-0008-0000-0300-000049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0" name="Straight Connector 329">
                          <a:extLst>
                            <a:ext uri="{FF2B5EF4-FFF2-40B4-BE49-F238E27FC236}">
                              <a16:creationId xmlns:a16="http://schemas.microsoft.com/office/drawing/2014/main" id="{00000000-0008-0000-0300-00004A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4" name="Group 323">
                        <a:extLst>
                          <a:ext uri="{FF2B5EF4-FFF2-40B4-BE49-F238E27FC236}">
                            <a16:creationId xmlns:a16="http://schemas.microsoft.com/office/drawing/2014/main" id="{00000000-0008-0000-0300-000044010000}"/>
                          </a:ext>
                        </a:extLst>
                      </xdr:cNvPr>
                      <xdr:cNvGrpSpPr/>
                    </xdr:nvGrpSpPr>
                    <xdr:grpSpPr>
                      <a:xfrm>
                        <a:off x="5406004" y="3399172"/>
                        <a:ext cx="43094" cy="45719"/>
                        <a:chOff x="5082563" y="2759244"/>
                        <a:chExt cx="43094" cy="64865"/>
                      </a:xfrm>
                    </xdr:grpSpPr>
                    <xdr:cxnSp macro="">
                      <xdr:nvCxnSpPr>
                        <xdr:cNvPr id="325" name="Straight Connector 324">
                          <a:extLst>
                            <a:ext uri="{FF2B5EF4-FFF2-40B4-BE49-F238E27FC236}">
                              <a16:creationId xmlns:a16="http://schemas.microsoft.com/office/drawing/2014/main" id="{00000000-0008-0000-0300-000045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6" name="Straight Connector 325">
                          <a:extLst>
                            <a:ext uri="{FF2B5EF4-FFF2-40B4-BE49-F238E27FC236}">
                              <a16:creationId xmlns:a16="http://schemas.microsoft.com/office/drawing/2014/main" id="{00000000-0008-0000-0300-000046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7" name="Straight Connector 326">
                          <a:extLst>
                            <a:ext uri="{FF2B5EF4-FFF2-40B4-BE49-F238E27FC236}">
                              <a16:creationId xmlns:a16="http://schemas.microsoft.com/office/drawing/2014/main" id="{00000000-0008-0000-0300-000047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184" name="Freeform: Shape 183">
                      <a:extLst>
                        <a:ext uri="{FF2B5EF4-FFF2-40B4-BE49-F238E27FC236}">
                          <a16:creationId xmlns:a16="http://schemas.microsoft.com/office/drawing/2014/main" id="{00000000-0008-0000-0300-0000B8000000}"/>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85" name="Group 184">
                      <a:extLst>
                        <a:ext uri="{FF2B5EF4-FFF2-40B4-BE49-F238E27FC236}">
                          <a16:creationId xmlns:a16="http://schemas.microsoft.com/office/drawing/2014/main" id="{00000000-0008-0000-0300-0000B9000000}"/>
                        </a:ext>
                      </a:extLst>
                    </xdr:cNvPr>
                    <xdr:cNvGrpSpPr/>
                  </xdr:nvGrpSpPr>
                  <xdr:grpSpPr>
                    <a:xfrm>
                      <a:off x="11001398" y="14219604"/>
                      <a:ext cx="138114" cy="477401"/>
                      <a:chOff x="656350" y="2824382"/>
                      <a:chExt cx="138114" cy="2470750"/>
                    </a:xfrm>
                  </xdr:grpSpPr>
                  <xdr:cxnSp macro="">
                    <xdr:nvCxnSpPr>
                      <xdr:cNvPr id="317" name="Straight Connector 316">
                        <a:extLst>
                          <a:ext uri="{FF2B5EF4-FFF2-40B4-BE49-F238E27FC236}">
                            <a16:creationId xmlns:a16="http://schemas.microsoft.com/office/drawing/2014/main" id="{00000000-0008-0000-0300-00003D010000}"/>
                          </a:ext>
                        </a:extLst>
                      </xdr:cNvPr>
                      <xdr:cNvCxnSpPr/>
                    </xdr:nvCxnSpPr>
                    <xdr:spPr>
                      <a:xfrm flipV="1">
                        <a:off x="723025" y="2824382"/>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8" name="Straight Connector 317">
                        <a:extLst>
                          <a:ext uri="{FF2B5EF4-FFF2-40B4-BE49-F238E27FC236}">
                            <a16:creationId xmlns:a16="http://schemas.microsoft.com/office/drawing/2014/main" id="{00000000-0008-0000-0300-00003E010000}"/>
                          </a:ext>
                        </a:extLst>
                      </xdr:cNvPr>
                      <xdr:cNvCxnSpPr/>
                    </xdr:nvCxnSpPr>
                    <xdr:spPr>
                      <a:xfrm flipH="1">
                        <a:off x="656350" y="2824382"/>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9" name="Straight Connector 318">
                        <a:extLst>
                          <a:ext uri="{FF2B5EF4-FFF2-40B4-BE49-F238E27FC236}">
                            <a16:creationId xmlns:a16="http://schemas.microsoft.com/office/drawing/2014/main" id="{00000000-0008-0000-0300-00003F010000}"/>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86" name="TextBox 367">
                      <a:extLst>
                        <a:ext uri="{FF2B5EF4-FFF2-40B4-BE49-F238E27FC236}">
                          <a16:creationId xmlns:a16="http://schemas.microsoft.com/office/drawing/2014/main" id="{00000000-0008-0000-0300-0000BA000000}"/>
                        </a:ext>
                      </a:extLst>
                    </xdr:cNvPr>
                    <xdr:cNvSpPr txBox="1"/>
                  </xdr:nvSpPr>
                  <xdr:spPr>
                    <a:xfrm>
                      <a:off x="10691834" y="14223617"/>
                      <a:ext cx="473667"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600" b="1" i="1">
                          <a:latin typeface="Broadway" panose="04040905080B02020502" pitchFamily="82" charset="0"/>
                          <a:ea typeface="Calibri" panose="020F0502020204030204" pitchFamily="34" charset="0"/>
                          <a:cs typeface="Arial" panose="020B0604020202020204" pitchFamily="34" charset="0"/>
                        </a:rPr>
                        <a:t>δ</a:t>
                      </a:r>
                      <a:r>
                        <a:rPr lang="en-US" sz="1050" b="1" i="1" baseline="-25000">
                          <a:latin typeface="Arial" panose="020B0604020202020204" pitchFamily="34" charset="0"/>
                          <a:ea typeface="Calibri" panose="020F0502020204030204" pitchFamily="34" charset="0"/>
                          <a:cs typeface="Arial" panose="020B0604020202020204" pitchFamily="34" charset="0"/>
                        </a:rPr>
                        <a:t>gw</a:t>
                      </a:r>
                      <a:endParaRPr lang="en-US" sz="1050" b="1" i="1" baseline="-25000">
                        <a:latin typeface="Arial" panose="020B0604020202020204" pitchFamily="34" charset="0"/>
                        <a:cs typeface="Arial" panose="020B0604020202020204" pitchFamily="34" charset="0"/>
                      </a:endParaRPr>
                    </a:p>
                    <a:p>
                      <a:endParaRPr lang="en-US" sz="2400" b="1" i="1"/>
                    </a:p>
                  </xdr:txBody>
                </xdr:sp>
                <xdr:grpSp>
                  <xdr:nvGrpSpPr>
                    <xdr:cNvPr id="187" name="Group 186">
                      <a:extLst>
                        <a:ext uri="{FF2B5EF4-FFF2-40B4-BE49-F238E27FC236}">
                          <a16:creationId xmlns:a16="http://schemas.microsoft.com/office/drawing/2014/main" id="{00000000-0008-0000-0300-0000BB000000}"/>
                        </a:ext>
                      </a:extLst>
                    </xdr:cNvPr>
                    <xdr:cNvGrpSpPr/>
                  </xdr:nvGrpSpPr>
                  <xdr:grpSpPr>
                    <a:xfrm>
                      <a:off x="9815384" y="12710234"/>
                      <a:ext cx="138114" cy="1447804"/>
                      <a:chOff x="2355979" y="2687037"/>
                      <a:chExt cx="138114" cy="2470751"/>
                    </a:xfrm>
                  </xdr:grpSpPr>
                  <xdr:cxnSp macro="">
                    <xdr:nvCxnSpPr>
                      <xdr:cNvPr id="314" name="Straight Connector 313">
                        <a:extLst>
                          <a:ext uri="{FF2B5EF4-FFF2-40B4-BE49-F238E27FC236}">
                            <a16:creationId xmlns:a16="http://schemas.microsoft.com/office/drawing/2014/main" id="{00000000-0008-0000-0300-00003A010000}"/>
                          </a:ext>
                        </a:extLst>
                      </xdr:cNvPr>
                      <xdr:cNvCxnSpPr/>
                    </xdr:nvCxnSpPr>
                    <xdr:spPr>
                      <a:xfrm flipV="1">
                        <a:off x="2422654" y="2687037"/>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5" name="Straight Connector 314">
                        <a:extLst>
                          <a:ext uri="{FF2B5EF4-FFF2-40B4-BE49-F238E27FC236}">
                            <a16:creationId xmlns:a16="http://schemas.microsoft.com/office/drawing/2014/main" id="{00000000-0008-0000-0300-00003B010000}"/>
                          </a:ext>
                        </a:extLst>
                      </xdr:cNvPr>
                      <xdr:cNvCxnSpPr/>
                    </xdr:nvCxnSpPr>
                    <xdr:spPr>
                      <a:xfrm flipH="1">
                        <a:off x="2355979" y="268703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6" name="Straight Connector 315">
                        <a:extLst>
                          <a:ext uri="{FF2B5EF4-FFF2-40B4-BE49-F238E27FC236}">
                            <a16:creationId xmlns:a16="http://schemas.microsoft.com/office/drawing/2014/main" id="{00000000-0008-0000-0300-00003C010000}"/>
                          </a:ext>
                        </a:extLst>
                      </xdr:cNvPr>
                      <xdr:cNvCxnSpPr/>
                    </xdr:nvCxnSpPr>
                    <xdr:spPr>
                      <a:xfrm flipH="1">
                        <a:off x="2360743" y="515778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88" name="TextBox 372">
                      <a:extLst>
                        <a:ext uri="{FF2B5EF4-FFF2-40B4-BE49-F238E27FC236}">
                          <a16:creationId xmlns:a16="http://schemas.microsoft.com/office/drawing/2014/main" id="{00000000-0008-0000-0300-0000BC000000}"/>
                        </a:ext>
                      </a:extLst>
                    </xdr:cNvPr>
                    <xdr:cNvSpPr txBox="1"/>
                  </xdr:nvSpPr>
                  <xdr:spPr>
                    <a:xfrm>
                      <a:off x="9815261" y="13283755"/>
                      <a:ext cx="284816"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L </a:t>
                      </a:r>
                    </a:p>
                  </xdr:txBody>
                </xdr:sp>
                <xdr:grpSp>
                  <xdr:nvGrpSpPr>
                    <xdr:cNvPr id="189" name="Group 188">
                      <a:extLst>
                        <a:ext uri="{FF2B5EF4-FFF2-40B4-BE49-F238E27FC236}">
                          <a16:creationId xmlns:a16="http://schemas.microsoft.com/office/drawing/2014/main" id="{00000000-0008-0000-0300-0000BD000000}"/>
                        </a:ext>
                      </a:extLst>
                    </xdr:cNvPr>
                    <xdr:cNvGrpSpPr/>
                  </xdr:nvGrpSpPr>
                  <xdr:grpSpPr>
                    <a:xfrm rot="5400000">
                      <a:off x="9223670" y="13798998"/>
                      <a:ext cx="138113" cy="1018249"/>
                      <a:chOff x="1100139" y="2687037"/>
                      <a:chExt cx="138113" cy="2470752"/>
                    </a:xfrm>
                  </xdr:grpSpPr>
                  <xdr:cxnSp macro="">
                    <xdr:nvCxnSpPr>
                      <xdr:cNvPr id="311" name="Straight Connector 310">
                        <a:extLst>
                          <a:ext uri="{FF2B5EF4-FFF2-40B4-BE49-F238E27FC236}">
                            <a16:creationId xmlns:a16="http://schemas.microsoft.com/office/drawing/2014/main" id="{00000000-0008-0000-0300-000037010000}"/>
                          </a:ext>
                        </a:extLst>
                      </xdr:cNvPr>
                      <xdr:cNvCxnSpPr/>
                    </xdr:nvCxnSpPr>
                    <xdr:spPr>
                      <a:xfrm rot="16200000">
                        <a:off x="-68562" y="3922414"/>
                        <a:ext cx="24707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2" name="Straight Connector 311">
                        <a:extLst>
                          <a:ext uri="{FF2B5EF4-FFF2-40B4-BE49-F238E27FC236}">
                            <a16:creationId xmlns:a16="http://schemas.microsoft.com/office/drawing/2014/main" id="{00000000-0008-0000-0300-000038010000}"/>
                          </a:ext>
                        </a:extLst>
                      </xdr:cNvPr>
                      <xdr:cNvCxnSpPr/>
                    </xdr:nvCxnSpPr>
                    <xdr:spPr>
                      <a:xfrm rot="16200000" flipV="1">
                        <a:off x="1166814" y="262036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3" name="Straight Connector 312">
                        <a:extLst>
                          <a:ext uri="{FF2B5EF4-FFF2-40B4-BE49-F238E27FC236}">
                            <a16:creationId xmlns:a16="http://schemas.microsoft.com/office/drawing/2014/main" id="{00000000-0008-0000-0300-000039010000}"/>
                          </a:ext>
                        </a:extLst>
                      </xdr:cNvPr>
                      <xdr:cNvCxnSpPr/>
                    </xdr:nvCxnSpPr>
                    <xdr:spPr>
                      <a:xfrm rot="16200000" flipV="1">
                        <a:off x="1171577" y="5091114"/>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90" name="TextBox 377">
                      <a:extLst>
                        <a:ext uri="{FF2B5EF4-FFF2-40B4-BE49-F238E27FC236}">
                          <a16:creationId xmlns:a16="http://schemas.microsoft.com/office/drawing/2014/main" id="{00000000-0008-0000-0300-0000BE000000}"/>
                        </a:ext>
                      </a:extLst>
                    </xdr:cNvPr>
                    <xdr:cNvSpPr txBox="1"/>
                  </xdr:nvSpPr>
                  <xdr:spPr>
                    <a:xfrm>
                      <a:off x="8900965" y="14264123"/>
                      <a:ext cx="361290"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W</a:t>
                      </a:r>
                    </a:p>
                  </xdr:txBody>
                </xdr:sp>
                <xdr:sp macro="" textlink="">
                  <xdr:nvSpPr>
                    <xdr:cNvPr id="191" name="TextBox 382">
                      <a:extLst>
                        <a:ext uri="{FF2B5EF4-FFF2-40B4-BE49-F238E27FC236}">
                          <a16:creationId xmlns:a16="http://schemas.microsoft.com/office/drawing/2014/main" id="{00000000-0008-0000-0300-0000BF000000}"/>
                        </a:ext>
                      </a:extLst>
                    </xdr:cNvPr>
                    <xdr:cNvSpPr txBox="1"/>
                  </xdr:nvSpPr>
                  <xdr:spPr>
                    <a:xfrm>
                      <a:off x="10126270" y="14662154"/>
                      <a:ext cx="435394"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latin typeface="Times New Roman" panose="02020603050405020304" pitchFamily="18" charset="0"/>
                          <a:cs typeface="Times New Roman" panose="02020603050405020304" pitchFamily="18" charset="0"/>
                        </a:rPr>
                        <a:t>b</a:t>
                      </a:r>
                      <a:r>
                        <a:rPr lang="en-US" sz="1400" b="1" baseline="-25000">
                          <a:latin typeface="Times New Roman" panose="02020603050405020304" pitchFamily="18" charset="0"/>
                          <a:cs typeface="Times New Roman" panose="02020603050405020304" pitchFamily="18" charset="0"/>
                        </a:rPr>
                        <a:t>sat</a:t>
                      </a:r>
                    </a:p>
                  </xdr:txBody>
                </xdr:sp>
                <xdr:cxnSp macro="">
                  <xdr:nvCxnSpPr>
                    <xdr:cNvPr id="192" name="Straight Arrow Connector 191">
                      <a:extLst>
                        <a:ext uri="{FF2B5EF4-FFF2-40B4-BE49-F238E27FC236}">
                          <a16:creationId xmlns:a16="http://schemas.microsoft.com/office/drawing/2014/main" id="{00000000-0008-0000-0300-0000C0000000}"/>
                        </a:ext>
                      </a:extLst>
                    </xdr:cNvPr>
                    <xdr:cNvCxnSpPr/>
                  </xdr:nvCxnSpPr>
                  <xdr:spPr>
                    <a:xfrm>
                      <a:off x="7586293" y="14688014"/>
                      <a:ext cx="588386" cy="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3" name="TextBox 385">
                      <a:extLst>
                        <a:ext uri="{FF2B5EF4-FFF2-40B4-BE49-F238E27FC236}">
                          <a16:creationId xmlns:a16="http://schemas.microsoft.com/office/drawing/2014/main" id="{00000000-0008-0000-0300-0000C1000000}"/>
                        </a:ext>
                      </a:extLst>
                    </xdr:cNvPr>
                    <xdr:cNvSpPr txBox="1"/>
                  </xdr:nvSpPr>
                  <xdr:spPr>
                    <a:xfrm>
                      <a:off x="7482860" y="14718155"/>
                      <a:ext cx="1375379" cy="24719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50" b="1">
                          <a:latin typeface="Arial" panose="020B0604020202020204" pitchFamily="34" charset="0"/>
                          <a:cs typeface="Arial" panose="020B0604020202020204" pitchFamily="34" charset="0"/>
                        </a:rPr>
                        <a:t>Groundwater flow</a:t>
                      </a:r>
                    </a:p>
                  </xdr:txBody>
                </xdr:sp>
                <xdr:sp macro="" textlink="">
                  <xdr:nvSpPr>
                    <xdr:cNvPr id="194" name="TextBox 388">
                      <a:extLst>
                        <a:ext uri="{FF2B5EF4-FFF2-40B4-BE49-F238E27FC236}">
                          <a16:creationId xmlns:a16="http://schemas.microsoft.com/office/drawing/2014/main" id="{00000000-0008-0000-0300-0000C2000000}"/>
                        </a:ext>
                      </a:extLst>
                    </xdr:cNvPr>
                    <xdr:cNvSpPr txBox="1"/>
                  </xdr:nvSpPr>
                  <xdr:spPr>
                    <a:xfrm>
                      <a:off x="8800582" y="12816458"/>
                      <a:ext cx="1002221" cy="57900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100" b="1">
                          <a:latin typeface="Arial" panose="020B0604020202020204" pitchFamily="34" charset="0"/>
                          <a:cs typeface="Arial" panose="020B0604020202020204" pitchFamily="34" charset="0"/>
                        </a:rPr>
                        <a:t>PFAS transport</a:t>
                      </a:r>
                    </a:p>
                    <a:p>
                      <a:pPr algn="ctr"/>
                      <a:r>
                        <a:rPr lang="en-US" sz="1100" b="1">
                          <a:latin typeface="Arial" panose="020B0604020202020204" pitchFamily="34" charset="0"/>
                          <a:cs typeface="Arial" panose="020B0604020202020204" pitchFamily="34" charset="0"/>
                        </a:rPr>
                        <a:t>&amp; water</a:t>
                      </a:r>
                      <a:r>
                        <a:rPr lang="en-US" sz="1100" b="1" baseline="0">
                          <a:latin typeface="Arial" panose="020B0604020202020204" pitchFamily="34" charset="0"/>
                          <a:cs typeface="Arial" panose="020B0604020202020204" pitchFamily="34" charset="0"/>
                        </a:rPr>
                        <a:t> flux</a:t>
                      </a:r>
                      <a:endParaRPr lang="en-US" sz="1100" b="1">
                        <a:latin typeface="Arial" panose="020B0604020202020204" pitchFamily="34" charset="0"/>
                        <a:cs typeface="Arial" panose="020B0604020202020204" pitchFamily="34" charset="0"/>
                      </a:endParaRPr>
                    </a:p>
                  </xdr:txBody>
                </xdr:sp>
                <xdr:cxnSp macro="">
                  <xdr:nvCxnSpPr>
                    <xdr:cNvPr id="195" name="Straight Arrow Connector 194">
                      <a:extLst>
                        <a:ext uri="{FF2B5EF4-FFF2-40B4-BE49-F238E27FC236}">
                          <a16:creationId xmlns:a16="http://schemas.microsoft.com/office/drawing/2014/main" id="{00000000-0008-0000-0300-0000C3000000}"/>
                        </a:ext>
                      </a:extLst>
                    </xdr:cNvPr>
                    <xdr:cNvCxnSpPr>
                      <a:cxnSpLocks/>
                    </xdr:cNvCxnSpPr>
                  </xdr:nvCxnSpPr>
                  <xdr:spPr>
                    <a:xfrm>
                      <a:off x="9273530" y="13489614"/>
                      <a:ext cx="0" cy="636613"/>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6" name="Freeform: Shape 195">
                      <a:extLst>
                        <a:ext uri="{FF2B5EF4-FFF2-40B4-BE49-F238E27FC236}">
                          <a16:creationId xmlns:a16="http://schemas.microsoft.com/office/drawing/2014/main" id="{00000000-0008-0000-0300-0000C4000000}"/>
                        </a:ext>
                      </a:extLst>
                    </xdr:cNvPr>
                    <xdr:cNvSpPr/>
                  </xdr:nvSpPr>
                  <xdr:spPr>
                    <a:xfrm>
                      <a:off x="7511725" y="1106466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97" name="Group 196">
                      <a:extLst>
                        <a:ext uri="{FF2B5EF4-FFF2-40B4-BE49-F238E27FC236}">
                          <a16:creationId xmlns:a16="http://schemas.microsoft.com/office/drawing/2014/main" id="{00000000-0008-0000-0300-0000C5000000}"/>
                        </a:ext>
                      </a:extLst>
                    </xdr:cNvPr>
                    <xdr:cNvGrpSpPr/>
                  </xdr:nvGrpSpPr>
                  <xdr:grpSpPr>
                    <a:xfrm>
                      <a:off x="7590796" y="11778378"/>
                      <a:ext cx="2503784" cy="719542"/>
                      <a:chOff x="1033402" y="1825990"/>
                      <a:chExt cx="2503784" cy="719542"/>
                    </a:xfrm>
                  </xdr:grpSpPr>
                  <xdr:grpSp>
                    <xdr:nvGrpSpPr>
                      <xdr:cNvPr id="258" name="Group 257">
                        <a:extLst>
                          <a:ext uri="{FF2B5EF4-FFF2-40B4-BE49-F238E27FC236}">
                            <a16:creationId xmlns:a16="http://schemas.microsoft.com/office/drawing/2014/main" id="{00000000-0008-0000-0300-000002010000}"/>
                          </a:ext>
                        </a:extLst>
                      </xdr:cNvPr>
                      <xdr:cNvGrpSpPr/>
                    </xdr:nvGrpSpPr>
                    <xdr:grpSpPr>
                      <a:xfrm flipH="1">
                        <a:off x="1033402" y="1825990"/>
                        <a:ext cx="2503784" cy="552069"/>
                        <a:chOff x="3019354" y="1959928"/>
                        <a:chExt cx="2029960" cy="552069"/>
                      </a:xfrm>
                    </xdr:grpSpPr>
                    <xdr:cxnSp macro="">
                      <xdr:nvCxnSpPr>
                        <xdr:cNvPr id="264" name="Straight Connector 263">
                          <a:extLst>
                            <a:ext uri="{FF2B5EF4-FFF2-40B4-BE49-F238E27FC236}">
                              <a16:creationId xmlns:a16="http://schemas.microsoft.com/office/drawing/2014/main" id="{00000000-0008-0000-0300-00000801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5" name="Straight Connector 264">
                          <a:extLst>
                            <a:ext uri="{FF2B5EF4-FFF2-40B4-BE49-F238E27FC236}">
                              <a16:creationId xmlns:a16="http://schemas.microsoft.com/office/drawing/2014/main" id="{00000000-0008-0000-0300-00000901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6" name="Straight Connector 265">
                          <a:extLst>
                            <a:ext uri="{FF2B5EF4-FFF2-40B4-BE49-F238E27FC236}">
                              <a16:creationId xmlns:a16="http://schemas.microsoft.com/office/drawing/2014/main" id="{00000000-0008-0000-0300-00000A01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7" name="Straight Connector 266">
                          <a:extLst>
                            <a:ext uri="{FF2B5EF4-FFF2-40B4-BE49-F238E27FC236}">
                              <a16:creationId xmlns:a16="http://schemas.microsoft.com/office/drawing/2014/main" id="{00000000-0008-0000-0300-00000B01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8" name="Straight Connector 267">
                          <a:extLst>
                            <a:ext uri="{FF2B5EF4-FFF2-40B4-BE49-F238E27FC236}">
                              <a16:creationId xmlns:a16="http://schemas.microsoft.com/office/drawing/2014/main" id="{00000000-0008-0000-0300-00000C01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9" name="Straight Connector 268">
                          <a:extLst>
                            <a:ext uri="{FF2B5EF4-FFF2-40B4-BE49-F238E27FC236}">
                              <a16:creationId xmlns:a16="http://schemas.microsoft.com/office/drawing/2014/main" id="{00000000-0008-0000-0300-00000D01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0" name="Straight Connector 269">
                          <a:extLst>
                            <a:ext uri="{FF2B5EF4-FFF2-40B4-BE49-F238E27FC236}">
                              <a16:creationId xmlns:a16="http://schemas.microsoft.com/office/drawing/2014/main" id="{00000000-0008-0000-0300-00000E01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1" name="Straight Connector 270">
                          <a:extLst>
                            <a:ext uri="{FF2B5EF4-FFF2-40B4-BE49-F238E27FC236}">
                              <a16:creationId xmlns:a16="http://schemas.microsoft.com/office/drawing/2014/main" id="{00000000-0008-0000-0300-00000F01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2" name="Straight Connector 271">
                          <a:extLst>
                            <a:ext uri="{FF2B5EF4-FFF2-40B4-BE49-F238E27FC236}">
                              <a16:creationId xmlns:a16="http://schemas.microsoft.com/office/drawing/2014/main" id="{00000000-0008-0000-0300-00001001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3" name="Straight Connector 272">
                          <a:extLst>
                            <a:ext uri="{FF2B5EF4-FFF2-40B4-BE49-F238E27FC236}">
                              <a16:creationId xmlns:a16="http://schemas.microsoft.com/office/drawing/2014/main" id="{00000000-0008-0000-0300-00001101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4" name="Straight Connector 273">
                          <a:extLst>
                            <a:ext uri="{FF2B5EF4-FFF2-40B4-BE49-F238E27FC236}">
                              <a16:creationId xmlns:a16="http://schemas.microsoft.com/office/drawing/2014/main" id="{00000000-0008-0000-0300-00001201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5" name="Straight Connector 274">
                          <a:extLst>
                            <a:ext uri="{FF2B5EF4-FFF2-40B4-BE49-F238E27FC236}">
                              <a16:creationId xmlns:a16="http://schemas.microsoft.com/office/drawing/2014/main" id="{00000000-0008-0000-0300-00001301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6" name="Straight Connector 275">
                          <a:extLst>
                            <a:ext uri="{FF2B5EF4-FFF2-40B4-BE49-F238E27FC236}">
                              <a16:creationId xmlns:a16="http://schemas.microsoft.com/office/drawing/2014/main" id="{00000000-0008-0000-0300-00001401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7" name="Straight Connector 276">
                          <a:extLst>
                            <a:ext uri="{FF2B5EF4-FFF2-40B4-BE49-F238E27FC236}">
                              <a16:creationId xmlns:a16="http://schemas.microsoft.com/office/drawing/2014/main" id="{00000000-0008-0000-0300-00001501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8" name="Straight Connector 277">
                          <a:extLst>
                            <a:ext uri="{FF2B5EF4-FFF2-40B4-BE49-F238E27FC236}">
                              <a16:creationId xmlns:a16="http://schemas.microsoft.com/office/drawing/2014/main" id="{00000000-0008-0000-0300-00001601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9" name="Straight Connector 278">
                          <a:extLst>
                            <a:ext uri="{FF2B5EF4-FFF2-40B4-BE49-F238E27FC236}">
                              <a16:creationId xmlns:a16="http://schemas.microsoft.com/office/drawing/2014/main" id="{00000000-0008-0000-0300-00001701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0" name="Straight Connector 279">
                          <a:extLst>
                            <a:ext uri="{FF2B5EF4-FFF2-40B4-BE49-F238E27FC236}">
                              <a16:creationId xmlns:a16="http://schemas.microsoft.com/office/drawing/2014/main" id="{00000000-0008-0000-0300-00001801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1" name="Straight Connector 280">
                          <a:extLst>
                            <a:ext uri="{FF2B5EF4-FFF2-40B4-BE49-F238E27FC236}">
                              <a16:creationId xmlns:a16="http://schemas.microsoft.com/office/drawing/2014/main" id="{00000000-0008-0000-0300-00001901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2" name="Straight Connector 281">
                          <a:extLst>
                            <a:ext uri="{FF2B5EF4-FFF2-40B4-BE49-F238E27FC236}">
                              <a16:creationId xmlns:a16="http://schemas.microsoft.com/office/drawing/2014/main" id="{00000000-0008-0000-0300-00001A01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3" name="Straight Connector 282">
                          <a:extLst>
                            <a:ext uri="{FF2B5EF4-FFF2-40B4-BE49-F238E27FC236}">
                              <a16:creationId xmlns:a16="http://schemas.microsoft.com/office/drawing/2014/main" id="{00000000-0008-0000-0300-00001B01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4" name="Straight Connector 283">
                          <a:extLst>
                            <a:ext uri="{FF2B5EF4-FFF2-40B4-BE49-F238E27FC236}">
                              <a16:creationId xmlns:a16="http://schemas.microsoft.com/office/drawing/2014/main" id="{00000000-0008-0000-0300-00001C01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5" name="Straight Connector 284">
                          <a:extLst>
                            <a:ext uri="{FF2B5EF4-FFF2-40B4-BE49-F238E27FC236}">
                              <a16:creationId xmlns:a16="http://schemas.microsoft.com/office/drawing/2014/main" id="{00000000-0008-0000-0300-00001D01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6" name="Straight Connector 285">
                          <a:extLst>
                            <a:ext uri="{FF2B5EF4-FFF2-40B4-BE49-F238E27FC236}">
                              <a16:creationId xmlns:a16="http://schemas.microsoft.com/office/drawing/2014/main" id="{00000000-0008-0000-0300-00001E01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7" name="Straight Connector 286">
                          <a:extLst>
                            <a:ext uri="{FF2B5EF4-FFF2-40B4-BE49-F238E27FC236}">
                              <a16:creationId xmlns:a16="http://schemas.microsoft.com/office/drawing/2014/main" id="{00000000-0008-0000-0300-00001F01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8" name="Straight Connector 287">
                          <a:extLst>
                            <a:ext uri="{FF2B5EF4-FFF2-40B4-BE49-F238E27FC236}">
                              <a16:creationId xmlns:a16="http://schemas.microsoft.com/office/drawing/2014/main" id="{00000000-0008-0000-0300-00002001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9" name="Straight Connector 288">
                          <a:extLst>
                            <a:ext uri="{FF2B5EF4-FFF2-40B4-BE49-F238E27FC236}">
                              <a16:creationId xmlns:a16="http://schemas.microsoft.com/office/drawing/2014/main" id="{00000000-0008-0000-0300-00002101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0" name="Straight Connector 289">
                          <a:extLst>
                            <a:ext uri="{FF2B5EF4-FFF2-40B4-BE49-F238E27FC236}">
                              <a16:creationId xmlns:a16="http://schemas.microsoft.com/office/drawing/2014/main" id="{00000000-0008-0000-0300-00002201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1" name="Straight Connector 290">
                          <a:extLst>
                            <a:ext uri="{FF2B5EF4-FFF2-40B4-BE49-F238E27FC236}">
                              <a16:creationId xmlns:a16="http://schemas.microsoft.com/office/drawing/2014/main" id="{00000000-0008-0000-0300-00002301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2" name="Straight Connector 291">
                          <a:extLst>
                            <a:ext uri="{FF2B5EF4-FFF2-40B4-BE49-F238E27FC236}">
                              <a16:creationId xmlns:a16="http://schemas.microsoft.com/office/drawing/2014/main" id="{00000000-0008-0000-0300-00002401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3" name="Straight Connector 292">
                          <a:extLst>
                            <a:ext uri="{FF2B5EF4-FFF2-40B4-BE49-F238E27FC236}">
                              <a16:creationId xmlns:a16="http://schemas.microsoft.com/office/drawing/2014/main" id="{00000000-0008-0000-0300-00002501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4" name="Straight Connector 293">
                          <a:extLst>
                            <a:ext uri="{FF2B5EF4-FFF2-40B4-BE49-F238E27FC236}">
                              <a16:creationId xmlns:a16="http://schemas.microsoft.com/office/drawing/2014/main" id="{00000000-0008-0000-0300-00002601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5" name="Straight Connector 294">
                          <a:extLst>
                            <a:ext uri="{FF2B5EF4-FFF2-40B4-BE49-F238E27FC236}">
                              <a16:creationId xmlns:a16="http://schemas.microsoft.com/office/drawing/2014/main" id="{00000000-0008-0000-0300-00002701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6" name="Straight Connector 295">
                          <a:extLst>
                            <a:ext uri="{FF2B5EF4-FFF2-40B4-BE49-F238E27FC236}">
                              <a16:creationId xmlns:a16="http://schemas.microsoft.com/office/drawing/2014/main" id="{00000000-0008-0000-0300-00002801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7" name="Straight Connector 296">
                          <a:extLst>
                            <a:ext uri="{FF2B5EF4-FFF2-40B4-BE49-F238E27FC236}">
                              <a16:creationId xmlns:a16="http://schemas.microsoft.com/office/drawing/2014/main" id="{00000000-0008-0000-0300-00002901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8" name="Straight Connector 297">
                          <a:extLst>
                            <a:ext uri="{FF2B5EF4-FFF2-40B4-BE49-F238E27FC236}">
                              <a16:creationId xmlns:a16="http://schemas.microsoft.com/office/drawing/2014/main" id="{00000000-0008-0000-0300-00002A01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9" name="Straight Connector 298">
                          <a:extLst>
                            <a:ext uri="{FF2B5EF4-FFF2-40B4-BE49-F238E27FC236}">
                              <a16:creationId xmlns:a16="http://schemas.microsoft.com/office/drawing/2014/main" id="{00000000-0008-0000-0300-00002B01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0" name="Straight Connector 299">
                          <a:extLst>
                            <a:ext uri="{FF2B5EF4-FFF2-40B4-BE49-F238E27FC236}">
                              <a16:creationId xmlns:a16="http://schemas.microsoft.com/office/drawing/2014/main" id="{00000000-0008-0000-0300-00002C01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1" name="Straight Connector 300">
                          <a:extLst>
                            <a:ext uri="{FF2B5EF4-FFF2-40B4-BE49-F238E27FC236}">
                              <a16:creationId xmlns:a16="http://schemas.microsoft.com/office/drawing/2014/main" id="{00000000-0008-0000-0300-00002D01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2" name="Straight Connector 301">
                          <a:extLst>
                            <a:ext uri="{FF2B5EF4-FFF2-40B4-BE49-F238E27FC236}">
                              <a16:creationId xmlns:a16="http://schemas.microsoft.com/office/drawing/2014/main" id="{00000000-0008-0000-0300-00002E01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3" name="Straight Connector 302">
                          <a:extLst>
                            <a:ext uri="{FF2B5EF4-FFF2-40B4-BE49-F238E27FC236}">
                              <a16:creationId xmlns:a16="http://schemas.microsoft.com/office/drawing/2014/main" id="{00000000-0008-0000-0300-00002F01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4" name="Straight Connector 303">
                          <a:extLst>
                            <a:ext uri="{FF2B5EF4-FFF2-40B4-BE49-F238E27FC236}">
                              <a16:creationId xmlns:a16="http://schemas.microsoft.com/office/drawing/2014/main" id="{00000000-0008-0000-0300-00003001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5" name="Straight Connector 304">
                          <a:extLst>
                            <a:ext uri="{FF2B5EF4-FFF2-40B4-BE49-F238E27FC236}">
                              <a16:creationId xmlns:a16="http://schemas.microsoft.com/office/drawing/2014/main" id="{00000000-0008-0000-0300-00003101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6" name="Straight Connector 305">
                          <a:extLst>
                            <a:ext uri="{FF2B5EF4-FFF2-40B4-BE49-F238E27FC236}">
                              <a16:creationId xmlns:a16="http://schemas.microsoft.com/office/drawing/2014/main" id="{00000000-0008-0000-0300-00003201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7" name="Straight Connector 306">
                          <a:extLst>
                            <a:ext uri="{FF2B5EF4-FFF2-40B4-BE49-F238E27FC236}">
                              <a16:creationId xmlns:a16="http://schemas.microsoft.com/office/drawing/2014/main" id="{00000000-0008-0000-0300-00003301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8" name="Straight Connector 307">
                          <a:extLst>
                            <a:ext uri="{FF2B5EF4-FFF2-40B4-BE49-F238E27FC236}">
                              <a16:creationId xmlns:a16="http://schemas.microsoft.com/office/drawing/2014/main" id="{00000000-0008-0000-0300-00003401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9" name="Straight Connector 308">
                          <a:extLst>
                            <a:ext uri="{FF2B5EF4-FFF2-40B4-BE49-F238E27FC236}">
                              <a16:creationId xmlns:a16="http://schemas.microsoft.com/office/drawing/2014/main" id="{00000000-0008-0000-0300-00003501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10" name="Straight Connector 309">
                          <a:extLst>
                            <a:ext uri="{FF2B5EF4-FFF2-40B4-BE49-F238E27FC236}">
                              <a16:creationId xmlns:a16="http://schemas.microsoft.com/office/drawing/2014/main" id="{00000000-0008-0000-0300-00003601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59" name="Straight Connector 258">
                        <a:extLst>
                          <a:ext uri="{FF2B5EF4-FFF2-40B4-BE49-F238E27FC236}">
                            <a16:creationId xmlns:a16="http://schemas.microsoft.com/office/drawing/2014/main" id="{00000000-0008-0000-0300-00000301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0" name="Straight Connector 259">
                        <a:extLst>
                          <a:ext uri="{FF2B5EF4-FFF2-40B4-BE49-F238E27FC236}">
                            <a16:creationId xmlns:a16="http://schemas.microsoft.com/office/drawing/2014/main" id="{00000000-0008-0000-0300-00000401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 name="Straight Connector 260">
                        <a:extLst>
                          <a:ext uri="{FF2B5EF4-FFF2-40B4-BE49-F238E27FC236}">
                            <a16:creationId xmlns:a16="http://schemas.microsoft.com/office/drawing/2014/main" id="{00000000-0008-0000-0300-00000501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 name="Straight Connector 261">
                        <a:extLst>
                          <a:ext uri="{FF2B5EF4-FFF2-40B4-BE49-F238E27FC236}">
                            <a16:creationId xmlns:a16="http://schemas.microsoft.com/office/drawing/2014/main" id="{00000000-0008-0000-0300-00000601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3" name="Straight Connector 262">
                        <a:extLst>
                          <a:ext uri="{FF2B5EF4-FFF2-40B4-BE49-F238E27FC236}">
                            <a16:creationId xmlns:a16="http://schemas.microsoft.com/office/drawing/2014/main" id="{00000000-0008-0000-0300-00000701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98" name="Freeform: Shape 197">
                      <a:extLst>
                        <a:ext uri="{FF2B5EF4-FFF2-40B4-BE49-F238E27FC236}">
                          <a16:creationId xmlns:a16="http://schemas.microsoft.com/office/drawing/2014/main" id="{00000000-0008-0000-0300-0000C6000000}"/>
                        </a:ext>
                      </a:extLst>
                    </xdr:cNvPr>
                    <xdr:cNvSpPr/>
                  </xdr:nvSpPr>
                  <xdr:spPr>
                    <a:xfrm>
                      <a:off x="10181830" y="1025692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99" name="Group 198">
                      <a:extLst>
                        <a:ext uri="{FF2B5EF4-FFF2-40B4-BE49-F238E27FC236}">
                          <a16:creationId xmlns:a16="http://schemas.microsoft.com/office/drawing/2014/main" id="{00000000-0008-0000-0300-0000C7000000}"/>
                        </a:ext>
                      </a:extLst>
                    </xdr:cNvPr>
                    <xdr:cNvGrpSpPr/>
                  </xdr:nvGrpSpPr>
                  <xdr:grpSpPr>
                    <a:xfrm>
                      <a:off x="10260901" y="10970638"/>
                      <a:ext cx="2503784" cy="719542"/>
                      <a:chOff x="1033402" y="1825990"/>
                      <a:chExt cx="2503784" cy="719542"/>
                    </a:xfrm>
                  </xdr:grpSpPr>
                  <xdr:grpSp>
                    <xdr:nvGrpSpPr>
                      <xdr:cNvPr id="205" name="Group 204">
                        <a:extLst>
                          <a:ext uri="{FF2B5EF4-FFF2-40B4-BE49-F238E27FC236}">
                            <a16:creationId xmlns:a16="http://schemas.microsoft.com/office/drawing/2014/main" id="{00000000-0008-0000-0300-0000CD000000}"/>
                          </a:ext>
                        </a:extLst>
                      </xdr:cNvPr>
                      <xdr:cNvGrpSpPr/>
                    </xdr:nvGrpSpPr>
                    <xdr:grpSpPr>
                      <a:xfrm flipH="1">
                        <a:off x="1033402" y="1825990"/>
                        <a:ext cx="2503784" cy="552069"/>
                        <a:chOff x="3019354" y="1959928"/>
                        <a:chExt cx="2029960" cy="552069"/>
                      </a:xfrm>
                    </xdr:grpSpPr>
                    <xdr:cxnSp macro="">
                      <xdr:nvCxnSpPr>
                        <xdr:cNvPr id="211" name="Straight Connector 210">
                          <a:extLst>
                            <a:ext uri="{FF2B5EF4-FFF2-40B4-BE49-F238E27FC236}">
                              <a16:creationId xmlns:a16="http://schemas.microsoft.com/office/drawing/2014/main" id="{00000000-0008-0000-0300-0000D300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2" name="Straight Connector 211">
                          <a:extLst>
                            <a:ext uri="{FF2B5EF4-FFF2-40B4-BE49-F238E27FC236}">
                              <a16:creationId xmlns:a16="http://schemas.microsoft.com/office/drawing/2014/main" id="{00000000-0008-0000-0300-0000D400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3" name="Straight Connector 212">
                          <a:extLst>
                            <a:ext uri="{FF2B5EF4-FFF2-40B4-BE49-F238E27FC236}">
                              <a16:creationId xmlns:a16="http://schemas.microsoft.com/office/drawing/2014/main" id="{00000000-0008-0000-0300-0000D500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4" name="Straight Connector 213">
                          <a:extLst>
                            <a:ext uri="{FF2B5EF4-FFF2-40B4-BE49-F238E27FC236}">
                              <a16:creationId xmlns:a16="http://schemas.microsoft.com/office/drawing/2014/main" id="{00000000-0008-0000-0300-0000D600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5" name="Straight Connector 214">
                          <a:extLst>
                            <a:ext uri="{FF2B5EF4-FFF2-40B4-BE49-F238E27FC236}">
                              <a16:creationId xmlns:a16="http://schemas.microsoft.com/office/drawing/2014/main" id="{00000000-0008-0000-0300-0000D700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6" name="Straight Connector 215">
                          <a:extLst>
                            <a:ext uri="{FF2B5EF4-FFF2-40B4-BE49-F238E27FC236}">
                              <a16:creationId xmlns:a16="http://schemas.microsoft.com/office/drawing/2014/main" id="{00000000-0008-0000-0300-0000D800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7" name="Straight Connector 216">
                          <a:extLst>
                            <a:ext uri="{FF2B5EF4-FFF2-40B4-BE49-F238E27FC236}">
                              <a16:creationId xmlns:a16="http://schemas.microsoft.com/office/drawing/2014/main" id="{00000000-0008-0000-0300-0000D900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8" name="Straight Connector 217">
                          <a:extLst>
                            <a:ext uri="{FF2B5EF4-FFF2-40B4-BE49-F238E27FC236}">
                              <a16:creationId xmlns:a16="http://schemas.microsoft.com/office/drawing/2014/main" id="{00000000-0008-0000-0300-0000DA00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9" name="Straight Connector 218">
                          <a:extLst>
                            <a:ext uri="{FF2B5EF4-FFF2-40B4-BE49-F238E27FC236}">
                              <a16:creationId xmlns:a16="http://schemas.microsoft.com/office/drawing/2014/main" id="{00000000-0008-0000-0300-0000DB00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0" name="Straight Connector 219">
                          <a:extLst>
                            <a:ext uri="{FF2B5EF4-FFF2-40B4-BE49-F238E27FC236}">
                              <a16:creationId xmlns:a16="http://schemas.microsoft.com/office/drawing/2014/main" id="{00000000-0008-0000-0300-0000DC00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1" name="Straight Connector 220">
                          <a:extLst>
                            <a:ext uri="{FF2B5EF4-FFF2-40B4-BE49-F238E27FC236}">
                              <a16:creationId xmlns:a16="http://schemas.microsoft.com/office/drawing/2014/main" id="{00000000-0008-0000-0300-0000DD00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2" name="Straight Connector 221">
                          <a:extLst>
                            <a:ext uri="{FF2B5EF4-FFF2-40B4-BE49-F238E27FC236}">
                              <a16:creationId xmlns:a16="http://schemas.microsoft.com/office/drawing/2014/main" id="{00000000-0008-0000-0300-0000DE00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3" name="Straight Connector 222">
                          <a:extLst>
                            <a:ext uri="{FF2B5EF4-FFF2-40B4-BE49-F238E27FC236}">
                              <a16:creationId xmlns:a16="http://schemas.microsoft.com/office/drawing/2014/main" id="{00000000-0008-0000-0300-0000DF00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4" name="Straight Connector 223">
                          <a:extLst>
                            <a:ext uri="{FF2B5EF4-FFF2-40B4-BE49-F238E27FC236}">
                              <a16:creationId xmlns:a16="http://schemas.microsoft.com/office/drawing/2014/main" id="{00000000-0008-0000-0300-0000E000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5" name="Straight Connector 224">
                          <a:extLst>
                            <a:ext uri="{FF2B5EF4-FFF2-40B4-BE49-F238E27FC236}">
                              <a16:creationId xmlns:a16="http://schemas.microsoft.com/office/drawing/2014/main" id="{00000000-0008-0000-0300-0000E100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6" name="Straight Connector 225">
                          <a:extLst>
                            <a:ext uri="{FF2B5EF4-FFF2-40B4-BE49-F238E27FC236}">
                              <a16:creationId xmlns:a16="http://schemas.microsoft.com/office/drawing/2014/main" id="{00000000-0008-0000-0300-0000E200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7" name="Straight Connector 226">
                          <a:extLst>
                            <a:ext uri="{FF2B5EF4-FFF2-40B4-BE49-F238E27FC236}">
                              <a16:creationId xmlns:a16="http://schemas.microsoft.com/office/drawing/2014/main" id="{00000000-0008-0000-0300-0000E300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8" name="Straight Connector 227">
                          <a:extLst>
                            <a:ext uri="{FF2B5EF4-FFF2-40B4-BE49-F238E27FC236}">
                              <a16:creationId xmlns:a16="http://schemas.microsoft.com/office/drawing/2014/main" id="{00000000-0008-0000-0300-0000E400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9" name="Straight Connector 228">
                          <a:extLst>
                            <a:ext uri="{FF2B5EF4-FFF2-40B4-BE49-F238E27FC236}">
                              <a16:creationId xmlns:a16="http://schemas.microsoft.com/office/drawing/2014/main" id="{00000000-0008-0000-0300-0000E500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0" name="Straight Connector 229">
                          <a:extLst>
                            <a:ext uri="{FF2B5EF4-FFF2-40B4-BE49-F238E27FC236}">
                              <a16:creationId xmlns:a16="http://schemas.microsoft.com/office/drawing/2014/main" id="{00000000-0008-0000-0300-0000E600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1" name="Straight Connector 230">
                          <a:extLst>
                            <a:ext uri="{FF2B5EF4-FFF2-40B4-BE49-F238E27FC236}">
                              <a16:creationId xmlns:a16="http://schemas.microsoft.com/office/drawing/2014/main" id="{00000000-0008-0000-0300-0000E700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2" name="Straight Connector 231">
                          <a:extLst>
                            <a:ext uri="{FF2B5EF4-FFF2-40B4-BE49-F238E27FC236}">
                              <a16:creationId xmlns:a16="http://schemas.microsoft.com/office/drawing/2014/main" id="{00000000-0008-0000-0300-0000E800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3" name="Straight Connector 232">
                          <a:extLst>
                            <a:ext uri="{FF2B5EF4-FFF2-40B4-BE49-F238E27FC236}">
                              <a16:creationId xmlns:a16="http://schemas.microsoft.com/office/drawing/2014/main" id="{00000000-0008-0000-0300-0000E900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4" name="Straight Connector 233">
                          <a:extLst>
                            <a:ext uri="{FF2B5EF4-FFF2-40B4-BE49-F238E27FC236}">
                              <a16:creationId xmlns:a16="http://schemas.microsoft.com/office/drawing/2014/main" id="{00000000-0008-0000-0300-0000EA00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5" name="Straight Connector 234">
                          <a:extLst>
                            <a:ext uri="{FF2B5EF4-FFF2-40B4-BE49-F238E27FC236}">
                              <a16:creationId xmlns:a16="http://schemas.microsoft.com/office/drawing/2014/main" id="{00000000-0008-0000-0300-0000EB00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6" name="Straight Connector 235">
                          <a:extLst>
                            <a:ext uri="{FF2B5EF4-FFF2-40B4-BE49-F238E27FC236}">
                              <a16:creationId xmlns:a16="http://schemas.microsoft.com/office/drawing/2014/main" id="{00000000-0008-0000-0300-0000EC00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7" name="Straight Connector 236">
                          <a:extLst>
                            <a:ext uri="{FF2B5EF4-FFF2-40B4-BE49-F238E27FC236}">
                              <a16:creationId xmlns:a16="http://schemas.microsoft.com/office/drawing/2014/main" id="{00000000-0008-0000-0300-0000ED00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8" name="Straight Connector 237">
                          <a:extLst>
                            <a:ext uri="{FF2B5EF4-FFF2-40B4-BE49-F238E27FC236}">
                              <a16:creationId xmlns:a16="http://schemas.microsoft.com/office/drawing/2014/main" id="{00000000-0008-0000-0300-0000EE00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9" name="Straight Connector 238">
                          <a:extLst>
                            <a:ext uri="{FF2B5EF4-FFF2-40B4-BE49-F238E27FC236}">
                              <a16:creationId xmlns:a16="http://schemas.microsoft.com/office/drawing/2014/main" id="{00000000-0008-0000-0300-0000EF00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0" name="Straight Connector 239">
                          <a:extLst>
                            <a:ext uri="{FF2B5EF4-FFF2-40B4-BE49-F238E27FC236}">
                              <a16:creationId xmlns:a16="http://schemas.microsoft.com/office/drawing/2014/main" id="{00000000-0008-0000-0300-0000F000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1" name="Straight Connector 240">
                          <a:extLst>
                            <a:ext uri="{FF2B5EF4-FFF2-40B4-BE49-F238E27FC236}">
                              <a16:creationId xmlns:a16="http://schemas.microsoft.com/office/drawing/2014/main" id="{00000000-0008-0000-0300-0000F100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2" name="Straight Connector 241">
                          <a:extLst>
                            <a:ext uri="{FF2B5EF4-FFF2-40B4-BE49-F238E27FC236}">
                              <a16:creationId xmlns:a16="http://schemas.microsoft.com/office/drawing/2014/main" id="{00000000-0008-0000-0300-0000F200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3" name="Straight Connector 242">
                          <a:extLst>
                            <a:ext uri="{FF2B5EF4-FFF2-40B4-BE49-F238E27FC236}">
                              <a16:creationId xmlns:a16="http://schemas.microsoft.com/office/drawing/2014/main" id="{00000000-0008-0000-0300-0000F300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4" name="Straight Connector 243">
                          <a:extLst>
                            <a:ext uri="{FF2B5EF4-FFF2-40B4-BE49-F238E27FC236}">
                              <a16:creationId xmlns:a16="http://schemas.microsoft.com/office/drawing/2014/main" id="{00000000-0008-0000-0300-0000F400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5" name="Straight Connector 244">
                          <a:extLst>
                            <a:ext uri="{FF2B5EF4-FFF2-40B4-BE49-F238E27FC236}">
                              <a16:creationId xmlns:a16="http://schemas.microsoft.com/office/drawing/2014/main" id="{00000000-0008-0000-0300-0000F500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6" name="Straight Connector 245">
                          <a:extLst>
                            <a:ext uri="{FF2B5EF4-FFF2-40B4-BE49-F238E27FC236}">
                              <a16:creationId xmlns:a16="http://schemas.microsoft.com/office/drawing/2014/main" id="{00000000-0008-0000-0300-0000F600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7" name="Straight Connector 246">
                          <a:extLst>
                            <a:ext uri="{FF2B5EF4-FFF2-40B4-BE49-F238E27FC236}">
                              <a16:creationId xmlns:a16="http://schemas.microsoft.com/office/drawing/2014/main" id="{00000000-0008-0000-0300-0000F700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8" name="Straight Connector 247">
                          <a:extLst>
                            <a:ext uri="{FF2B5EF4-FFF2-40B4-BE49-F238E27FC236}">
                              <a16:creationId xmlns:a16="http://schemas.microsoft.com/office/drawing/2014/main" id="{00000000-0008-0000-0300-0000F800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9" name="Straight Connector 248">
                          <a:extLst>
                            <a:ext uri="{FF2B5EF4-FFF2-40B4-BE49-F238E27FC236}">
                              <a16:creationId xmlns:a16="http://schemas.microsoft.com/office/drawing/2014/main" id="{00000000-0008-0000-0300-0000F900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0" name="Straight Connector 249">
                          <a:extLst>
                            <a:ext uri="{FF2B5EF4-FFF2-40B4-BE49-F238E27FC236}">
                              <a16:creationId xmlns:a16="http://schemas.microsoft.com/office/drawing/2014/main" id="{00000000-0008-0000-0300-0000FA00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1" name="Straight Connector 250">
                          <a:extLst>
                            <a:ext uri="{FF2B5EF4-FFF2-40B4-BE49-F238E27FC236}">
                              <a16:creationId xmlns:a16="http://schemas.microsoft.com/office/drawing/2014/main" id="{00000000-0008-0000-0300-0000FB00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2" name="Straight Connector 251">
                          <a:extLst>
                            <a:ext uri="{FF2B5EF4-FFF2-40B4-BE49-F238E27FC236}">
                              <a16:creationId xmlns:a16="http://schemas.microsoft.com/office/drawing/2014/main" id="{00000000-0008-0000-0300-0000FC00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3" name="Straight Connector 252">
                          <a:extLst>
                            <a:ext uri="{FF2B5EF4-FFF2-40B4-BE49-F238E27FC236}">
                              <a16:creationId xmlns:a16="http://schemas.microsoft.com/office/drawing/2014/main" id="{00000000-0008-0000-0300-0000FD00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4" name="Straight Connector 253">
                          <a:extLst>
                            <a:ext uri="{FF2B5EF4-FFF2-40B4-BE49-F238E27FC236}">
                              <a16:creationId xmlns:a16="http://schemas.microsoft.com/office/drawing/2014/main" id="{00000000-0008-0000-0300-0000FE00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5" name="Straight Connector 254">
                          <a:extLst>
                            <a:ext uri="{FF2B5EF4-FFF2-40B4-BE49-F238E27FC236}">
                              <a16:creationId xmlns:a16="http://schemas.microsoft.com/office/drawing/2014/main" id="{00000000-0008-0000-0300-0000FF00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6" name="Straight Connector 255">
                          <a:extLst>
                            <a:ext uri="{FF2B5EF4-FFF2-40B4-BE49-F238E27FC236}">
                              <a16:creationId xmlns:a16="http://schemas.microsoft.com/office/drawing/2014/main" id="{00000000-0008-0000-0300-00000001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7" name="Straight Connector 256">
                          <a:extLst>
                            <a:ext uri="{FF2B5EF4-FFF2-40B4-BE49-F238E27FC236}">
                              <a16:creationId xmlns:a16="http://schemas.microsoft.com/office/drawing/2014/main" id="{00000000-0008-0000-0300-00000101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06" name="Straight Connector 205">
                        <a:extLst>
                          <a:ext uri="{FF2B5EF4-FFF2-40B4-BE49-F238E27FC236}">
                            <a16:creationId xmlns:a16="http://schemas.microsoft.com/office/drawing/2014/main" id="{00000000-0008-0000-0300-0000CE00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7" name="Straight Connector 206">
                        <a:extLst>
                          <a:ext uri="{FF2B5EF4-FFF2-40B4-BE49-F238E27FC236}">
                            <a16:creationId xmlns:a16="http://schemas.microsoft.com/office/drawing/2014/main" id="{00000000-0008-0000-0300-0000CF00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8" name="Straight Connector 207">
                        <a:extLst>
                          <a:ext uri="{FF2B5EF4-FFF2-40B4-BE49-F238E27FC236}">
                            <a16:creationId xmlns:a16="http://schemas.microsoft.com/office/drawing/2014/main" id="{00000000-0008-0000-0300-0000D000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9" name="Straight Connector 208">
                        <a:extLst>
                          <a:ext uri="{FF2B5EF4-FFF2-40B4-BE49-F238E27FC236}">
                            <a16:creationId xmlns:a16="http://schemas.microsoft.com/office/drawing/2014/main" id="{00000000-0008-0000-0300-0000D100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0" name="Straight Connector 209">
                        <a:extLst>
                          <a:ext uri="{FF2B5EF4-FFF2-40B4-BE49-F238E27FC236}">
                            <a16:creationId xmlns:a16="http://schemas.microsoft.com/office/drawing/2014/main" id="{00000000-0008-0000-0300-0000D200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00" name="Freeform: Shape 199">
                      <a:extLst>
                        <a:ext uri="{FF2B5EF4-FFF2-40B4-BE49-F238E27FC236}">
                          <a16:creationId xmlns:a16="http://schemas.microsoft.com/office/drawing/2014/main" id="{00000000-0008-0000-0300-0000C8000000}"/>
                        </a:ext>
                      </a:extLst>
                    </xdr:cNvPr>
                    <xdr:cNvSpPr/>
                  </xdr:nvSpPr>
                  <xdr:spPr>
                    <a:xfrm>
                      <a:off x="9037065"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01" name="Group 200">
                      <a:extLst>
                        <a:ext uri="{FF2B5EF4-FFF2-40B4-BE49-F238E27FC236}">
                          <a16:creationId xmlns:a16="http://schemas.microsoft.com/office/drawing/2014/main" id="{00000000-0008-0000-0300-0000C9000000}"/>
                        </a:ext>
                      </a:extLst>
                    </xdr:cNvPr>
                    <xdr:cNvGrpSpPr/>
                  </xdr:nvGrpSpPr>
                  <xdr:grpSpPr>
                    <a:xfrm>
                      <a:off x="10461279" y="14208372"/>
                      <a:ext cx="138113" cy="735113"/>
                      <a:chOff x="603573" y="2679842"/>
                      <a:chExt cx="138113" cy="2470757"/>
                    </a:xfrm>
                  </xdr:grpSpPr>
                  <xdr:cxnSp macro="">
                    <xdr:nvCxnSpPr>
                      <xdr:cNvPr id="202" name="Straight Connector 201">
                        <a:extLst>
                          <a:ext uri="{FF2B5EF4-FFF2-40B4-BE49-F238E27FC236}">
                            <a16:creationId xmlns:a16="http://schemas.microsoft.com/office/drawing/2014/main" id="{00000000-0008-0000-0300-0000CA000000}"/>
                          </a:ext>
                        </a:extLst>
                      </xdr:cNvPr>
                      <xdr:cNvCxnSpPr/>
                    </xdr:nvCxnSpPr>
                    <xdr:spPr>
                      <a:xfrm flipV="1">
                        <a:off x="670252" y="2679842"/>
                        <a:ext cx="0" cy="2470751"/>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03" name="Straight Connector 202">
                        <a:extLst>
                          <a:ext uri="{FF2B5EF4-FFF2-40B4-BE49-F238E27FC236}">
                            <a16:creationId xmlns:a16="http://schemas.microsoft.com/office/drawing/2014/main" id="{00000000-0008-0000-0300-0000CB000000}"/>
                          </a:ext>
                        </a:extLst>
                      </xdr:cNvPr>
                      <xdr:cNvCxnSpPr/>
                    </xdr:nvCxnSpPr>
                    <xdr:spPr>
                      <a:xfrm flipH="1">
                        <a:off x="603573" y="267984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04" name="Straight Connector 203">
                        <a:extLst>
                          <a:ext uri="{FF2B5EF4-FFF2-40B4-BE49-F238E27FC236}">
                            <a16:creationId xmlns:a16="http://schemas.microsoft.com/office/drawing/2014/main" id="{00000000-0008-0000-0300-0000CC000000}"/>
                          </a:ext>
                        </a:extLst>
                      </xdr:cNvPr>
                      <xdr:cNvCxnSpPr/>
                    </xdr:nvCxnSpPr>
                    <xdr:spPr>
                      <a:xfrm flipH="1">
                        <a:off x="608336" y="515059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165" name="TextBox 385">
                    <a:extLst>
                      <a:ext uri="{FF2B5EF4-FFF2-40B4-BE49-F238E27FC236}">
                        <a16:creationId xmlns:a16="http://schemas.microsoft.com/office/drawing/2014/main" id="{00000000-0008-0000-0300-0000A5000000}"/>
                      </a:ext>
                    </a:extLst>
                  </xdr:cNvPr>
                  <xdr:cNvSpPr txBox="1"/>
                </xdr:nvSpPr>
                <xdr:spPr>
                  <a:xfrm>
                    <a:off x="7015942" y="13382592"/>
                    <a:ext cx="456199"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U</a:t>
                    </a:r>
                    <a:r>
                      <a:rPr lang="en-US" sz="1400" b="1" i="1" baseline="-25000">
                        <a:latin typeface="Times New Roman" panose="02020603050405020304" pitchFamily="18" charset="0"/>
                        <a:cs typeface="Times New Roman" panose="02020603050405020304" pitchFamily="18" charset="0"/>
                      </a:rPr>
                      <a:t>gw</a:t>
                    </a:r>
                  </a:p>
                </xdr:txBody>
              </xdr:sp>
            </xdr:grpSp>
            <xdr:sp macro="" textlink="">
              <xdr:nvSpPr>
                <xdr:cNvPr id="163" name="TextBox 377">
                  <a:extLst>
                    <a:ext uri="{FF2B5EF4-FFF2-40B4-BE49-F238E27FC236}">
                      <a16:creationId xmlns:a16="http://schemas.microsoft.com/office/drawing/2014/main" id="{00000000-0008-0000-0300-0000A3000000}"/>
                    </a:ext>
                  </a:extLst>
                </xdr:cNvPr>
                <xdr:cNvSpPr txBox="1"/>
              </xdr:nvSpPr>
              <xdr:spPr>
                <a:xfrm>
                  <a:off x="11046141" y="13130420"/>
                  <a:ext cx="361647"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I</a:t>
                  </a:r>
                  <a:r>
                    <a:rPr lang="en-US" sz="1400" b="1" i="1" baseline="-25000">
                      <a:latin typeface="Times New Roman" panose="02020603050405020304" pitchFamily="18" charset="0"/>
                      <a:cs typeface="Times New Roman" panose="02020603050405020304" pitchFamily="18" charset="0"/>
                    </a:rPr>
                    <a:t>f</a:t>
                  </a:r>
                </a:p>
              </xdr:txBody>
            </xdr:sp>
          </xdr:grpSp>
        </xdr:grpSp>
        <xdr:sp macro="" textlink="">
          <xdr:nvSpPr>
            <xdr:cNvPr id="159" name="TextBox 158">
              <a:extLst>
                <a:ext uri="{FF2B5EF4-FFF2-40B4-BE49-F238E27FC236}">
                  <a16:creationId xmlns:a16="http://schemas.microsoft.com/office/drawing/2014/main" id="{00000000-0008-0000-0300-00009F000000}"/>
                </a:ext>
              </a:extLst>
            </xdr:cNvPr>
            <xdr:cNvSpPr txBox="1"/>
          </xdr:nvSpPr>
          <xdr:spPr>
            <a:xfrm>
              <a:off x="11287125" y="13938249"/>
              <a:ext cx="1296459" cy="211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J.</a:t>
              </a:r>
              <a:r>
                <a:rPr lang="en-US" sz="900" i="1" baseline="0">
                  <a:latin typeface="Times New Roman" panose="02020603050405020304" pitchFamily="18" charset="0"/>
                  <a:cs typeface="Times New Roman" panose="02020603050405020304" pitchFamily="18" charset="0"/>
                </a:rPr>
                <a:t> Smith et al., 2024</a:t>
              </a:r>
              <a:endParaRPr lang="en-US" sz="900" i="1">
                <a:latin typeface="Times New Roman" panose="02020603050405020304" pitchFamily="18" charset="0"/>
                <a:cs typeface="Times New Roman" panose="02020603050405020304" pitchFamily="18" charset="0"/>
              </a:endParaRPr>
            </a:p>
          </xdr:txBody>
        </xdr:sp>
      </xdr:grpSp>
      <xdr:cxnSp macro="">
        <xdr:nvCxnSpPr>
          <xdr:cNvPr id="147" name="Straight Arrow Connector 146">
            <a:extLst>
              <a:ext uri="{FF2B5EF4-FFF2-40B4-BE49-F238E27FC236}">
                <a16:creationId xmlns:a16="http://schemas.microsoft.com/office/drawing/2014/main" id="{00000000-0008-0000-0300-000093000000}"/>
              </a:ext>
            </a:extLst>
          </xdr:cNvPr>
          <xdr:cNvCxnSpPr>
            <a:cxnSpLocks/>
          </xdr:cNvCxnSpPr>
        </xdr:nvCxnSpPr>
        <xdr:spPr>
          <a:xfrm>
            <a:off x="9286875" y="15435791"/>
            <a:ext cx="0" cy="1005418"/>
          </a:xfrm>
          <a:prstGeom prst="straightConnector1">
            <a:avLst/>
          </a:prstGeom>
          <a:ln w="1905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148" name="Group 147">
            <a:extLst>
              <a:ext uri="{FF2B5EF4-FFF2-40B4-BE49-F238E27FC236}">
                <a16:creationId xmlns:a16="http://schemas.microsoft.com/office/drawing/2014/main" id="{00000000-0008-0000-0300-000094000000}"/>
              </a:ext>
            </a:extLst>
          </xdr:cNvPr>
          <xdr:cNvGrpSpPr/>
        </xdr:nvGrpSpPr>
        <xdr:grpSpPr>
          <a:xfrm>
            <a:off x="10589004" y="13980957"/>
            <a:ext cx="497825" cy="2563111"/>
            <a:chOff x="10615084" y="13932958"/>
            <a:chExt cx="497825" cy="2563441"/>
          </a:xfrm>
        </xdr:grpSpPr>
        <xdr:sp macro="" textlink="">
          <xdr:nvSpPr>
            <xdr:cNvPr id="155" name="Rectangle 154">
              <a:extLst>
                <a:ext uri="{FF2B5EF4-FFF2-40B4-BE49-F238E27FC236}">
                  <a16:creationId xmlns:a16="http://schemas.microsoft.com/office/drawing/2014/main" id="{00000000-0008-0000-0300-00009B000000}"/>
                </a:ext>
              </a:extLst>
            </xdr:cNvPr>
            <xdr:cNvSpPr/>
          </xdr:nvSpPr>
          <xdr:spPr>
            <a:xfrm>
              <a:off x="10860116" y="14420448"/>
              <a:ext cx="98926" cy="1703260"/>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56" name="Cylinder 155">
              <a:extLst>
                <a:ext uri="{FF2B5EF4-FFF2-40B4-BE49-F238E27FC236}">
                  <a16:creationId xmlns:a16="http://schemas.microsoft.com/office/drawing/2014/main" id="{00000000-0008-0000-0300-00009C000000}"/>
                </a:ext>
              </a:extLst>
            </xdr:cNvPr>
            <xdr:cNvSpPr/>
          </xdr:nvSpPr>
          <xdr:spPr>
            <a:xfrm>
              <a:off x="10855611" y="16093097"/>
              <a:ext cx="114572" cy="403302"/>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157" name="Picture 156">
              <a:extLst>
                <a:ext uri="{FF2B5EF4-FFF2-40B4-BE49-F238E27FC236}">
                  <a16:creationId xmlns:a16="http://schemas.microsoft.com/office/drawing/2014/main" id="{00000000-0008-0000-0300-00009D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flipH="1">
              <a:off x="10615084" y="13932958"/>
              <a:ext cx="497825" cy="490912"/>
            </a:xfrm>
            <a:prstGeom prst="rect">
              <a:avLst/>
            </a:prstGeom>
            <a:effectLst>
              <a:glow rad="228600">
                <a:schemeClr val="bg1">
                  <a:alpha val="40000"/>
                </a:schemeClr>
              </a:glow>
            </a:effectLst>
          </xdr:spPr>
        </xdr:pic>
      </xdr:grpSp>
      <xdr:cxnSp macro="">
        <xdr:nvCxnSpPr>
          <xdr:cNvPr id="149" name="Straight Arrow Connector 148">
            <a:extLst>
              <a:ext uri="{FF2B5EF4-FFF2-40B4-BE49-F238E27FC236}">
                <a16:creationId xmlns:a16="http://schemas.microsoft.com/office/drawing/2014/main" id="{00000000-0008-0000-0300-000095000000}"/>
              </a:ext>
            </a:extLst>
          </xdr:cNvPr>
          <xdr:cNvCxnSpPr>
            <a:cxnSpLocks/>
          </xdr:cNvCxnSpPr>
        </xdr:nvCxnSpPr>
        <xdr:spPr>
          <a:xfrm flipH="1">
            <a:off x="10981721" y="14748853"/>
            <a:ext cx="946409" cy="711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0" name="TextBox 110">
            <a:extLst>
              <a:ext uri="{FF2B5EF4-FFF2-40B4-BE49-F238E27FC236}">
                <a16:creationId xmlns:a16="http://schemas.microsoft.com/office/drawing/2014/main" id="{00000000-0008-0000-0300-000096000000}"/>
              </a:ext>
            </a:extLst>
          </xdr:cNvPr>
          <xdr:cNvSpPr txBox="1"/>
        </xdr:nvSpPr>
        <xdr:spPr>
          <a:xfrm>
            <a:off x="11818623" y="14521468"/>
            <a:ext cx="1404235"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cxnSp macro="">
        <xdr:nvCxnSpPr>
          <xdr:cNvPr id="151" name="Straight Arrow Connector 150">
            <a:extLst>
              <a:ext uri="{FF2B5EF4-FFF2-40B4-BE49-F238E27FC236}">
                <a16:creationId xmlns:a16="http://schemas.microsoft.com/office/drawing/2014/main" id="{00000000-0008-0000-0300-000097000000}"/>
              </a:ext>
            </a:extLst>
          </xdr:cNvPr>
          <xdr:cNvCxnSpPr>
            <a:cxnSpLocks/>
          </xdr:cNvCxnSpPr>
        </xdr:nvCxnSpPr>
        <xdr:spPr>
          <a:xfrm>
            <a:off x="9281584" y="14393333"/>
            <a:ext cx="0" cy="739775"/>
          </a:xfrm>
          <a:prstGeom prst="straightConnector1">
            <a:avLst/>
          </a:prstGeom>
          <a:ln w="1905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2" name="TextBox 110">
            <a:extLst>
              <a:ext uri="{FF2B5EF4-FFF2-40B4-BE49-F238E27FC236}">
                <a16:creationId xmlns:a16="http://schemas.microsoft.com/office/drawing/2014/main" id="{00000000-0008-0000-0300-000098000000}"/>
              </a:ext>
            </a:extLst>
          </xdr:cNvPr>
          <xdr:cNvSpPr txBox="1"/>
        </xdr:nvSpPr>
        <xdr:spPr>
          <a:xfrm>
            <a:off x="10625730" y="13400769"/>
            <a:ext cx="1656229"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PFAS-contaminated site</a:t>
            </a:r>
          </a:p>
        </xdr:txBody>
      </xdr:sp>
      <xdr:cxnSp macro="">
        <xdr:nvCxnSpPr>
          <xdr:cNvPr id="153" name="Straight Arrow Connector 152">
            <a:extLst>
              <a:ext uri="{FF2B5EF4-FFF2-40B4-BE49-F238E27FC236}">
                <a16:creationId xmlns:a16="http://schemas.microsoft.com/office/drawing/2014/main" id="{00000000-0008-0000-0300-000099000000}"/>
              </a:ext>
            </a:extLst>
          </xdr:cNvPr>
          <xdr:cNvCxnSpPr>
            <a:cxnSpLocks/>
          </xdr:cNvCxnSpPr>
        </xdr:nvCxnSpPr>
        <xdr:spPr>
          <a:xfrm flipH="1">
            <a:off x="10398125" y="13700125"/>
            <a:ext cx="555625" cy="49741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4" name="TextBox 110">
            <a:extLst>
              <a:ext uri="{FF2B5EF4-FFF2-40B4-BE49-F238E27FC236}">
                <a16:creationId xmlns:a16="http://schemas.microsoft.com/office/drawing/2014/main" id="{00000000-0008-0000-0300-00009A000000}"/>
              </a:ext>
            </a:extLst>
          </xdr:cNvPr>
          <xdr:cNvSpPr txBox="1"/>
        </xdr:nvSpPr>
        <xdr:spPr>
          <a:xfrm>
            <a:off x="8175625" y="15119501"/>
            <a:ext cx="1147233"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Infiltration</a:t>
            </a:r>
          </a:p>
        </xdr:txBody>
      </xdr:sp>
    </xdr:grpSp>
    <xdr:clientData/>
  </xdr:twoCellAnchor>
  <xdr:twoCellAnchor>
    <xdr:from>
      <xdr:col>12</xdr:col>
      <xdr:colOff>534455</xdr:colOff>
      <xdr:row>95</xdr:row>
      <xdr:rowOff>130707</xdr:rowOff>
    </xdr:from>
    <xdr:to>
      <xdr:col>14</xdr:col>
      <xdr:colOff>539747</xdr:colOff>
      <xdr:row>96</xdr:row>
      <xdr:rowOff>166438</xdr:rowOff>
    </xdr:to>
    <xdr:sp macro="" textlink="">
      <xdr:nvSpPr>
        <xdr:cNvPr id="406" name="TextBox 405">
          <a:extLst>
            <a:ext uri="{FF2B5EF4-FFF2-40B4-BE49-F238E27FC236}">
              <a16:creationId xmlns:a16="http://schemas.microsoft.com/office/drawing/2014/main" id="{00000000-0008-0000-0300-000096010000}"/>
            </a:ext>
          </a:extLst>
        </xdr:cNvPr>
        <xdr:cNvSpPr txBox="1"/>
      </xdr:nvSpPr>
      <xdr:spPr>
        <a:xfrm>
          <a:off x="8306855" y="17180457"/>
          <a:ext cx="1300692" cy="211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i="1">
              <a:latin typeface="Times New Roman" panose="02020603050405020304" pitchFamily="18" charset="0"/>
              <a:cs typeface="Times New Roman" panose="02020603050405020304" pitchFamily="18" charset="0"/>
            </a:rPr>
            <a:t>Not</a:t>
          </a:r>
          <a:r>
            <a:rPr lang="en-US" sz="900" b="1" i="1" baseline="0">
              <a:latin typeface="Times New Roman" panose="02020603050405020304" pitchFamily="18" charset="0"/>
              <a:cs typeface="Times New Roman" panose="02020603050405020304" pitchFamily="18" charset="0"/>
            </a:rPr>
            <a:t> to scale</a:t>
          </a:r>
          <a:endParaRPr lang="en-US" sz="900" b="1" i="1">
            <a:latin typeface="Times New Roman" panose="02020603050405020304" pitchFamily="18" charset="0"/>
            <a:cs typeface="Times New Roman" panose="02020603050405020304" pitchFamily="18" charset="0"/>
          </a:endParaRPr>
        </a:p>
      </xdr:txBody>
    </xdr:sp>
    <xdr:clientData/>
  </xdr:twoCellAnchor>
  <xdr:twoCellAnchor>
    <xdr:from>
      <xdr:col>0</xdr:col>
      <xdr:colOff>279400</xdr:colOff>
      <xdr:row>86</xdr:row>
      <xdr:rowOff>67732</xdr:rowOff>
    </xdr:from>
    <xdr:to>
      <xdr:col>1</xdr:col>
      <xdr:colOff>633942</xdr:colOff>
      <xdr:row>87</xdr:row>
      <xdr:rowOff>125939</xdr:rowOff>
    </xdr:to>
    <xdr:sp macro="" textlink="">
      <xdr:nvSpPr>
        <xdr:cNvPr id="407" name="TextBox 406">
          <a:extLst>
            <a:ext uri="{FF2B5EF4-FFF2-40B4-BE49-F238E27FC236}">
              <a16:creationId xmlns:a16="http://schemas.microsoft.com/office/drawing/2014/main" id="{00000000-0008-0000-0300-000097010000}"/>
            </a:ext>
          </a:extLst>
        </xdr:cNvPr>
        <xdr:cNvSpPr txBox="1"/>
      </xdr:nvSpPr>
      <xdr:spPr>
        <a:xfrm>
          <a:off x="279400" y="15531570"/>
          <a:ext cx="1002242" cy="234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a:t>
          </a:r>
          <a:r>
            <a:rPr lang="en-US" sz="900" b="1" i="1">
              <a:latin typeface="Times New Roman" panose="02020603050405020304" pitchFamily="18" charset="0"/>
              <a:cs typeface="Times New Roman" panose="02020603050405020304" pitchFamily="18" charset="0"/>
            </a:rPr>
            <a:t>USEPA, 1996</a:t>
          </a:r>
        </a:p>
      </xdr:txBody>
    </xdr:sp>
    <xdr:clientData/>
  </xdr:twoCellAnchor>
  <xdr:twoCellAnchor editAs="oneCell">
    <xdr:from>
      <xdr:col>6</xdr:col>
      <xdr:colOff>381002</xdr:colOff>
      <xdr:row>81</xdr:row>
      <xdr:rowOff>142877</xdr:rowOff>
    </xdr:from>
    <xdr:to>
      <xdr:col>10</xdr:col>
      <xdr:colOff>344625</xdr:colOff>
      <xdr:row>93</xdr:row>
      <xdr:rowOff>132293</xdr:rowOff>
    </xdr:to>
    <xdr:pic>
      <xdr:nvPicPr>
        <xdr:cNvPr id="408" name="Picture 407">
          <a:extLst>
            <a:ext uri="{FF2B5EF4-FFF2-40B4-BE49-F238E27FC236}">
              <a16:creationId xmlns:a16="http://schemas.microsoft.com/office/drawing/2014/main" id="{00000000-0008-0000-0300-000098010000}"/>
            </a:ext>
          </a:extLst>
        </xdr:cNvPr>
        <xdr:cNvPicPr>
          <a:picLocks noChangeAspect="1"/>
        </xdr:cNvPicPr>
      </xdr:nvPicPr>
      <xdr:blipFill rotWithShape="1">
        <a:blip xmlns:r="http://schemas.openxmlformats.org/officeDocument/2006/relationships" r:embed="rId13"/>
        <a:srcRect r="763"/>
        <a:stretch/>
      </xdr:blipFill>
      <xdr:spPr>
        <a:xfrm>
          <a:off x="4267202" y="14725652"/>
          <a:ext cx="2554423" cy="2103966"/>
        </a:xfrm>
        <a:prstGeom prst="rect">
          <a:avLst/>
        </a:prstGeom>
      </xdr:spPr>
    </xdr:pic>
    <xdr:clientData/>
  </xdr:twoCellAnchor>
  <xdr:twoCellAnchor>
    <xdr:from>
      <xdr:col>10</xdr:col>
      <xdr:colOff>455084</xdr:colOff>
      <xdr:row>91</xdr:row>
      <xdr:rowOff>100543</xdr:rowOff>
    </xdr:from>
    <xdr:to>
      <xdr:col>12</xdr:col>
      <xdr:colOff>513292</xdr:colOff>
      <xdr:row>91</xdr:row>
      <xdr:rowOff>100543</xdr:rowOff>
    </xdr:to>
    <xdr:cxnSp macro="">
      <xdr:nvCxnSpPr>
        <xdr:cNvPr id="409" name="Straight Arrow Connector 408">
          <a:extLst>
            <a:ext uri="{FF2B5EF4-FFF2-40B4-BE49-F238E27FC236}">
              <a16:creationId xmlns:a16="http://schemas.microsoft.com/office/drawing/2014/main" id="{00000000-0008-0000-0300-000099010000}"/>
            </a:ext>
          </a:extLst>
        </xdr:cNvPr>
        <xdr:cNvCxnSpPr>
          <a:cxnSpLocks/>
        </xdr:cNvCxnSpPr>
      </xdr:nvCxnSpPr>
      <xdr:spPr>
        <a:xfrm>
          <a:off x="6932084" y="16445443"/>
          <a:ext cx="1353608"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190497</xdr:colOff>
      <xdr:row>95</xdr:row>
      <xdr:rowOff>77784</xdr:rowOff>
    </xdr:from>
    <xdr:to>
      <xdr:col>12</xdr:col>
      <xdr:colOff>188383</xdr:colOff>
      <xdr:row>103</xdr:row>
      <xdr:rowOff>20108</xdr:rowOff>
    </xdr:to>
    <xdr:sp macro="" textlink="">
      <xdr:nvSpPr>
        <xdr:cNvPr id="410" name="TextBox 409">
          <a:extLst>
            <a:ext uri="{FF2B5EF4-FFF2-40B4-BE49-F238E27FC236}">
              <a16:creationId xmlns:a16="http://schemas.microsoft.com/office/drawing/2014/main" id="{00000000-0008-0000-0300-00009A010000}"/>
            </a:ext>
          </a:extLst>
        </xdr:cNvPr>
        <xdr:cNvSpPr txBox="1"/>
      </xdr:nvSpPr>
      <xdr:spPr>
        <a:xfrm>
          <a:off x="190497" y="17127534"/>
          <a:ext cx="7770286" cy="135202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In lieu of this groundwater model, a user can take the raw leachate concentrations and input them into any suitable, external groundwater model.</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A user can also simply select the option to directly input a Dilution Factor obtained by other means.</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For more information, please refer to the USEPA's original documentation on this approach (USEPA, 1996)</a:t>
          </a:r>
        </a:p>
        <a:p>
          <a:r>
            <a:rPr lang="en-US" sz="1200" b="0" i="0" baseline="0">
              <a:latin typeface="Times New Roman" panose="02020603050405020304" pitchFamily="18" charset="0"/>
              <a:cs typeface="Times New Roman" panose="02020603050405020304" pitchFamily="18" charset="0"/>
            </a:rPr>
            <a:t> </a:t>
          </a:r>
          <a:endParaRPr lang="en-US" sz="1200" b="0" i="1" baseline="0">
            <a:latin typeface="Times New Roman" panose="02020603050405020304" pitchFamily="18" charset="0"/>
            <a:cs typeface="Times New Roman" panose="02020603050405020304" pitchFamily="18" charset="0"/>
          </a:endParaRP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194734</xdr:colOff>
      <xdr:row>103</xdr:row>
      <xdr:rowOff>104777</xdr:rowOff>
    </xdr:from>
    <xdr:to>
      <xdr:col>5</xdr:col>
      <xdr:colOff>491067</xdr:colOff>
      <xdr:row>105</xdr:row>
      <xdr:rowOff>72502</xdr:rowOff>
    </xdr:to>
    <xdr:sp macro="" textlink="">
      <xdr:nvSpPr>
        <xdr:cNvPr id="411" name="TextBox 410">
          <a:extLst>
            <a:ext uri="{FF2B5EF4-FFF2-40B4-BE49-F238E27FC236}">
              <a16:creationId xmlns:a16="http://schemas.microsoft.com/office/drawing/2014/main" id="{00000000-0008-0000-0300-00009B010000}"/>
            </a:ext>
          </a:extLst>
        </xdr:cNvPr>
        <xdr:cNvSpPr txBox="1"/>
      </xdr:nvSpPr>
      <xdr:spPr>
        <a:xfrm>
          <a:off x="194734" y="18564227"/>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a:latin typeface="Times New Roman" panose="02020603050405020304" pitchFamily="18" charset="0"/>
              <a:cs typeface="Times New Roman" panose="02020603050405020304" pitchFamily="18" charset="0"/>
            </a:rPr>
            <a:t>Navigating the User Interface</a:t>
          </a:r>
        </a:p>
      </xdr:txBody>
    </xdr:sp>
    <xdr:clientData/>
  </xdr:twoCellAnchor>
  <xdr:twoCellAnchor>
    <xdr:from>
      <xdr:col>0</xdr:col>
      <xdr:colOff>221190</xdr:colOff>
      <xdr:row>106</xdr:row>
      <xdr:rowOff>71435</xdr:rowOff>
    </xdr:from>
    <xdr:to>
      <xdr:col>10</xdr:col>
      <xdr:colOff>566209</xdr:colOff>
      <xdr:row>108</xdr:row>
      <xdr:rowOff>74083</xdr:rowOff>
    </xdr:to>
    <xdr:sp macro="" textlink="">
      <xdr:nvSpPr>
        <xdr:cNvPr id="412" name="TextBox 411">
          <a:extLst>
            <a:ext uri="{FF2B5EF4-FFF2-40B4-BE49-F238E27FC236}">
              <a16:creationId xmlns:a16="http://schemas.microsoft.com/office/drawing/2014/main" id="{00000000-0008-0000-0300-00009C010000}"/>
            </a:ext>
          </a:extLst>
        </xdr:cNvPr>
        <xdr:cNvSpPr txBox="1"/>
      </xdr:nvSpPr>
      <xdr:spPr>
        <a:xfrm>
          <a:off x="221190" y="19059523"/>
          <a:ext cx="6822019" cy="355073"/>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Users will begin using</a:t>
          </a:r>
          <a:r>
            <a:rPr lang="en-US" sz="1200" baseline="0">
              <a:latin typeface="Times New Roman" panose="02020603050405020304" pitchFamily="18" charset="0"/>
              <a:cs typeface="Times New Roman" panose="02020603050405020304" pitchFamily="18" charset="0"/>
            </a:rPr>
            <a:t> the tool on the "</a:t>
          </a:r>
          <a:r>
            <a:rPr lang="en-US" sz="1200" b="1" i="1" baseline="0">
              <a:latin typeface="Times New Roman" panose="02020603050405020304" pitchFamily="18" charset="0"/>
              <a:cs typeface="Times New Roman" panose="02020603050405020304" pitchFamily="18" charset="0"/>
            </a:rPr>
            <a:t>Inputs</a:t>
          </a:r>
          <a:r>
            <a:rPr lang="en-US" sz="1200" baseline="0">
              <a:latin typeface="Times New Roman" panose="02020603050405020304" pitchFamily="18" charset="0"/>
              <a:cs typeface="Times New Roman" panose="02020603050405020304" pitchFamily="18" charset="0"/>
            </a:rPr>
            <a:t>" worksheet tab, which immediately follows this </a:t>
          </a:r>
          <a:r>
            <a:rPr lang="en-US" sz="1200" b="1" i="1" baseline="0">
              <a:latin typeface="Times New Roman" panose="02020603050405020304" pitchFamily="18" charset="0"/>
              <a:cs typeface="Times New Roman" panose="02020603050405020304" pitchFamily="18" charset="0"/>
            </a:rPr>
            <a:t>ReadMe</a:t>
          </a:r>
          <a:r>
            <a:rPr lang="en-US" sz="1200" baseline="0">
              <a:latin typeface="Times New Roman" panose="02020603050405020304" pitchFamily="18" charset="0"/>
              <a:cs typeface="Times New Roman" panose="02020603050405020304" pitchFamily="18" charset="0"/>
            </a:rPr>
            <a:t> tab.</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0</xdr:col>
      <xdr:colOff>225425</xdr:colOff>
      <xdr:row>109</xdr:row>
      <xdr:rowOff>130177</xdr:rowOff>
    </xdr:from>
    <xdr:to>
      <xdr:col>5</xdr:col>
      <xdr:colOff>521758</xdr:colOff>
      <xdr:row>111</xdr:row>
      <xdr:rowOff>97902</xdr:rowOff>
    </xdr:to>
    <xdr:sp macro="" textlink="">
      <xdr:nvSpPr>
        <xdr:cNvPr id="413" name="TextBox 412">
          <a:extLst>
            <a:ext uri="{FF2B5EF4-FFF2-40B4-BE49-F238E27FC236}">
              <a16:creationId xmlns:a16="http://schemas.microsoft.com/office/drawing/2014/main" id="{00000000-0008-0000-0300-00009D010000}"/>
            </a:ext>
          </a:extLst>
        </xdr:cNvPr>
        <xdr:cNvSpPr txBox="1"/>
      </xdr:nvSpPr>
      <xdr:spPr>
        <a:xfrm>
          <a:off x="225425" y="19646902"/>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Input Screen</a:t>
          </a:r>
        </a:p>
      </xdr:txBody>
    </xdr:sp>
    <xdr:clientData/>
  </xdr:twoCellAnchor>
  <xdr:twoCellAnchor>
    <xdr:from>
      <xdr:col>0</xdr:col>
      <xdr:colOff>156631</xdr:colOff>
      <xdr:row>179</xdr:row>
      <xdr:rowOff>33337</xdr:rowOff>
    </xdr:from>
    <xdr:to>
      <xdr:col>9</xdr:col>
      <xdr:colOff>522816</xdr:colOff>
      <xdr:row>181</xdr:row>
      <xdr:rowOff>164042</xdr:rowOff>
    </xdr:to>
    <xdr:sp macro="" textlink="">
      <xdr:nvSpPr>
        <xdr:cNvPr id="414" name="TextBox 413">
          <a:extLst>
            <a:ext uri="{FF2B5EF4-FFF2-40B4-BE49-F238E27FC236}">
              <a16:creationId xmlns:a16="http://schemas.microsoft.com/office/drawing/2014/main" id="{00000000-0008-0000-0300-00009E010000}"/>
            </a:ext>
          </a:extLst>
        </xdr:cNvPr>
        <xdr:cNvSpPr txBox="1"/>
      </xdr:nvSpPr>
      <xdr:spPr>
        <a:xfrm>
          <a:off x="156631" y="31884937"/>
          <a:ext cx="6195485" cy="48313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After selecting PFAS-specific parameters, users will then input the corresponding values to use within the Dilution Factor model.</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xdr:col>
      <xdr:colOff>24340</xdr:colOff>
      <xdr:row>177</xdr:row>
      <xdr:rowOff>54503</xdr:rowOff>
    </xdr:from>
    <xdr:to>
      <xdr:col>1</xdr:col>
      <xdr:colOff>24340</xdr:colOff>
      <xdr:row>179</xdr:row>
      <xdr:rowOff>91544</xdr:rowOff>
    </xdr:to>
    <xdr:cxnSp macro="">
      <xdr:nvCxnSpPr>
        <xdr:cNvPr id="415" name="Straight Arrow Connector 414">
          <a:extLst>
            <a:ext uri="{FF2B5EF4-FFF2-40B4-BE49-F238E27FC236}">
              <a16:creationId xmlns:a16="http://schemas.microsoft.com/office/drawing/2014/main" id="{00000000-0008-0000-0300-00009F010000}"/>
            </a:ext>
          </a:extLst>
        </xdr:cNvPr>
        <xdr:cNvCxnSpPr/>
      </xdr:nvCxnSpPr>
      <xdr:spPr>
        <a:xfrm>
          <a:off x="672040" y="31553678"/>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5291</xdr:colOff>
      <xdr:row>164</xdr:row>
      <xdr:rowOff>148167</xdr:rowOff>
    </xdr:from>
    <xdr:to>
      <xdr:col>6</xdr:col>
      <xdr:colOff>587375</xdr:colOff>
      <xdr:row>175</xdr:row>
      <xdr:rowOff>21167</xdr:rowOff>
    </xdr:to>
    <xdr:sp macro="" textlink="">
      <xdr:nvSpPr>
        <xdr:cNvPr id="416" name="Oval 415">
          <a:extLst>
            <a:ext uri="{FF2B5EF4-FFF2-40B4-BE49-F238E27FC236}">
              <a16:creationId xmlns:a16="http://schemas.microsoft.com/office/drawing/2014/main" id="{00000000-0008-0000-0300-0000A0010000}"/>
            </a:ext>
          </a:extLst>
        </xdr:cNvPr>
        <xdr:cNvSpPr/>
      </xdr:nvSpPr>
      <xdr:spPr>
        <a:xfrm>
          <a:off x="3243791" y="29356580"/>
          <a:ext cx="1229784" cy="181133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587375</xdr:colOff>
      <xdr:row>185</xdr:row>
      <xdr:rowOff>31750</xdr:rowOff>
    </xdr:from>
    <xdr:to>
      <xdr:col>9</xdr:col>
      <xdr:colOff>296333</xdr:colOff>
      <xdr:row>186</xdr:row>
      <xdr:rowOff>142874</xdr:rowOff>
    </xdr:to>
    <xdr:sp macro="" textlink="">
      <xdr:nvSpPr>
        <xdr:cNvPr id="417" name="Oval 416">
          <a:extLst>
            <a:ext uri="{FF2B5EF4-FFF2-40B4-BE49-F238E27FC236}">
              <a16:creationId xmlns:a16="http://schemas.microsoft.com/office/drawing/2014/main" id="{00000000-0008-0000-0300-0000A1010000}"/>
            </a:ext>
          </a:extLst>
        </xdr:cNvPr>
        <xdr:cNvSpPr/>
      </xdr:nvSpPr>
      <xdr:spPr>
        <a:xfrm>
          <a:off x="3178175" y="32940625"/>
          <a:ext cx="2947458" cy="28733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118535</xdr:colOff>
      <xdr:row>166</xdr:row>
      <xdr:rowOff>5291</xdr:rowOff>
    </xdr:from>
    <xdr:to>
      <xdr:col>13</xdr:col>
      <xdr:colOff>47625</xdr:colOff>
      <xdr:row>167</xdr:row>
      <xdr:rowOff>55032</xdr:rowOff>
    </xdr:to>
    <xdr:cxnSp macro="">
      <xdr:nvCxnSpPr>
        <xdr:cNvPr id="418" name="Straight Arrow Connector 417">
          <a:extLst>
            <a:ext uri="{FF2B5EF4-FFF2-40B4-BE49-F238E27FC236}">
              <a16:creationId xmlns:a16="http://schemas.microsoft.com/office/drawing/2014/main" id="{00000000-0008-0000-0300-0000A2010000}"/>
            </a:ext>
          </a:extLst>
        </xdr:cNvPr>
        <xdr:cNvCxnSpPr/>
      </xdr:nvCxnSpPr>
      <xdr:spPr>
        <a:xfrm flipH="1">
          <a:off x="7243235" y="29566129"/>
          <a:ext cx="1224490" cy="22595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500592</xdr:colOff>
      <xdr:row>165</xdr:row>
      <xdr:rowOff>150283</xdr:rowOff>
    </xdr:from>
    <xdr:to>
      <xdr:col>11</xdr:col>
      <xdr:colOff>434976</xdr:colOff>
      <xdr:row>168</xdr:row>
      <xdr:rowOff>96311</xdr:rowOff>
    </xdr:to>
    <xdr:sp macro="" textlink="">
      <xdr:nvSpPr>
        <xdr:cNvPr id="419" name="Oval 418">
          <a:extLst>
            <a:ext uri="{FF2B5EF4-FFF2-40B4-BE49-F238E27FC236}">
              <a16:creationId xmlns:a16="http://schemas.microsoft.com/office/drawing/2014/main" id="{00000000-0008-0000-0300-0000A3010000}"/>
            </a:ext>
          </a:extLst>
        </xdr:cNvPr>
        <xdr:cNvSpPr/>
      </xdr:nvSpPr>
      <xdr:spPr>
        <a:xfrm>
          <a:off x="6329892" y="29534908"/>
          <a:ext cx="1229784" cy="474666"/>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120650</xdr:colOff>
      <xdr:row>164</xdr:row>
      <xdr:rowOff>9523</xdr:rowOff>
    </xdr:from>
    <xdr:to>
      <xdr:col>22</xdr:col>
      <xdr:colOff>182659</xdr:colOff>
      <xdr:row>169</xdr:row>
      <xdr:rowOff>67343</xdr:rowOff>
    </xdr:to>
    <xdr:sp macro="" textlink="">
      <xdr:nvSpPr>
        <xdr:cNvPr id="420" name="TextBox 419">
          <a:extLst>
            <a:ext uri="{FF2B5EF4-FFF2-40B4-BE49-F238E27FC236}">
              <a16:creationId xmlns:a16="http://schemas.microsoft.com/office/drawing/2014/main" id="{00000000-0008-0000-0300-0000A4010000}"/>
            </a:ext>
          </a:extLst>
        </xdr:cNvPr>
        <xdr:cNvSpPr txBox="1"/>
      </xdr:nvSpPr>
      <xdr:spPr>
        <a:xfrm>
          <a:off x="8540750" y="29217936"/>
          <a:ext cx="5891309" cy="93888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functions the same way as the previous dropdown menu.</a:t>
          </a:r>
        </a:p>
      </xdr:txBody>
    </xdr:sp>
    <xdr:clientData/>
  </xdr:twoCellAnchor>
  <xdr:twoCellAnchor>
    <xdr:from>
      <xdr:col>6</xdr:col>
      <xdr:colOff>455083</xdr:colOff>
      <xdr:row>172</xdr:row>
      <xdr:rowOff>139700</xdr:rowOff>
    </xdr:from>
    <xdr:to>
      <xdr:col>9</xdr:col>
      <xdr:colOff>69594</xdr:colOff>
      <xdr:row>175</xdr:row>
      <xdr:rowOff>90068</xdr:rowOff>
    </xdr:to>
    <xdr:sp macro="" textlink="">
      <xdr:nvSpPr>
        <xdr:cNvPr id="421" name="Oval 420">
          <a:extLst>
            <a:ext uri="{FF2B5EF4-FFF2-40B4-BE49-F238E27FC236}">
              <a16:creationId xmlns:a16="http://schemas.microsoft.com/office/drawing/2014/main" id="{00000000-0008-0000-0300-0000A5010000}"/>
            </a:ext>
          </a:extLst>
        </xdr:cNvPr>
        <xdr:cNvSpPr/>
      </xdr:nvSpPr>
      <xdr:spPr>
        <a:xfrm>
          <a:off x="4341283" y="30757813"/>
          <a:ext cx="1557611" cy="479005"/>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100542</xdr:colOff>
      <xdr:row>172</xdr:row>
      <xdr:rowOff>5291</xdr:rowOff>
    </xdr:from>
    <xdr:to>
      <xdr:col>13</xdr:col>
      <xdr:colOff>169334</xdr:colOff>
      <xdr:row>174</xdr:row>
      <xdr:rowOff>52916</xdr:rowOff>
    </xdr:to>
    <xdr:cxnSp macro="">
      <xdr:nvCxnSpPr>
        <xdr:cNvPr id="422" name="Straight Arrow Connector 421">
          <a:extLst>
            <a:ext uri="{FF2B5EF4-FFF2-40B4-BE49-F238E27FC236}">
              <a16:creationId xmlns:a16="http://schemas.microsoft.com/office/drawing/2014/main" id="{00000000-0008-0000-0300-0000A6010000}"/>
            </a:ext>
          </a:extLst>
        </xdr:cNvPr>
        <xdr:cNvCxnSpPr/>
      </xdr:nvCxnSpPr>
      <xdr:spPr>
        <a:xfrm flipH="1">
          <a:off x="5929842" y="30623404"/>
          <a:ext cx="2659592" cy="4000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180975</xdr:colOff>
      <xdr:row>170</xdr:row>
      <xdr:rowOff>123825</xdr:rowOff>
    </xdr:from>
    <xdr:to>
      <xdr:col>22</xdr:col>
      <xdr:colOff>242984</xdr:colOff>
      <xdr:row>176</xdr:row>
      <xdr:rowOff>13367</xdr:rowOff>
    </xdr:to>
    <xdr:sp macro="" textlink="">
      <xdr:nvSpPr>
        <xdr:cNvPr id="423" name="TextBox 422">
          <a:extLst>
            <a:ext uri="{FF2B5EF4-FFF2-40B4-BE49-F238E27FC236}">
              <a16:creationId xmlns:a16="http://schemas.microsoft.com/office/drawing/2014/main" id="{00000000-0008-0000-0300-0000A7010000}"/>
            </a:ext>
          </a:extLst>
        </xdr:cNvPr>
        <xdr:cNvSpPr txBox="1"/>
      </xdr:nvSpPr>
      <xdr:spPr>
        <a:xfrm>
          <a:off x="8601075" y="30389513"/>
          <a:ext cx="5891309" cy="94681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demonstrates what the interface would look like in the event a parameter would be sampled from</a:t>
          </a:r>
          <a:endParaRPr lang="en-US" sz="1100">
            <a:latin typeface="Times New Roman" panose="02020603050405020304" pitchFamily="18" charset="0"/>
            <a:cs typeface="Times New Roman" panose="02020603050405020304" pitchFamily="18" charset="0"/>
          </a:endParaRPr>
        </a:p>
      </xdr:txBody>
    </xdr:sp>
    <xdr:clientData/>
  </xdr:twoCellAnchor>
  <xdr:twoCellAnchor>
    <xdr:from>
      <xdr:col>11</xdr:col>
      <xdr:colOff>604308</xdr:colOff>
      <xdr:row>182</xdr:row>
      <xdr:rowOff>65618</xdr:rowOff>
    </xdr:from>
    <xdr:to>
      <xdr:col>21</xdr:col>
      <xdr:colOff>20734</xdr:colOff>
      <xdr:row>184</xdr:row>
      <xdr:rowOff>42333</xdr:rowOff>
    </xdr:to>
    <xdr:sp macro="" textlink="">
      <xdr:nvSpPr>
        <xdr:cNvPr id="424" name="TextBox 423">
          <a:extLst>
            <a:ext uri="{FF2B5EF4-FFF2-40B4-BE49-F238E27FC236}">
              <a16:creationId xmlns:a16="http://schemas.microsoft.com/office/drawing/2014/main" id="{00000000-0008-0000-0300-0000A8010000}"/>
            </a:ext>
          </a:extLst>
        </xdr:cNvPr>
        <xdr:cNvSpPr txBox="1"/>
      </xdr:nvSpPr>
      <xdr:spPr>
        <a:xfrm>
          <a:off x="7729008" y="32445856"/>
          <a:ext cx="5893426" cy="32914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Dilution</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Factor will be automatically computed based upon the input variables in white cells</a:t>
          </a:r>
          <a:endParaRPr lang="en-US" sz="1100">
            <a:latin typeface="Times New Roman" panose="02020603050405020304" pitchFamily="18" charset="0"/>
            <a:cs typeface="Times New Roman" panose="02020603050405020304" pitchFamily="18" charset="0"/>
          </a:endParaRPr>
        </a:p>
      </xdr:txBody>
    </xdr:sp>
    <xdr:clientData/>
  </xdr:twoCellAnchor>
  <xdr:twoCellAnchor>
    <xdr:from>
      <xdr:col>9</xdr:col>
      <xdr:colOff>301625</xdr:colOff>
      <xdr:row>183</xdr:row>
      <xdr:rowOff>58209</xdr:rowOff>
    </xdr:from>
    <xdr:to>
      <xdr:col>11</xdr:col>
      <xdr:colOff>619125</xdr:colOff>
      <xdr:row>185</xdr:row>
      <xdr:rowOff>148167</xdr:rowOff>
    </xdr:to>
    <xdr:cxnSp macro="">
      <xdr:nvCxnSpPr>
        <xdr:cNvPr id="425" name="Straight Arrow Connector 424">
          <a:extLst>
            <a:ext uri="{FF2B5EF4-FFF2-40B4-BE49-F238E27FC236}">
              <a16:creationId xmlns:a16="http://schemas.microsoft.com/office/drawing/2014/main" id="{00000000-0008-0000-0300-0000A9010000}"/>
            </a:ext>
          </a:extLst>
        </xdr:cNvPr>
        <xdr:cNvCxnSpPr/>
      </xdr:nvCxnSpPr>
      <xdr:spPr>
        <a:xfrm flipH="1">
          <a:off x="6130925" y="32614659"/>
          <a:ext cx="1612900" cy="44238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349251</xdr:colOff>
      <xdr:row>192</xdr:row>
      <xdr:rowOff>137583</xdr:rowOff>
    </xdr:from>
    <xdr:to>
      <xdr:col>6</xdr:col>
      <xdr:colOff>603250</xdr:colOff>
      <xdr:row>195</xdr:row>
      <xdr:rowOff>132291</xdr:rowOff>
    </xdr:to>
    <xdr:sp macro="" textlink="">
      <xdr:nvSpPr>
        <xdr:cNvPr id="426" name="Oval 425">
          <a:extLst>
            <a:ext uri="{FF2B5EF4-FFF2-40B4-BE49-F238E27FC236}">
              <a16:creationId xmlns:a16="http://schemas.microsoft.com/office/drawing/2014/main" id="{00000000-0008-0000-0300-0000AA010000}"/>
            </a:ext>
          </a:extLst>
        </xdr:cNvPr>
        <xdr:cNvSpPr/>
      </xdr:nvSpPr>
      <xdr:spPr>
        <a:xfrm>
          <a:off x="3587751" y="34279946"/>
          <a:ext cx="901699" cy="523345"/>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31751</xdr:colOff>
      <xdr:row>185</xdr:row>
      <xdr:rowOff>68792</xdr:rowOff>
    </xdr:from>
    <xdr:to>
      <xdr:col>21</xdr:col>
      <xdr:colOff>93760</xdr:colOff>
      <xdr:row>190</xdr:row>
      <xdr:rowOff>132958</xdr:rowOff>
    </xdr:to>
    <xdr:sp macro="" textlink="">
      <xdr:nvSpPr>
        <xdr:cNvPr id="427" name="TextBox 426">
          <a:extLst>
            <a:ext uri="{FF2B5EF4-FFF2-40B4-BE49-F238E27FC236}">
              <a16:creationId xmlns:a16="http://schemas.microsoft.com/office/drawing/2014/main" id="{00000000-0008-0000-0300-0000AB010000}"/>
            </a:ext>
          </a:extLst>
        </xdr:cNvPr>
        <xdr:cNvSpPr txBox="1"/>
      </xdr:nvSpPr>
      <xdr:spPr>
        <a:xfrm>
          <a:off x="7804151" y="32977667"/>
          <a:ext cx="5891309" cy="94522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Dispersivity</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and mixing zone depth are computed per the above governing equations</a:t>
          </a:r>
        </a:p>
      </xdr:txBody>
    </xdr:sp>
    <xdr:clientData/>
  </xdr:twoCellAnchor>
  <xdr:twoCellAnchor>
    <xdr:from>
      <xdr:col>6</xdr:col>
      <xdr:colOff>619125</xdr:colOff>
      <xdr:row>186</xdr:row>
      <xdr:rowOff>137583</xdr:rowOff>
    </xdr:from>
    <xdr:to>
      <xdr:col>12</xdr:col>
      <xdr:colOff>68792</xdr:colOff>
      <xdr:row>194</xdr:row>
      <xdr:rowOff>47624</xdr:rowOff>
    </xdr:to>
    <xdr:cxnSp macro="">
      <xdr:nvCxnSpPr>
        <xdr:cNvPr id="428" name="Straight Arrow Connector 427">
          <a:extLst>
            <a:ext uri="{FF2B5EF4-FFF2-40B4-BE49-F238E27FC236}">
              <a16:creationId xmlns:a16="http://schemas.microsoft.com/office/drawing/2014/main" id="{00000000-0008-0000-0300-0000AC010000}"/>
            </a:ext>
          </a:extLst>
        </xdr:cNvPr>
        <xdr:cNvCxnSpPr/>
      </xdr:nvCxnSpPr>
      <xdr:spPr>
        <a:xfrm flipH="1">
          <a:off x="4505325" y="33222671"/>
          <a:ext cx="3335867" cy="131974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453151</xdr:colOff>
      <xdr:row>190</xdr:row>
      <xdr:rowOff>63501</xdr:rowOff>
    </xdr:from>
    <xdr:to>
      <xdr:col>20</xdr:col>
      <xdr:colOff>596419</xdr:colOff>
      <xdr:row>220</xdr:row>
      <xdr:rowOff>135840</xdr:rowOff>
    </xdr:to>
    <xdr:grpSp>
      <xdr:nvGrpSpPr>
        <xdr:cNvPr id="429" name="Group 428">
          <a:extLst>
            <a:ext uri="{FF2B5EF4-FFF2-40B4-BE49-F238E27FC236}">
              <a16:creationId xmlns:a16="http://schemas.microsoft.com/office/drawing/2014/main" id="{00000000-0008-0000-0300-0000AD010000}"/>
            </a:ext>
          </a:extLst>
        </xdr:cNvPr>
        <xdr:cNvGrpSpPr/>
      </xdr:nvGrpSpPr>
      <xdr:grpSpPr>
        <a:xfrm>
          <a:off x="8059040" y="35200168"/>
          <a:ext cx="6366268" cy="5575672"/>
          <a:chOff x="6977776" y="9064699"/>
          <a:chExt cx="5953518" cy="5311089"/>
        </a:xfrm>
      </xdr:grpSpPr>
      <xdr:grpSp>
        <xdr:nvGrpSpPr>
          <xdr:cNvPr id="430" name="Group 429">
            <a:extLst>
              <a:ext uri="{FF2B5EF4-FFF2-40B4-BE49-F238E27FC236}">
                <a16:creationId xmlns:a16="http://schemas.microsoft.com/office/drawing/2014/main" id="{00000000-0008-0000-0300-0000AE010000}"/>
              </a:ext>
            </a:extLst>
          </xdr:cNvPr>
          <xdr:cNvGrpSpPr/>
        </xdr:nvGrpSpPr>
        <xdr:grpSpPr>
          <a:xfrm>
            <a:off x="6977776" y="9064699"/>
            <a:ext cx="5953518" cy="5311089"/>
            <a:chOff x="9835949" y="9494042"/>
            <a:chExt cx="5970471" cy="4709045"/>
          </a:xfrm>
        </xdr:grpSpPr>
        <xdr:sp macro="" textlink="">
          <xdr:nvSpPr>
            <xdr:cNvPr id="438" name="Rectangle 437">
              <a:extLst>
                <a:ext uri="{FF2B5EF4-FFF2-40B4-BE49-F238E27FC236}">
                  <a16:creationId xmlns:a16="http://schemas.microsoft.com/office/drawing/2014/main" id="{00000000-0008-0000-0300-0000B6010000}"/>
                </a:ext>
              </a:extLst>
            </xdr:cNvPr>
            <xdr:cNvSpPr/>
          </xdr:nvSpPr>
          <xdr:spPr>
            <a:xfrm>
              <a:off x="9858082" y="11923567"/>
              <a:ext cx="3680406" cy="2268681"/>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39" name="Group 438">
              <a:extLst>
                <a:ext uri="{FF2B5EF4-FFF2-40B4-BE49-F238E27FC236}">
                  <a16:creationId xmlns:a16="http://schemas.microsoft.com/office/drawing/2014/main" id="{00000000-0008-0000-0300-0000B7010000}"/>
                </a:ext>
              </a:extLst>
            </xdr:cNvPr>
            <xdr:cNvGrpSpPr/>
          </xdr:nvGrpSpPr>
          <xdr:grpSpPr>
            <a:xfrm>
              <a:off x="9835949" y="9494042"/>
              <a:ext cx="5970471" cy="4709045"/>
              <a:chOff x="10156040" y="10120898"/>
              <a:chExt cx="5954067" cy="4713371"/>
            </a:xfrm>
          </xdr:grpSpPr>
          <xdr:grpSp>
            <xdr:nvGrpSpPr>
              <xdr:cNvPr id="440" name="Group 439">
                <a:extLst>
                  <a:ext uri="{FF2B5EF4-FFF2-40B4-BE49-F238E27FC236}">
                    <a16:creationId xmlns:a16="http://schemas.microsoft.com/office/drawing/2014/main" id="{00000000-0008-0000-0300-0000B8010000}"/>
                  </a:ext>
                </a:extLst>
              </xdr:cNvPr>
              <xdr:cNvGrpSpPr/>
            </xdr:nvGrpSpPr>
            <xdr:grpSpPr>
              <a:xfrm>
                <a:off x="10156040" y="10120898"/>
                <a:ext cx="5954067" cy="4713371"/>
                <a:chOff x="6925899" y="9467702"/>
                <a:chExt cx="5963009" cy="4711928"/>
              </a:xfrm>
            </xdr:grpSpPr>
            <xdr:grpSp>
              <xdr:nvGrpSpPr>
                <xdr:cNvPr id="443" name="Group 442">
                  <a:extLst>
                    <a:ext uri="{FF2B5EF4-FFF2-40B4-BE49-F238E27FC236}">
                      <a16:creationId xmlns:a16="http://schemas.microsoft.com/office/drawing/2014/main" id="{00000000-0008-0000-0300-0000BB010000}"/>
                    </a:ext>
                  </a:extLst>
                </xdr:cNvPr>
                <xdr:cNvGrpSpPr/>
              </xdr:nvGrpSpPr>
              <xdr:grpSpPr>
                <a:xfrm>
                  <a:off x="6925899" y="9467702"/>
                  <a:ext cx="5963009" cy="4711928"/>
                  <a:chOff x="7011135" y="9271521"/>
                  <a:chExt cx="5963551" cy="4694351"/>
                </a:xfrm>
              </xdr:grpSpPr>
              <xdr:grpSp>
                <xdr:nvGrpSpPr>
                  <xdr:cNvPr id="449" name="Group 448">
                    <a:extLst>
                      <a:ext uri="{FF2B5EF4-FFF2-40B4-BE49-F238E27FC236}">
                        <a16:creationId xmlns:a16="http://schemas.microsoft.com/office/drawing/2014/main" id="{00000000-0008-0000-0300-0000C1010000}"/>
                      </a:ext>
                    </a:extLst>
                  </xdr:cNvPr>
                  <xdr:cNvGrpSpPr/>
                </xdr:nvGrpSpPr>
                <xdr:grpSpPr>
                  <a:xfrm>
                    <a:off x="7011135" y="9271521"/>
                    <a:ext cx="5963551" cy="4694351"/>
                    <a:chOff x="7482860" y="10256921"/>
                    <a:chExt cx="5948180" cy="4713010"/>
                  </a:xfrm>
                </xdr:grpSpPr>
                <xdr:sp macro="" textlink="">
                  <xdr:nvSpPr>
                    <xdr:cNvPr id="451" name="Freeform: Shape 450">
                      <a:extLst>
                        <a:ext uri="{FF2B5EF4-FFF2-40B4-BE49-F238E27FC236}">
                          <a16:creationId xmlns:a16="http://schemas.microsoft.com/office/drawing/2014/main" id="{00000000-0008-0000-0300-0000C3010000}"/>
                        </a:ext>
                      </a:extLst>
                    </xdr:cNvPr>
                    <xdr:cNvSpPr/>
                  </xdr:nvSpPr>
                  <xdr:spPr>
                    <a:xfrm>
                      <a:off x="11163203" y="12771816"/>
                      <a:ext cx="2258705" cy="2193878"/>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705" h="2193878">
                          <a:moveTo>
                            <a:pt x="0" y="2193878"/>
                          </a:moveTo>
                          <a:lnTo>
                            <a:pt x="2258705" y="764275"/>
                          </a:lnTo>
                          <a:cubicBezTo>
                            <a:pt x="2257568" y="509517"/>
                            <a:pt x="2256430" y="254758"/>
                            <a:pt x="2255293" y="0"/>
                          </a:cubicBezTo>
                          <a:lnTo>
                            <a:pt x="0" y="1426191"/>
                          </a:lnTo>
                          <a:lnTo>
                            <a:pt x="0" y="2193878"/>
                          </a:lnTo>
                          <a:close/>
                        </a:path>
                      </a:pathLst>
                    </a:cu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2" name="Freeform: Shape 451">
                      <a:extLst>
                        <a:ext uri="{FF2B5EF4-FFF2-40B4-BE49-F238E27FC236}">
                          <a16:creationId xmlns:a16="http://schemas.microsoft.com/office/drawing/2014/main" id="{00000000-0008-0000-0300-0000C4010000}"/>
                        </a:ext>
                      </a:extLst>
                    </xdr:cNvPr>
                    <xdr:cNvSpPr/>
                  </xdr:nvSpPr>
                  <xdr:spPr>
                    <a:xfrm>
                      <a:off x="11172581" y="11257959"/>
                      <a:ext cx="2258458" cy="2930486"/>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58" h="2930486">
                          <a:moveTo>
                            <a:pt x="0" y="2930486"/>
                          </a:moveTo>
                          <a:lnTo>
                            <a:pt x="0" y="1413831"/>
                          </a:lnTo>
                          <a:lnTo>
                            <a:pt x="2258458" y="0"/>
                          </a:lnTo>
                          <a:lnTo>
                            <a:pt x="2254786" y="1501966"/>
                          </a:lnTo>
                          <a:lnTo>
                            <a:pt x="0" y="2930486"/>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3" name="Rectangle 452">
                      <a:extLst>
                        <a:ext uri="{FF2B5EF4-FFF2-40B4-BE49-F238E27FC236}">
                          <a16:creationId xmlns:a16="http://schemas.microsoft.com/office/drawing/2014/main" id="{00000000-0008-0000-0300-0000C5010000}"/>
                        </a:ext>
                      </a:extLst>
                    </xdr:cNvPr>
                    <xdr:cNvSpPr/>
                  </xdr:nvSpPr>
                  <xdr:spPr>
                    <a:xfrm>
                      <a:off x="7511725" y="14188445"/>
                      <a:ext cx="3644514" cy="778759"/>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4" name="Rectangle 453">
                      <a:extLst>
                        <a:ext uri="{FF2B5EF4-FFF2-40B4-BE49-F238E27FC236}">
                          <a16:creationId xmlns:a16="http://schemas.microsoft.com/office/drawing/2014/main" id="{00000000-0008-0000-0300-0000C6010000}"/>
                        </a:ext>
                      </a:extLst>
                    </xdr:cNvPr>
                    <xdr:cNvSpPr/>
                  </xdr:nvSpPr>
                  <xdr:spPr>
                    <a:xfrm>
                      <a:off x="7505368" y="12681204"/>
                      <a:ext cx="3650875" cy="1496804"/>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5" name="Freeform: Shape 454">
                      <a:extLst>
                        <a:ext uri="{FF2B5EF4-FFF2-40B4-BE49-F238E27FC236}">
                          <a16:creationId xmlns:a16="http://schemas.microsoft.com/office/drawing/2014/main" id="{00000000-0008-0000-0300-0000C7010000}"/>
                        </a:ext>
                      </a:extLst>
                    </xdr:cNvPr>
                    <xdr:cNvSpPr/>
                  </xdr:nvSpPr>
                  <xdr:spPr>
                    <a:xfrm>
                      <a:off x="7505369" y="11243506"/>
                      <a:ext cx="5912222" cy="1430974"/>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solidFill>
                      <a:schemeClr val="accent6">
                        <a:lumMod val="60000"/>
                        <a:lumOff val="4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56" name="Group 455">
                      <a:extLst>
                        <a:ext uri="{FF2B5EF4-FFF2-40B4-BE49-F238E27FC236}">
                          <a16:creationId xmlns:a16="http://schemas.microsoft.com/office/drawing/2014/main" id="{00000000-0008-0000-0300-0000C8010000}"/>
                        </a:ext>
                      </a:extLst>
                    </xdr:cNvPr>
                    <xdr:cNvGrpSpPr/>
                  </xdr:nvGrpSpPr>
                  <xdr:grpSpPr>
                    <a:xfrm>
                      <a:off x="7505369" y="11244869"/>
                      <a:ext cx="5925671" cy="3722336"/>
                      <a:chOff x="4267200" y="2205315"/>
                      <a:chExt cx="5925671" cy="3722336"/>
                    </a:xfrm>
                  </xdr:grpSpPr>
                  <xdr:sp macro="" textlink="">
                    <xdr:nvSpPr>
                      <xdr:cNvPr id="686" name="Rectangle 685">
                        <a:extLst>
                          <a:ext uri="{FF2B5EF4-FFF2-40B4-BE49-F238E27FC236}">
                            <a16:creationId xmlns:a16="http://schemas.microsoft.com/office/drawing/2014/main" id="{00000000-0008-0000-0300-0000AE020000}"/>
                          </a:ext>
                        </a:extLst>
                      </xdr:cNvPr>
                      <xdr:cNvSpPr/>
                    </xdr:nvSpPr>
                    <xdr:spPr>
                      <a:xfrm>
                        <a:off x="4267200" y="3641650"/>
                        <a:ext cx="3657600" cy="2286000"/>
                      </a:xfrm>
                      <a:prstGeom prst="rect">
                        <a:avLst/>
                      </a:prstGeom>
                      <a:noFill/>
                      <a:ln w="254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687" name="Straight Connector 686">
                        <a:extLst>
                          <a:ext uri="{FF2B5EF4-FFF2-40B4-BE49-F238E27FC236}">
                            <a16:creationId xmlns:a16="http://schemas.microsoft.com/office/drawing/2014/main" id="{00000000-0008-0000-0300-0000AF020000}"/>
                          </a:ext>
                        </a:extLst>
                      </xdr:cNvPr>
                      <xdr:cNvCxnSpPr>
                        <a:cxnSpLocks/>
                      </xdr:cNvCxnSpPr>
                    </xdr:nvCxnSpPr>
                    <xdr:spPr>
                      <a:xfrm flipV="1">
                        <a:off x="4267200" y="2212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88" name="Straight Connector 687">
                        <a:extLst>
                          <a:ext uri="{FF2B5EF4-FFF2-40B4-BE49-F238E27FC236}">
                            <a16:creationId xmlns:a16="http://schemas.microsoft.com/office/drawing/2014/main" id="{00000000-0008-0000-0300-0000B0020000}"/>
                          </a:ext>
                        </a:extLst>
                      </xdr:cNvPr>
                      <xdr:cNvCxnSpPr>
                        <a:cxnSpLocks/>
                      </xdr:cNvCxnSpPr>
                    </xdr:nvCxnSpPr>
                    <xdr:spPr>
                      <a:xfrm flipV="1">
                        <a:off x="7924800" y="2212040"/>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89" name="Straight Connector 688">
                        <a:extLst>
                          <a:ext uri="{FF2B5EF4-FFF2-40B4-BE49-F238E27FC236}">
                            <a16:creationId xmlns:a16="http://schemas.microsoft.com/office/drawing/2014/main" id="{00000000-0008-0000-0300-0000B1020000}"/>
                          </a:ext>
                        </a:extLst>
                      </xdr:cNvPr>
                      <xdr:cNvCxnSpPr>
                        <a:cxnSpLocks/>
                      </xdr:cNvCxnSpPr>
                    </xdr:nvCxnSpPr>
                    <xdr:spPr>
                      <a:xfrm>
                        <a:off x="6535271" y="2212040"/>
                        <a:ext cx="3657600"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90" name="Straight Connector 689">
                        <a:extLst>
                          <a:ext uri="{FF2B5EF4-FFF2-40B4-BE49-F238E27FC236}">
                            <a16:creationId xmlns:a16="http://schemas.microsoft.com/office/drawing/2014/main" id="{00000000-0008-0000-0300-0000B2020000}"/>
                          </a:ext>
                        </a:extLst>
                      </xdr:cNvPr>
                      <xdr:cNvCxnSpPr>
                        <a:cxnSpLocks/>
                      </xdr:cNvCxnSpPr>
                    </xdr:nvCxnSpPr>
                    <xdr:spPr>
                      <a:xfrm flipV="1">
                        <a:off x="7924799" y="4498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91" name="Straight Connector 690">
                        <a:extLst>
                          <a:ext uri="{FF2B5EF4-FFF2-40B4-BE49-F238E27FC236}">
                            <a16:creationId xmlns:a16="http://schemas.microsoft.com/office/drawing/2014/main" id="{00000000-0008-0000-0300-0000B3020000}"/>
                          </a:ext>
                        </a:extLst>
                      </xdr:cNvPr>
                      <xdr:cNvCxnSpPr>
                        <a:cxnSpLocks/>
                      </xdr:cNvCxnSpPr>
                    </xdr:nvCxnSpPr>
                    <xdr:spPr>
                      <a:xfrm>
                        <a:off x="10186146" y="2205315"/>
                        <a:ext cx="0" cy="2295144"/>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57" name="Straight Connector 456">
                      <a:extLst>
                        <a:ext uri="{FF2B5EF4-FFF2-40B4-BE49-F238E27FC236}">
                          <a16:creationId xmlns:a16="http://schemas.microsoft.com/office/drawing/2014/main" id="{00000000-0008-0000-0300-0000C9010000}"/>
                        </a:ext>
                      </a:extLst>
                    </xdr:cNvPr>
                    <xdr:cNvCxnSpPr>
                      <a:cxnSpLocks/>
                    </xdr:cNvCxnSpPr>
                  </xdr:nvCxnSpPr>
                  <xdr:spPr>
                    <a:xfrm>
                      <a:off x="7505369" y="14194258"/>
                      <a:ext cx="3657600" cy="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58" name="Straight Connector 457">
                      <a:extLst>
                        <a:ext uri="{FF2B5EF4-FFF2-40B4-BE49-F238E27FC236}">
                          <a16:creationId xmlns:a16="http://schemas.microsoft.com/office/drawing/2014/main" id="{00000000-0008-0000-0300-0000CA010000}"/>
                        </a:ext>
                      </a:extLst>
                    </xdr:cNvPr>
                    <xdr:cNvCxnSpPr>
                      <a:cxnSpLocks/>
                    </xdr:cNvCxnSpPr>
                  </xdr:nvCxnSpPr>
                  <xdr:spPr>
                    <a:xfrm flipV="1">
                      <a:off x="11162968" y="12771374"/>
                      <a:ext cx="2268071" cy="142961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459" name="Isosceles Triangle 458">
                      <a:extLst>
                        <a:ext uri="{FF2B5EF4-FFF2-40B4-BE49-F238E27FC236}">
                          <a16:creationId xmlns:a16="http://schemas.microsoft.com/office/drawing/2014/main" id="{00000000-0008-0000-0300-0000CB010000}"/>
                        </a:ext>
                      </a:extLst>
                    </xdr:cNvPr>
                    <xdr:cNvSpPr/>
                  </xdr:nvSpPr>
                  <xdr:spPr>
                    <a:xfrm rot="10800000">
                      <a:off x="7626316" y="14118621"/>
                      <a:ext cx="71719" cy="52667"/>
                    </a:xfrm>
                    <a:prstGeom prst="triangle">
                      <a:avLst/>
                    </a:prstGeom>
                    <a:noFill/>
                    <a:ln w="1905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60" name="Freeform: Shape 459">
                      <a:extLst>
                        <a:ext uri="{FF2B5EF4-FFF2-40B4-BE49-F238E27FC236}">
                          <a16:creationId xmlns:a16="http://schemas.microsoft.com/office/drawing/2014/main" id="{00000000-0008-0000-0300-0000CC010000}"/>
                        </a:ext>
                      </a:extLst>
                    </xdr:cNvPr>
                    <xdr:cNvSpPr/>
                  </xdr:nvSpPr>
                  <xdr:spPr>
                    <a:xfrm>
                      <a:off x="8792733" y="12278894"/>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61" name="Straight Connector 460">
                      <a:extLst>
                        <a:ext uri="{FF2B5EF4-FFF2-40B4-BE49-F238E27FC236}">
                          <a16:creationId xmlns:a16="http://schemas.microsoft.com/office/drawing/2014/main" id="{00000000-0008-0000-0300-0000CD010000}"/>
                        </a:ext>
                      </a:extLst>
                    </xdr:cNvPr>
                    <xdr:cNvCxnSpPr>
                      <a:cxnSpLocks/>
                    </xdr:cNvCxnSpPr>
                  </xdr:nvCxnSpPr>
                  <xdr:spPr>
                    <a:xfrm>
                      <a:off x="8789883" y="12691637"/>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62" name="Straight Connector 461">
                      <a:extLst>
                        <a:ext uri="{FF2B5EF4-FFF2-40B4-BE49-F238E27FC236}">
                          <a16:creationId xmlns:a16="http://schemas.microsoft.com/office/drawing/2014/main" id="{00000000-0008-0000-0300-0000CE010000}"/>
                        </a:ext>
                      </a:extLst>
                    </xdr:cNvPr>
                    <xdr:cNvCxnSpPr>
                      <a:cxnSpLocks/>
                    </xdr:cNvCxnSpPr>
                  </xdr:nvCxnSpPr>
                  <xdr:spPr>
                    <a:xfrm>
                      <a:off x="9801851" y="12681200"/>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463" name="Freeform: Shape 462">
                      <a:extLst>
                        <a:ext uri="{FF2B5EF4-FFF2-40B4-BE49-F238E27FC236}">
                          <a16:creationId xmlns:a16="http://schemas.microsoft.com/office/drawing/2014/main" id="{00000000-0008-0000-0300-0000CF010000}"/>
                        </a:ext>
                      </a:extLst>
                    </xdr:cNvPr>
                    <xdr:cNvSpPr/>
                  </xdr:nvSpPr>
                  <xdr:spPr>
                    <a:xfrm>
                      <a:off x="8786009" y="14199497"/>
                      <a:ext cx="2376510" cy="465675"/>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64" name="Picture 463">
                      <a:extLst>
                        <a:ext uri="{FF2B5EF4-FFF2-40B4-BE49-F238E27FC236}">
                          <a16:creationId xmlns:a16="http://schemas.microsoft.com/office/drawing/2014/main" id="{00000000-0008-0000-0300-0000D0010000}"/>
                        </a:ext>
                      </a:extLst>
                    </xdr:cNvPr>
                    <xdr:cNvPicPr>
                      <a:picLocks noChangeAspect="1"/>
                    </xdr:cNvPicPr>
                  </xdr:nvPicPr>
                  <xdr:blipFill>
                    <a:blip xmlns:r="http://schemas.openxmlformats.org/officeDocument/2006/relationships" r:embed="rId11"/>
                    <a:stretch>
                      <a:fillRect/>
                    </a:stretch>
                  </xdr:blipFill>
                  <xdr:spPr>
                    <a:xfrm>
                      <a:off x="8792733" y="12684740"/>
                      <a:ext cx="1009118" cy="1486549"/>
                    </a:xfrm>
                    <a:prstGeom prst="rect">
                      <a:avLst/>
                    </a:prstGeom>
                  </xdr:spPr>
                </xdr:pic>
                <xdr:grpSp>
                  <xdr:nvGrpSpPr>
                    <xdr:cNvPr id="465" name="Group 464">
                      <a:extLst>
                        <a:ext uri="{FF2B5EF4-FFF2-40B4-BE49-F238E27FC236}">
                          <a16:creationId xmlns:a16="http://schemas.microsoft.com/office/drawing/2014/main" id="{00000000-0008-0000-0300-0000D1010000}"/>
                        </a:ext>
                      </a:extLst>
                    </xdr:cNvPr>
                    <xdr:cNvGrpSpPr/>
                  </xdr:nvGrpSpPr>
                  <xdr:grpSpPr>
                    <a:xfrm>
                      <a:off x="10451743" y="11472192"/>
                      <a:ext cx="133214" cy="50618"/>
                      <a:chOff x="5315884" y="3396043"/>
                      <a:chExt cx="133214" cy="50618"/>
                    </a:xfrm>
                  </xdr:grpSpPr>
                  <xdr:grpSp>
                    <xdr:nvGrpSpPr>
                      <xdr:cNvPr id="666" name="Group 665">
                        <a:extLst>
                          <a:ext uri="{FF2B5EF4-FFF2-40B4-BE49-F238E27FC236}">
                            <a16:creationId xmlns:a16="http://schemas.microsoft.com/office/drawing/2014/main" id="{00000000-0008-0000-0300-00009A020000}"/>
                          </a:ext>
                        </a:extLst>
                      </xdr:cNvPr>
                      <xdr:cNvGrpSpPr/>
                    </xdr:nvGrpSpPr>
                    <xdr:grpSpPr>
                      <a:xfrm>
                        <a:off x="5315884" y="3400942"/>
                        <a:ext cx="43094" cy="45719"/>
                        <a:chOff x="5082563" y="2759244"/>
                        <a:chExt cx="43094" cy="64865"/>
                      </a:xfrm>
                    </xdr:grpSpPr>
                    <xdr:cxnSp macro="">
                      <xdr:nvCxnSpPr>
                        <xdr:cNvPr id="683" name="Straight Connector 682">
                          <a:extLst>
                            <a:ext uri="{FF2B5EF4-FFF2-40B4-BE49-F238E27FC236}">
                              <a16:creationId xmlns:a16="http://schemas.microsoft.com/office/drawing/2014/main" id="{00000000-0008-0000-0300-0000AB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4" name="Straight Connector 683">
                          <a:extLst>
                            <a:ext uri="{FF2B5EF4-FFF2-40B4-BE49-F238E27FC236}">
                              <a16:creationId xmlns:a16="http://schemas.microsoft.com/office/drawing/2014/main" id="{00000000-0008-0000-0300-0000AC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5" name="Straight Connector 684">
                          <a:extLst>
                            <a:ext uri="{FF2B5EF4-FFF2-40B4-BE49-F238E27FC236}">
                              <a16:creationId xmlns:a16="http://schemas.microsoft.com/office/drawing/2014/main" id="{00000000-0008-0000-0300-0000AD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7" name="Group 666">
                        <a:extLst>
                          <a:ext uri="{FF2B5EF4-FFF2-40B4-BE49-F238E27FC236}">
                            <a16:creationId xmlns:a16="http://schemas.microsoft.com/office/drawing/2014/main" id="{00000000-0008-0000-0300-00009B020000}"/>
                          </a:ext>
                        </a:extLst>
                      </xdr:cNvPr>
                      <xdr:cNvGrpSpPr/>
                    </xdr:nvGrpSpPr>
                    <xdr:grpSpPr>
                      <a:xfrm>
                        <a:off x="5339806" y="3399172"/>
                        <a:ext cx="43094" cy="45719"/>
                        <a:chOff x="5082563" y="2759244"/>
                        <a:chExt cx="43094" cy="64865"/>
                      </a:xfrm>
                    </xdr:grpSpPr>
                    <xdr:cxnSp macro="">
                      <xdr:nvCxnSpPr>
                        <xdr:cNvPr id="680" name="Straight Connector 679">
                          <a:extLst>
                            <a:ext uri="{FF2B5EF4-FFF2-40B4-BE49-F238E27FC236}">
                              <a16:creationId xmlns:a16="http://schemas.microsoft.com/office/drawing/2014/main" id="{00000000-0008-0000-0300-0000A8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1" name="Straight Connector 680">
                          <a:extLst>
                            <a:ext uri="{FF2B5EF4-FFF2-40B4-BE49-F238E27FC236}">
                              <a16:creationId xmlns:a16="http://schemas.microsoft.com/office/drawing/2014/main" id="{00000000-0008-0000-0300-0000A9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2" name="Straight Connector 681">
                          <a:extLst>
                            <a:ext uri="{FF2B5EF4-FFF2-40B4-BE49-F238E27FC236}">
                              <a16:creationId xmlns:a16="http://schemas.microsoft.com/office/drawing/2014/main" id="{00000000-0008-0000-0300-0000AA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8" name="Group 667">
                        <a:extLst>
                          <a:ext uri="{FF2B5EF4-FFF2-40B4-BE49-F238E27FC236}">
                            <a16:creationId xmlns:a16="http://schemas.microsoft.com/office/drawing/2014/main" id="{00000000-0008-0000-0300-00009C020000}"/>
                          </a:ext>
                        </a:extLst>
                      </xdr:cNvPr>
                      <xdr:cNvGrpSpPr/>
                    </xdr:nvGrpSpPr>
                    <xdr:grpSpPr>
                      <a:xfrm>
                        <a:off x="5364895" y="3396537"/>
                        <a:ext cx="43094" cy="45719"/>
                        <a:chOff x="5082563" y="2759244"/>
                        <a:chExt cx="43094" cy="64865"/>
                      </a:xfrm>
                    </xdr:grpSpPr>
                    <xdr:cxnSp macro="">
                      <xdr:nvCxnSpPr>
                        <xdr:cNvPr id="677" name="Straight Connector 676">
                          <a:extLst>
                            <a:ext uri="{FF2B5EF4-FFF2-40B4-BE49-F238E27FC236}">
                              <a16:creationId xmlns:a16="http://schemas.microsoft.com/office/drawing/2014/main" id="{00000000-0008-0000-0300-0000A5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8" name="Straight Connector 677">
                          <a:extLst>
                            <a:ext uri="{FF2B5EF4-FFF2-40B4-BE49-F238E27FC236}">
                              <a16:creationId xmlns:a16="http://schemas.microsoft.com/office/drawing/2014/main" id="{00000000-0008-0000-0300-0000A6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9" name="Straight Connector 678">
                          <a:extLst>
                            <a:ext uri="{FF2B5EF4-FFF2-40B4-BE49-F238E27FC236}">
                              <a16:creationId xmlns:a16="http://schemas.microsoft.com/office/drawing/2014/main" id="{00000000-0008-0000-0300-0000A7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9" name="Group 668">
                        <a:extLst>
                          <a:ext uri="{FF2B5EF4-FFF2-40B4-BE49-F238E27FC236}">
                            <a16:creationId xmlns:a16="http://schemas.microsoft.com/office/drawing/2014/main" id="{00000000-0008-0000-0300-00009D020000}"/>
                          </a:ext>
                        </a:extLst>
                      </xdr:cNvPr>
                      <xdr:cNvGrpSpPr/>
                    </xdr:nvGrpSpPr>
                    <xdr:grpSpPr>
                      <a:xfrm>
                        <a:off x="5380336" y="3396043"/>
                        <a:ext cx="43094" cy="45719"/>
                        <a:chOff x="5082563" y="2759244"/>
                        <a:chExt cx="43094" cy="64865"/>
                      </a:xfrm>
                    </xdr:grpSpPr>
                    <xdr:cxnSp macro="">
                      <xdr:nvCxnSpPr>
                        <xdr:cNvPr id="674" name="Straight Connector 673">
                          <a:extLst>
                            <a:ext uri="{FF2B5EF4-FFF2-40B4-BE49-F238E27FC236}">
                              <a16:creationId xmlns:a16="http://schemas.microsoft.com/office/drawing/2014/main" id="{00000000-0008-0000-0300-0000A2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5" name="Straight Connector 674">
                          <a:extLst>
                            <a:ext uri="{FF2B5EF4-FFF2-40B4-BE49-F238E27FC236}">
                              <a16:creationId xmlns:a16="http://schemas.microsoft.com/office/drawing/2014/main" id="{00000000-0008-0000-0300-0000A3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6" name="Straight Connector 675">
                          <a:extLst>
                            <a:ext uri="{FF2B5EF4-FFF2-40B4-BE49-F238E27FC236}">
                              <a16:creationId xmlns:a16="http://schemas.microsoft.com/office/drawing/2014/main" id="{00000000-0008-0000-0300-0000A4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70" name="Group 669">
                        <a:extLst>
                          <a:ext uri="{FF2B5EF4-FFF2-40B4-BE49-F238E27FC236}">
                            <a16:creationId xmlns:a16="http://schemas.microsoft.com/office/drawing/2014/main" id="{00000000-0008-0000-0300-00009E020000}"/>
                          </a:ext>
                        </a:extLst>
                      </xdr:cNvPr>
                      <xdr:cNvGrpSpPr/>
                    </xdr:nvGrpSpPr>
                    <xdr:grpSpPr>
                      <a:xfrm>
                        <a:off x="5406004" y="3399172"/>
                        <a:ext cx="43094" cy="45719"/>
                        <a:chOff x="5082563" y="2759244"/>
                        <a:chExt cx="43094" cy="64865"/>
                      </a:xfrm>
                    </xdr:grpSpPr>
                    <xdr:cxnSp macro="">
                      <xdr:nvCxnSpPr>
                        <xdr:cNvPr id="671" name="Straight Connector 670">
                          <a:extLst>
                            <a:ext uri="{FF2B5EF4-FFF2-40B4-BE49-F238E27FC236}">
                              <a16:creationId xmlns:a16="http://schemas.microsoft.com/office/drawing/2014/main" id="{00000000-0008-0000-0300-00009F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2" name="Straight Connector 671">
                          <a:extLst>
                            <a:ext uri="{FF2B5EF4-FFF2-40B4-BE49-F238E27FC236}">
                              <a16:creationId xmlns:a16="http://schemas.microsoft.com/office/drawing/2014/main" id="{00000000-0008-0000-0300-0000A0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3" name="Straight Connector 672">
                          <a:extLst>
                            <a:ext uri="{FF2B5EF4-FFF2-40B4-BE49-F238E27FC236}">
                              <a16:creationId xmlns:a16="http://schemas.microsoft.com/office/drawing/2014/main" id="{00000000-0008-0000-0300-0000A1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6" name="Group 465">
                      <a:extLst>
                        <a:ext uri="{FF2B5EF4-FFF2-40B4-BE49-F238E27FC236}">
                          <a16:creationId xmlns:a16="http://schemas.microsoft.com/office/drawing/2014/main" id="{00000000-0008-0000-0300-0000D2010000}"/>
                        </a:ext>
                      </a:extLst>
                    </xdr:cNvPr>
                    <xdr:cNvGrpSpPr/>
                  </xdr:nvGrpSpPr>
                  <xdr:grpSpPr>
                    <a:xfrm>
                      <a:off x="9793225" y="12300767"/>
                      <a:ext cx="133214" cy="50618"/>
                      <a:chOff x="5315884" y="3396043"/>
                      <a:chExt cx="133214" cy="50618"/>
                    </a:xfrm>
                  </xdr:grpSpPr>
                  <xdr:grpSp>
                    <xdr:nvGrpSpPr>
                      <xdr:cNvPr id="646" name="Group 645">
                        <a:extLst>
                          <a:ext uri="{FF2B5EF4-FFF2-40B4-BE49-F238E27FC236}">
                            <a16:creationId xmlns:a16="http://schemas.microsoft.com/office/drawing/2014/main" id="{00000000-0008-0000-0300-000086020000}"/>
                          </a:ext>
                        </a:extLst>
                      </xdr:cNvPr>
                      <xdr:cNvGrpSpPr/>
                    </xdr:nvGrpSpPr>
                    <xdr:grpSpPr>
                      <a:xfrm>
                        <a:off x="5315884" y="3400942"/>
                        <a:ext cx="43094" cy="45719"/>
                        <a:chOff x="5082563" y="2759244"/>
                        <a:chExt cx="43094" cy="64865"/>
                      </a:xfrm>
                    </xdr:grpSpPr>
                    <xdr:cxnSp macro="">
                      <xdr:nvCxnSpPr>
                        <xdr:cNvPr id="663" name="Straight Connector 662">
                          <a:extLst>
                            <a:ext uri="{FF2B5EF4-FFF2-40B4-BE49-F238E27FC236}">
                              <a16:creationId xmlns:a16="http://schemas.microsoft.com/office/drawing/2014/main" id="{00000000-0008-0000-0300-000097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4" name="Straight Connector 663">
                          <a:extLst>
                            <a:ext uri="{FF2B5EF4-FFF2-40B4-BE49-F238E27FC236}">
                              <a16:creationId xmlns:a16="http://schemas.microsoft.com/office/drawing/2014/main" id="{00000000-0008-0000-0300-000098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5" name="Straight Connector 664">
                          <a:extLst>
                            <a:ext uri="{FF2B5EF4-FFF2-40B4-BE49-F238E27FC236}">
                              <a16:creationId xmlns:a16="http://schemas.microsoft.com/office/drawing/2014/main" id="{00000000-0008-0000-0300-000099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7" name="Group 646">
                        <a:extLst>
                          <a:ext uri="{FF2B5EF4-FFF2-40B4-BE49-F238E27FC236}">
                            <a16:creationId xmlns:a16="http://schemas.microsoft.com/office/drawing/2014/main" id="{00000000-0008-0000-0300-000087020000}"/>
                          </a:ext>
                        </a:extLst>
                      </xdr:cNvPr>
                      <xdr:cNvGrpSpPr/>
                    </xdr:nvGrpSpPr>
                    <xdr:grpSpPr>
                      <a:xfrm>
                        <a:off x="5339806" y="3399172"/>
                        <a:ext cx="43094" cy="45719"/>
                        <a:chOff x="5082563" y="2759244"/>
                        <a:chExt cx="43094" cy="64865"/>
                      </a:xfrm>
                    </xdr:grpSpPr>
                    <xdr:cxnSp macro="">
                      <xdr:nvCxnSpPr>
                        <xdr:cNvPr id="660" name="Straight Connector 659">
                          <a:extLst>
                            <a:ext uri="{FF2B5EF4-FFF2-40B4-BE49-F238E27FC236}">
                              <a16:creationId xmlns:a16="http://schemas.microsoft.com/office/drawing/2014/main" id="{00000000-0008-0000-0300-000094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1" name="Straight Connector 660">
                          <a:extLst>
                            <a:ext uri="{FF2B5EF4-FFF2-40B4-BE49-F238E27FC236}">
                              <a16:creationId xmlns:a16="http://schemas.microsoft.com/office/drawing/2014/main" id="{00000000-0008-0000-0300-000095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2" name="Straight Connector 661">
                          <a:extLst>
                            <a:ext uri="{FF2B5EF4-FFF2-40B4-BE49-F238E27FC236}">
                              <a16:creationId xmlns:a16="http://schemas.microsoft.com/office/drawing/2014/main" id="{00000000-0008-0000-0300-000096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8" name="Group 647">
                        <a:extLst>
                          <a:ext uri="{FF2B5EF4-FFF2-40B4-BE49-F238E27FC236}">
                            <a16:creationId xmlns:a16="http://schemas.microsoft.com/office/drawing/2014/main" id="{00000000-0008-0000-0300-000088020000}"/>
                          </a:ext>
                        </a:extLst>
                      </xdr:cNvPr>
                      <xdr:cNvGrpSpPr/>
                    </xdr:nvGrpSpPr>
                    <xdr:grpSpPr>
                      <a:xfrm>
                        <a:off x="5364895" y="3396537"/>
                        <a:ext cx="43094" cy="45719"/>
                        <a:chOff x="5082563" y="2759244"/>
                        <a:chExt cx="43094" cy="64865"/>
                      </a:xfrm>
                    </xdr:grpSpPr>
                    <xdr:cxnSp macro="">
                      <xdr:nvCxnSpPr>
                        <xdr:cNvPr id="657" name="Straight Connector 656">
                          <a:extLst>
                            <a:ext uri="{FF2B5EF4-FFF2-40B4-BE49-F238E27FC236}">
                              <a16:creationId xmlns:a16="http://schemas.microsoft.com/office/drawing/2014/main" id="{00000000-0008-0000-0300-000091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8" name="Straight Connector 657">
                          <a:extLst>
                            <a:ext uri="{FF2B5EF4-FFF2-40B4-BE49-F238E27FC236}">
                              <a16:creationId xmlns:a16="http://schemas.microsoft.com/office/drawing/2014/main" id="{00000000-0008-0000-0300-000092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9" name="Straight Connector 658">
                          <a:extLst>
                            <a:ext uri="{FF2B5EF4-FFF2-40B4-BE49-F238E27FC236}">
                              <a16:creationId xmlns:a16="http://schemas.microsoft.com/office/drawing/2014/main" id="{00000000-0008-0000-0300-000093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9" name="Group 648">
                        <a:extLst>
                          <a:ext uri="{FF2B5EF4-FFF2-40B4-BE49-F238E27FC236}">
                            <a16:creationId xmlns:a16="http://schemas.microsoft.com/office/drawing/2014/main" id="{00000000-0008-0000-0300-000089020000}"/>
                          </a:ext>
                        </a:extLst>
                      </xdr:cNvPr>
                      <xdr:cNvGrpSpPr/>
                    </xdr:nvGrpSpPr>
                    <xdr:grpSpPr>
                      <a:xfrm>
                        <a:off x="5380336" y="3396043"/>
                        <a:ext cx="43094" cy="45719"/>
                        <a:chOff x="5082563" y="2759244"/>
                        <a:chExt cx="43094" cy="64865"/>
                      </a:xfrm>
                    </xdr:grpSpPr>
                    <xdr:cxnSp macro="">
                      <xdr:nvCxnSpPr>
                        <xdr:cNvPr id="654" name="Straight Connector 653">
                          <a:extLst>
                            <a:ext uri="{FF2B5EF4-FFF2-40B4-BE49-F238E27FC236}">
                              <a16:creationId xmlns:a16="http://schemas.microsoft.com/office/drawing/2014/main" id="{00000000-0008-0000-0300-00008E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5" name="Straight Connector 654">
                          <a:extLst>
                            <a:ext uri="{FF2B5EF4-FFF2-40B4-BE49-F238E27FC236}">
                              <a16:creationId xmlns:a16="http://schemas.microsoft.com/office/drawing/2014/main" id="{00000000-0008-0000-0300-00008F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6" name="Straight Connector 655">
                          <a:extLst>
                            <a:ext uri="{FF2B5EF4-FFF2-40B4-BE49-F238E27FC236}">
                              <a16:creationId xmlns:a16="http://schemas.microsoft.com/office/drawing/2014/main" id="{00000000-0008-0000-0300-000090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50" name="Group 649">
                        <a:extLst>
                          <a:ext uri="{FF2B5EF4-FFF2-40B4-BE49-F238E27FC236}">
                            <a16:creationId xmlns:a16="http://schemas.microsoft.com/office/drawing/2014/main" id="{00000000-0008-0000-0300-00008A020000}"/>
                          </a:ext>
                        </a:extLst>
                      </xdr:cNvPr>
                      <xdr:cNvGrpSpPr/>
                    </xdr:nvGrpSpPr>
                    <xdr:grpSpPr>
                      <a:xfrm>
                        <a:off x="5406004" y="3399172"/>
                        <a:ext cx="43094" cy="45719"/>
                        <a:chOff x="5082563" y="2759244"/>
                        <a:chExt cx="43094" cy="64865"/>
                      </a:xfrm>
                    </xdr:grpSpPr>
                    <xdr:cxnSp macro="">
                      <xdr:nvCxnSpPr>
                        <xdr:cNvPr id="651" name="Straight Connector 650">
                          <a:extLst>
                            <a:ext uri="{FF2B5EF4-FFF2-40B4-BE49-F238E27FC236}">
                              <a16:creationId xmlns:a16="http://schemas.microsoft.com/office/drawing/2014/main" id="{00000000-0008-0000-0300-00008B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2" name="Straight Connector 651">
                          <a:extLst>
                            <a:ext uri="{FF2B5EF4-FFF2-40B4-BE49-F238E27FC236}">
                              <a16:creationId xmlns:a16="http://schemas.microsoft.com/office/drawing/2014/main" id="{00000000-0008-0000-0300-00008C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3" name="Straight Connector 652">
                          <a:extLst>
                            <a:ext uri="{FF2B5EF4-FFF2-40B4-BE49-F238E27FC236}">
                              <a16:creationId xmlns:a16="http://schemas.microsoft.com/office/drawing/2014/main" id="{00000000-0008-0000-0300-00008D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7" name="Group 466">
                      <a:extLst>
                        <a:ext uri="{FF2B5EF4-FFF2-40B4-BE49-F238E27FC236}">
                          <a16:creationId xmlns:a16="http://schemas.microsoft.com/office/drawing/2014/main" id="{00000000-0008-0000-0300-0000D3010000}"/>
                        </a:ext>
                      </a:extLst>
                    </xdr:cNvPr>
                    <xdr:cNvGrpSpPr/>
                  </xdr:nvGrpSpPr>
                  <xdr:grpSpPr>
                    <a:xfrm>
                      <a:off x="11919487" y="11564578"/>
                      <a:ext cx="133214" cy="50618"/>
                      <a:chOff x="5315884" y="3396043"/>
                      <a:chExt cx="133214" cy="50618"/>
                    </a:xfrm>
                  </xdr:grpSpPr>
                  <xdr:grpSp>
                    <xdr:nvGrpSpPr>
                      <xdr:cNvPr id="626" name="Group 625">
                        <a:extLst>
                          <a:ext uri="{FF2B5EF4-FFF2-40B4-BE49-F238E27FC236}">
                            <a16:creationId xmlns:a16="http://schemas.microsoft.com/office/drawing/2014/main" id="{00000000-0008-0000-0300-000072020000}"/>
                          </a:ext>
                        </a:extLst>
                      </xdr:cNvPr>
                      <xdr:cNvGrpSpPr/>
                    </xdr:nvGrpSpPr>
                    <xdr:grpSpPr>
                      <a:xfrm>
                        <a:off x="5315884" y="3400942"/>
                        <a:ext cx="43094" cy="45719"/>
                        <a:chOff x="5082563" y="2759244"/>
                        <a:chExt cx="43094" cy="64865"/>
                      </a:xfrm>
                    </xdr:grpSpPr>
                    <xdr:cxnSp macro="">
                      <xdr:nvCxnSpPr>
                        <xdr:cNvPr id="643" name="Straight Connector 642">
                          <a:extLst>
                            <a:ext uri="{FF2B5EF4-FFF2-40B4-BE49-F238E27FC236}">
                              <a16:creationId xmlns:a16="http://schemas.microsoft.com/office/drawing/2014/main" id="{00000000-0008-0000-0300-000083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4" name="Straight Connector 643">
                          <a:extLst>
                            <a:ext uri="{FF2B5EF4-FFF2-40B4-BE49-F238E27FC236}">
                              <a16:creationId xmlns:a16="http://schemas.microsoft.com/office/drawing/2014/main" id="{00000000-0008-0000-0300-000084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5" name="Straight Connector 644">
                          <a:extLst>
                            <a:ext uri="{FF2B5EF4-FFF2-40B4-BE49-F238E27FC236}">
                              <a16:creationId xmlns:a16="http://schemas.microsoft.com/office/drawing/2014/main" id="{00000000-0008-0000-0300-000085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7" name="Group 626">
                        <a:extLst>
                          <a:ext uri="{FF2B5EF4-FFF2-40B4-BE49-F238E27FC236}">
                            <a16:creationId xmlns:a16="http://schemas.microsoft.com/office/drawing/2014/main" id="{00000000-0008-0000-0300-000073020000}"/>
                          </a:ext>
                        </a:extLst>
                      </xdr:cNvPr>
                      <xdr:cNvGrpSpPr/>
                    </xdr:nvGrpSpPr>
                    <xdr:grpSpPr>
                      <a:xfrm>
                        <a:off x="5339806" y="3399172"/>
                        <a:ext cx="43094" cy="45719"/>
                        <a:chOff x="5082563" y="2759244"/>
                        <a:chExt cx="43094" cy="64865"/>
                      </a:xfrm>
                    </xdr:grpSpPr>
                    <xdr:cxnSp macro="">
                      <xdr:nvCxnSpPr>
                        <xdr:cNvPr id="640" name="Straight Connector 639">
                          <a:extLst>
                            <a:ext uri="{FF2B5EF4-FFF2-40B4-BE49-F238E27FC236}">
                              <a16:creationId xmlns:a16="http://schemas.microsoft.com/office/drawing/2014/main" id="{00000000-0008-0000-0300-000080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1" name="Straight Connector 640">
                          <a:extLst>
                            <a:ext uri="{FF2B5EF4-FFF2-40B4-BE49-F238E27FC236}">
                              <a16:creationId xmlns:a16="http://schemas.microsoft.com/office/drawing/2014/main" id="{00000000-0008-0000-0300-000081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2" name="Straight Connector 641">
                          <a:extLst>
                            <a:ext uri="{FF2B5EF4-FFF2-40B4-BE49-F238E27FC236}">
                              <a16:creationId xmlns:a16="http://schemas.microsoft.com/office/drawing/2014/main" id="{00000000-0008-0000-0300-000082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8" name="Group 627">
                        <a:extLst>
                          <a:ext uri="{FF2B5EF4-FFF2-40B4-BE49-F238E27FC236}">
                            <a16:creationId xmlns:a16="http://schemas.microsoft.com/office/drawing/2014/main" id="{00000000-0008-0000-0300-000074020000}"/>
                          </a:ext>
                        </a:extLst>
                      </xdr:cNvPr>
                      <xdr:cNvGrpSpPr/>
                    </xdr:nvGrpSpPr>
                    <xdr:grpSpPr>
                      <a:xfrm>
                        <a:off x="5364895" y="3396537"/>
                        <a:ext cx="43094" cy="45719"/>
                        <a:chOff x="5082563" y="2759244"/>
                        <a:chExt cx="43094" cy="64865"/>
                      </a:xfrm>
                    </xdr:grpSpPr>
                    <xdr:cxnSp macro="">
                      <xdr:nvCxnSpPr>
                        <xdr:cNvPr id="637" name="Straight Connector 636">
                          <a:extLst>
                            <a:ext uri="{FF2B5EF4-FFF2-40B4-BE49-F238E27FC236}">
                              <a16:creationId xmlns:a16="http://schemas.microsoft.com/office/drawing/2014/main" id="{00000000-0008-0000-0300-00007D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8" name="Straight Connector 637">
                          <a:extLst>
                            <a:ext uri="{FF2B5EF4-FFF2-40B4-BE49-F238E27FC236}">
                              <a16:creationId xmlns:a16="http://schemas.microsoft.com/office/drawing/2014/main" id="{00000000-0008-0000-0300-00007E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9" name="Straight Connector 638">
                          <a:extLst>
                            <a:ext uri="{FF2B5EF4-FFF2-40B4-BE49-F238E27FC236}">
                              <a16:creationId xmlns:a16="http://schemas.microsoft.com/office/drawing/2014/main" id="{00000000-0008-0000-0300-00007F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9" name="Group 628">
                        <a:extLst>
                          <a:ext uri="{FF2B5EF4-FFF2-40B4-BE49-F238E27FC236}">
                            <a16:creationId xmlns:a16="http://schemas.microsoft.com/office/drawing/2014/main" id="{00000000-0008-0000-0300-000075020000}"/>
                          </a:ext>
                        </a:extLst>
                      </xdr:cNvPr>
                      <xdr:cNvGrpSpPr/>
                    </xdr:nvGrpSpPr>
                    <xdr:grpSpPr>
                      <a:xfrm>
                        <a:off x="5380336" y="3396043"/>
                        <a:ext cx="43094" cy="45719"/>
                        <a:chOff x="5082563" y="2759244"/>
                        <a:chExt cx="43094" cy="64865"/>
                      </a:xfrm>
                    </xdr:grpSpPr>
                    <xdr:cxnSp macro="">
                      <xdr:nvCxnSpPr>
                        <xdr:cNvPr id="634" name="Straight Connector 633">
                          <a:extLst>
                            <a:ext uri="{FF2B5EF4-FFF2-40B4-BE49-F238E27FC236}">
                              <a16:creationId xmlns:a16="http://schemas.microsoft.com/office/drawing/2014/main" id="{00000000-0008-0000-0300-00007A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5" name="Straight Connector 634">
                          <a:extLst>
                            <a:ext uri="{FF2B5EF4-FFF2-40B4-BE49-F238E27FC236}">
                              <a16:creationId xmlns:a16="http://schemas.microsoft.com/office/drawing/2014/main" id="{00000000-0008-0000-0300-00007B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6" name="Straight Connector 635">
                          <a:extLst>
                            <a:ext uri="{FF2B5EF4-FFF2-40B4-BE49-F238E27FC236}">
                              <a16:creationId xmlns:a16="http://schemas.microsoft.com/office/drawing/2014/main" id="{00000000-0008-0000-0300-00007C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30" name="Group 629">
                        <a:extLst>
                          <a:ext uri="{FF2B5EF4-FFF2-40B4-BE49-F238E27FC236}">
                            <a16:creationId xmlns:a16="http://schemas.microsoft.com/office/drawing/2014/main" id="{00000000-0008-0000-0300-000076020000}"/>
                          </a:ext>
                        </a:extLst>
                      </xdr:cNvPr>
                      <xdr:cNvGrpSpPr/>
                    </xdr:nvGrpSpPr>
                    <xdr:grpSpPr>
                      <a:xfrm>
                        <a:off x="5406004" y="3399172"/>
                        <a:ext cx="43094" cy="45719"/>
                        <a:chOff x="5082563" y="2759244"/>
                        <a:chExt cx="43094" cy="64865"/>
                      </a:xfrm>
                    </xdr:grpSpPr>
                    <xdr:cxnSp macro="">
                      <xdr:nvCxnSpPr>
                        <xdr:cNvPr id="631" name="Straight Connector 630">
                          <a:extLst>
                            <a:ext uri="{FF2B5EF4-FFF2-40B4-BE49-F238E27FC236}">
                              <a16:creationId xmlns:a16="http://schemas.microsoft.com/office/drawing/2014/main" id="{00000000-0008-0000-0300-000077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2" name="Straight Connector 631">
                          <a:extLst>
                            <a:ext uri="{FF2B5EF4-FFF2-40B4-BE49-F238E27FC236}">
                              <a16:creationId xmlns:a16="http://schemas.microsoft.com/office/drawing/2014/main" id="{00000000-0008-0000-0300-000078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3" name="Straight Connector 632">
                          <a:extLst>
                            <a:ext uri="{FF2B5EF4-FFF2-40B4-BE49-F238E27FC236}">
                              <a16:creationId xmlns:a16="http://schemas.microsoft.com/office/drawing/2014/main" id="{00000000-0008-0000-0300-000079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8" name="Group 467">
                      <a:extLst>
                        <a:ext uri="{FF2B5EF4-FFF2-40B4-BE49-F238E27FC236}">
                          <a16:creationId xmlns:a16="http://schemas.microsoft.com/office/drawing/2014/main" id="{00000000-0008-0000-0300-0000D4010000}"/>
                        </a:ext>
                      </a:extLst>
                    </xdr:cNvPr>
                    <xdr:cNvGrpSpPr/>
                  </xdr:nvGrpSpPr>
                  <xdr:grpSpPr>
                    <a:xfrm>
                      <a:off x="9172513" y="11895503"/>
                      <a:ext cx="133214" cy="50618"/>
                      <a:chOff x="5315884" y="3396043"/>
                      <a:chExt cx="133214" cy="50618"/>
                    </a:xfrm>
                  </xdr:grpSpPr>
                  <xdr:grpSp>
                    <xdr:nvGrpSpPr>
                      <xdr:cNvPr id="606" name="Group 605">
                        <a:extLst>
                          <a:ext uri="{FF2B5EF4-FFF2-40B4-BE49-F238E27FC236}">
                            <a16:creationId xmlns:a16="http://schemas.microsoft.com/office/drawing/2014/main" id="{00000000-0008-0000-0300-00005E020000}"/>
                          </a:ext>
                        </a:extLst>
                      </xdr:cNvPr>
                      <xdr:cNvGrpSpPr/>
                    </xdr:nvGrpSpPr>
                    <xdr:grpSpPr>
                      <a:xfrm>
                        <a:off x="5315884" y="3400942"/>
                        <a:ext cx="43094" cy="45719"/>
                        <a:chOff x="5082563" y="2759244"/>
                        <a:chExt cx="43094" cy="64865"/>
                      </a:xfrm>
                    </xdr:grpSpPr>
                    <xdr:cxnSp macro="">
                      <xdr:nvCxnSpPr>
                        <xdr:cNvPr id="623" name="Straight Connector 622">
                          <a:extLst>
                            <a:ext uri="{FF2B5EF4-FFF2-40B4-BE49-F238E27FC236}">
                              <a16:creationId xmlns:a16="http://schemas.microsoft.com/office/drawing/2014/main" id="{00000000-0008-0000-0300-00006F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4" name="Straight Connector 623">
                          <a:extLst>
                            <a:ext uri="{FF2B5EF4-FFF2-40B4-BE49-F238E27FC236}">
                              <a16:creationId xmlns:a16="http://schemas.microsoft.com/office/drawing/2014/main" id="{00000000-0008-0000-0300-000070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5" name="Straight Connector 624">
                          <a:extLst>
                            <a:ext uri="{FF2B5EF4-FFF2-40B4-BE49-F238E27FC236}">
                              <a16:creationId xmlns:a16="http://schemas.microsoft.com/office/drawing/2014/main" id="{00000000-0008-0000-0300-000071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7" name="Group 606">
                        <a:extLst>
                          <a:ext uri="{FF2B5EF4-FFF2-40B4-BE49-F238E27FC236}">
                            <a16:creationId xmlns:a16="http://schemas.microsoft.com/office/drawing/2014/main" id="{00000000-0008-0000-0300-00005F020000}"/>
                          </a:ext>
                        </a:extLst>
                      </xdr:cNvPr>
                      <xdr:cNvGrpSpPr/>
                    </xdr:nvGrpSpPr>
                    <xdr:grpSpPr>
                      <a:xfrm>
                        <a:off x="5339806" y="3399172"/>
                        <a:ext cx="43094" cy="45719"/>
                        <a:chOff x="5082563" y="2759244"/>
                        <a:chExt cx="43094" cy="64865"/>
                      </a:xfrm>
                    </xdr:grpSpPr>
                    <xdr:cxnSp macro="">
                      <xdr:nvCxnSpPr>
                        <xdr:cNvPr id="620" name="Straight Connector 619">
                          <a:extLst>
                            <a:ext uri="{FF2B5EF4-FFF2-40B4-BE49-F238E27FC236}">
                              <a16:creationId xmlns:a16="http://schemas.microsoft.com/office/drawing/2014/main" id="{00000000-0008-0000-0300-00006C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1" name="Straight Connector 620">
                          <a:extLst>
                            <a:ext uri="{FF2B5EF4-FFF2-40B4-BE49-F238E27FC236}">
                              <a16:creationId xmlns:a16="http://schemas.microsoft.com/office/drawing/2014/main" id="{00000000-0008-0000-0300-00006D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2" name="Straight Connector 621">
                          <a:extLst>
                            <a:ext uri="{FF2B5EF4-FFF2-40B4-BE49-F238E27FC236}">
                              <a16:creationId xmlns:a16="http://schemas.microsoft.com/office/drawing/2014/main" id="{00000000-0008-0000-0300-00006E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8" name="Group 607">
                        <a:extLst>
                          <a:ext uri="{FF2B5EF4-FFF2-40B4-BE49-F238E27FC236}">
                            <a16:creationId xmlns:a16="http://schemas.microsoft.com/office/drawing/2014/main" id="{00000000-0008-0000-0300-000060020000}"/>
                          </a:ext>
                        </a:extLst>
                      </xdr:cNvPr>
                      <xdr:cNvGrpSpPr/>
                    </xdr:nvGrpSpPr>
                    <xdr:grpSpPr>
                      <a:xfrm>
                        <a:off x="5364895" y="3396537"/>
                        <a:ext cx="43094" cy="45719"/>
                        <a:chOff x="5082563" y="2759244"/>
                        <a:chExt cx="43094" cy="64865"/>
                      </a:xfrm>
                    </xdr:grpSpPr>
                    <xdr:cxnSp macro="">
                      <xdr:nvCxnSpPr>
                        <xdr:cNvPr id="617" name="Straight Connector 616">
                          <a:extLst>
                            <a:ext uri="{FF2B5EF4-FFF2-40B4-BE49-F238E27FC236}">
                              <a16:creationId xmlns:a16="http://schemas.microsoft.com/office/drawing/2014/main" id="{00000000-0008-0000-0300-000069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8" name="Straight Connector 617">
                          <a:extLst>
                            <a:ext uri="{FF2B5EF4-FFF2-40B4-BE49-F238E27FC236}">
                              <a16:creationId xmlns:a16="http://schemas.microsoft.com/office/drawing/2014/main" id="{00000000-0008-0000-0300-00006A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9" name="Straight Connector 618">
                          <a:extLst>
                            <a:ext uri="{FF2B5EF4-FFF2-40B4-BE49-F238E27FC236}">
                              <a16:creationId xmlns:a16="http://schemas.microsoft.com/office/drawing/2014/main" id="{00000000-0008-0000-0300-00006B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9" name="Group 608">
                        <a:extLst>
                          <a:ext uri="{FF2B5EF4-FFF2-40B4-BE49-F238E27FC236}">
                            <a16:creationId xmlns:a16="http://schemas.microsoft.com/office/drawing/2014/main" id="{00000000-0008-0000-0300-000061020000}"/>
                          </a:ext>
                        </a:extLst>
                      </xdr:cNvPr>
                      <xdr:cNvGrpSpPr/>
                    </xdr:nvGrpSpPr>
                    <xdr:grpSpPr>
                      <a:xfrm>
                        <a:off x="5380336" y="3396043"/>
                        <a:ext cx="43094" cy="45719"/>
                        <a:chOff x="5082563" y="2759244"/>
                        <a:chExt cx="43094" cy="64865"/>
                      </a:xfrm>
                    </xdr:grpSpPr>
                    <xdr:cxnSp macro="">
                      <xdr:nvCxnSpPr>
                        <xdr:cNvPr id="614" name="Straight Connector 613">
                          <a:extLst>
                            <a:ext uri="{FF2B5EF4-FFF2-40B4-BE49-F238E27FC236}">
                              <a16:creationId xmlns:a16="http://schemas.microsoft.com/office/drawing/2014/main" id="{00000000-0008-0000-0300-000066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5" name="Straight Connector 614">
                          <a:extLst>
                            <a:ext uri="{FF2B5EF4-FFF2-40B4-BE49-F238E27FC236}">
                              <a16:creationId xmlns:a16="http://schemas.microsoft.com/office/drawing/2014/main" id="{00000000-0008-0000-0300-000067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6" name="Straight Connector 615">
                          <a:extLst>
                            <a:ext uri="{FF2B5EF4-FFF2-40B4-BE49-F238E27FC236}">
                              <a16:creationId xmlns:a16="http://schemas.microsoft.com/office/drawing/2014/main" id="{00000000-0008-0000-0300-000068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10" name="Group 609">
                        <a:extLst>
                          <a:ext uri="{FF2B5EF4-FFF2-40B4-BE49-F238E27FC236}">
                            <a16:creationId xmlns:a16="http://schemas.microsoft.com/office/drawing/2014/main" id="{00000000-0008-0000-0300-000062020000}"/>
                          </a:ext>
                        </a:extLst>
                      </xdr:cNvPr>
                      <xdr:cNvGrpSpPr/>
                    </xdr:nvGrpSpPr>
                    <xdr:grpSpPr>
                      <a:xfrm>
                        <a:off x="5406004" y="3399172"/>
                        <a:ext cx="43094" cy="45719"/>
                        <a:chOff x="5082563" y="2759244"/>
                        <a:chExt cx="43094" cy="64865"/>
                      </a:xfrm>
                    </xdr:grpSpPr>
                    <xdr:cxnSp macro="">
                      <xdr:nvCxnSpPr>
                        <xdr:cNvPr id="611" name="Straight Connector 610">
                          <a:extLst>
                            <a:ext uri="{FF2B5EF4-FFF2-40B4-BE49-F238E27FC236}">
                              <a16:creationId xmlns:a16="http://schemas.microsoft.com/office/drawing/2014/main" id="{00000000-0008-0000-0300-000063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2" name="Straight Connector 611">
                          <a:extLst>
                            <a:ext uri="{FF2B5EF4-FFF2-40B4-BE49-F238E27FC236}">
                              <a16:creationId xmlns:a16="http://schemas.microsoft.com/office/drawing/2014/main" id="{00000000-0008-0000-0300-000064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3" name="Straight Connector 612">
                          <a:extLst>
                            <a:ext uri="{FF2B5EF4-FFF2-40B4-BE49-F238E27FC236}">
                              <a16:creationId xmlns:a16="http://schemas.microsoft.com/office/drawing/2014/main" id="{00000000-0008-0000-0300-000065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69" name="Freeform: Shape 468">
                      <a:extLst>
                        <a:ext uri="{FF2B5EF4-FFF2-40B4-BE49-F238E27FC236}">
                          <a16:creationId xmlns:a16="http://schemas.microsoft.com/office/drawing/2014/main" id="{00000000-0008-0000-0300-0000D5010000}"/>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70" name="Group 469">
                      <a:extLst>
                        <a:ext uri="{FF2B5EF4-FFF2-40B4-BE49-F238E27FC236}">
                          <a16:creationId xmlns:a16="http://schemas.microsoft.com/office/drawing/2014/main" id="{00000000-0008-0000-0300-0000D6010000}"/>
                        </a:ext>
                      </a:extLst>
                    </xdr:cNvPr>
                    <xdr:cNvGrpSpPr/>
                  </xdr:nvGrpSpPr>
                  <xdr:grpSpPr>
                    <a:xfrm>
                      <a:off x="11001398" y="14219604"/>
                      <a:ext cx="138114" cy="477401"/>
                      <a:chOff x="656350" y="2824382"/>
                      <a:chExt cx="138114" cy="2470750"/>
                    </a:xfrm>
                  </xdr:grpSpPr>
                  <xdr:cxnSp macro="">
                    <xdr:nvCxnSpPr>
                      <xdr:cNvPr id="603" name="Straight Connector 602">
                        <a:extLst>
                          <a:ext uri="{FF2B5EF4-FFF2-40B4-BE49-F238E27FC236}">
                            <a16:creationId xmlns:a16="http://schemas.microsoft.com/office/drawing/2014/main" id="{00000000-0008-0000-0300-00005B020000}"/>
                          </a:ext>
                        </a:extLst>
                      </xdr:cNvPr>
                      <xdr:cNvCxnSpPr/>
                    </xdr:nvCxnSpPr>
                    <xdr:spPr>
                      <a:xfrm flipV="1">
                        <a:off x="723025" y="2824382"/>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4" name="Straight Connector 603">
                        <a:extLst>
                          <a:ext uri="{FF2B5EF4-FFF2-40B4-BE49-F238E27FC236}">
                            <a16:creationId xmlns:a16="http://schemas.microsoft.com/office/drawing/2014/main" id="{00000000-0008-0000-0300-00005C020000}"/>
                          </a:ext>
                        </a:extLst>
                      </xdr:cNvPr>
                      <xdr:cNvCxnSpPr/>
                    </xdr:nvCxnSpPr>
                    <xdr:spPr>
                      <a:xfrm flipH="1">
                        <a:off x="656350" y="2824382"/>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5" name="Straight Connector 604">
                        <a:extLst>
                          <a:ext uri="{FF2B5EF4-FFF2-40B4-BE49-F238E27FC236}">
                            <a16:creationId xmlns:a16="http://schemas.microsoft.com/office/drawing/2014/main" id="{00000000-0008-0000-0300-00005D020000}"/>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1" name="TextBox 367">
                      <a:extLst>
                        <a:ext uri="{FF2B5EF4-FFF2-40B4-BE49-F238E27FC236}">
                          <a16:creationId xmlns:a16="http://schemas.microsoft.com/office/drawing/2014/main" id="{00000000-0008-0000-0300-0000D7010000}"/>
                        </a:ext>
                      </a:extLst>
                    </xdr:cNvPr>
                    <xdr:cNvSpPr txBox="1"/>
                  </xdr:nvSpPr>
                  <xdr:spPr>
                    <a:xfrm>
                      <a:off x="11078798" y="14131245"/>
                      <a:ext cx="473667"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600" b="1" i="1">
                          <a:latin typeface="Broadway" panose="04040905080B02020502" pitchFamily="82" charset="0"/>
                          <a:ea typeface="Calibri" panose="020F0502020204030204" pitchFamily="34" charset="0"/>
                          <a:cs typeface="Arial" panose="020B0604020202020204" pitchFamily="34" charset="0"/>
                        </a:rPr>
                        <a:t>δ</a:t>
                      </a:r>
                      <a:r>
                        <a:rPr lang="en-US" sz="1050" b="1" i="1" baseline="-25000">
                          <a:latin typeface="Arial" panose="020B0604020202020204" pitchFamily="34" charset="0"/>
                          <a:ea typeface="Calibri" panose="020F0502020204030204" pitchFamily="34" charset="0"/>
                          <a:cs typeface="Arial" panose="020B0604020202020204" pitchFamily="34" charset="0"/>
                        </a:rPr>
                        <a:t>gw</a:t>
                      </a:r>
                      <a:endParaRPr lang="en-US" sz="1050" b="1" i="1" baseline="-25000">
                        <a:latin typeface="Arial" panose="020B0604020202020204" pitchFamily="34" charset="0"/>
                        <a:cs typeface="Arial" panose="020B0604020202020204" pitchFamily="34" charset="0"/>
                      </a:endParaRPr>
                    </a:p>
                    <a:p>
                      <a:endParaRPr lang="en-US" sz="2400" b="1" i="1"/>
                    </a:p>
                  </xdr:txBody>
                </xdr:sp>
                <xdr:grpSp>
                  <xdr:nvGrpSpPr>
                    <xdr:cNvPr id="472" name="Group 471">
                      <a:extLst>
                        <a:ext uri="{FF2B5EF4-FFF2-40B4-BE49-F238E27FC236}">
                          <a16:creationId xmlns:a16="http://schemas.microsoft.com/office/drawing/2014/main" id="{00000000-0008-0000-0300-0000D8010000}"/>
                        </a:ext>
                      </a:extLst>
                    </xdr:cNvPr>
                    <xdr:cNvGrpSpPr/>
                  </xdr:nvGrpSpPr>
                  <xdr:grpSpPr>
                    <a:xfrm>
                      <a:off x="9815384" y="12710234"/>
                      <a:ext cx="138114" cy="1447804"/>
                      <a:chOff x="2355979" y="2687037"/>
                      <a:chExt cx="138114" cy="2470751"/>
                    </a:xfrm>
                  </xdr:grpSpPr>
                  <xdr:cxnSp macro="">
                    <xdr:nvCxnSpPr>
                      <xdr:cNvPr id="600" name="Straight Connector 599">
                        <a:extLst>
                          <a:ext uri="{FF2B5EF4-FFF2-40B4-BE49-F238E27FC236}">
                            <a16:creationId xmlns:a16="http://schemas.microsoft.com/office/drawing/2014/main" id="{00000000-0008-0000-0300-000058020000}"/>
                          </a:ext>
                        </a:extLst>
                      </xdr:cNvPr>
                      <xdr:cNvCxnSpPr/>
                    </xdr:nvCxnSpPr>
                    <xdr:spPr>
                      <a:xfrm flipV="1">
                        <a:off x="2422654" y="2687037"/>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1" name="Straight Connector 600">
                        <a:extLst>
                          <a:ext uri="{FF2B5EF4-FFF2-40B4-BE49-F238E27FC236}">
                            <a16:creationId xmlns:a16="http://schemas.microsoft.com/office/drawing/2014/main" id="{00000000-0008-0000-0300-000059020000}"/>
                          </a:ext>
                        </a:extLst>
                      </xdr:cNvPr>
                      <xdr:cNvCxnSpPr/>
                    </xdr:nvCxnSpPr>
                    <xdr:spPr>
                      <a:xfrm flipH="1">
                        <a:off x="2355979" y="268703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2" name="Straight Connector 601">
                        <a:extLst>
                          <a:ext uri="{FF2B5EF4-FFF2-40B4-BE49-F238E27FC236}">
                            <a16:creationId xmlns:a16="http://schemas.microsoft.com/office/drawing/2014/main" id="{00000000-0008-0000-0300-00005A020000}"/>
                          </a:ext>
                        </a:extLst>
                      </xdr:cNvPr>
                      <xdr:cNvCxnSpPr/>
                    </xdr:nvCxnSpPr>
                    <xdr:spPr>
                      <a:xfrm flipH="1">
                        <a:off x="2360743" y="515778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3" name="TextBox 372">
                      <a:extLst>
                        <a:ext uri="{FF2B5EF4-FFF2-40B4-BE49-F238E27FC236}">
                          <a16:creationId xmlns:a16="http://schemas.microsoft.com/office/drawing/2014/main" id="{00000000-0008-0000-0300-0000D9010000}"/>
                        </a:ext>
                      </a:extLst>
                    </xdr:cNvPr>
                    <xdr:cNvSpPr txBox="1"/>
                  </xdr:nvSpPr>
                  <xdr:spPr>
                    <a:xfrm>
                      <a:off x="9862783" y="13110930"/>
                      <a:ext cx="284816"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L </a:t>
                      </a:r>
                    </a:p>
                  </xdr:txBody>
                </xdr:sp>
                <xdr:grpSp>
                  <xdr:nvGrpSpPr>
                    <xdr:cNvPr id="474" name="Group 473">
                      <a:extLst>
                        <a:ext uri="{FF2B5EF4-FFF2-40B4-BE49-F238E27FC236}">
                          <a16:creationId xmlns:a16="http://schemas.microsoft.com/office/drawing/2014/main" id="{00000000-0008-0000-0300-0000DA010000}"/>
                        </a:ext>
                      </a:extLst>
                    </xdr:cNvPr>
                    <xdr:cNvGrpSpPr/>
                  </xdr:nvGrpSpPr>
                  <xdr:grpSpPr>
                    <a:xfrm rot="5400000">
                      <a:off x="9223670" y="13798998"/>
                      <a:ext cx="138113" cy="1018249"/>
                      <a:chOff x="1100139" y="2687037"/>
                      <a:chExt cx="138113" cy="2470752"/>
                    </a:xfrm>
                  </xdr:grpSpPr>
                  <xdr:cxnSp macro="">
                    <xdr:nvCxnSpPr>
                      <xdr:cNvPr id="597" name="Straight Connector 596">
                        <a:extLst>
                          <a:ext uri="{FF2B5EF4-FFF2-40B4-BE49-F238E27FC236}">
                            <a16:creationId xmlns:a16="http://schemas.microsoft.com/office/drawing/2014/main" id="{00000000-0008-0000-0300-000055020000}"/>
                          </a:ext>
                        </a:extLst>
                      </xdr:cNvPr>
                      <xdr:cNvCxnSpPr/>
                    </xdr:nvCxnSpPr>
                    <xdr:spPr>
                      <a:xfrm rot="16200000">
                        <a:off x="-68562" y="3922414"/>
                        <a:ext cx="24707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98" name="Straight Connector 597">
                        <a:extLst>
                          <a:ext uri="{FF2B5EF4-FFF2-40B4-BE49-F238E27FC236}">
                            <a16:creationId xmlns:a16="http://schemas.microsoft.com/office/drawing/2014/main" id="{00000000-0008-0000-0300-000056020000}"/>
                          </a:ext>
                        </a:extLst>
                      </xdr:cNvPr>
                      <xdr:cNvCxnSpPr/>
                    </xdr:nvCxnSpPr>
                    <xdr:spPr>
                      <a:xfrm rot="16200000" flipV="1">
                        <a:off x="1166814" y="262036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99" name="Straight Connector 598">
                        <a:extLst>
                          <a:ext uri="{FF2B5EF4-FFF2-40B4-BE49-F238E27FC236}">
                            <a16:creationId xmlns:a16="http://schemas.microsoft.com/office/drawing/2014/main" id="{00000000-0008-0000-0300-000057020000}"/>
                          </a:ext>
                        </a:extLst>
                      </xdr:cNvPr>
                      <xdr:cNvCxnSpPr/>
                    </xdr:nvCxnSpPr>
                    <xdr:spPr>
                      <a:xfrm rot="16200000" flipV="1">
                        <a:off x="1171577" y="5091114"/>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5" name="TextBox 377">
                      <a:extLst>
                        <a:ext uri="{FF2B5EF4-FFF2-40B4-BE49-F238E27FC236}">
                          <a16:creationId xmlns:a16="http://schemas.microsoft.com/office/drawing/2014/main" id="{00000000-0008-0000-0300-0000DB010000}"/>
                        </a:ext>
                      </a:extLst>
                    </xdr:cNvPr>
                    <xdr:cNvSpPr txBox="1"/>
                  </xdr:nvSpPr>
                  <xdr:spPr>
                    <a:xfrm>
                      <a:off x="8900965" y="14264123"/>
                      <a:ext cx="361290"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W</a:t>
                      </a:r>
                    </a:p>
                  </xdr:txBody>
                </xdr:sp>
                <xdr:sp macro="" textlink="">
                  <xdr:nvSpPr>
                    <xdr:cNvPr id="476" name="TextBox 382">
                      <a:extLst>
                        <a:ext uri="{FF2B5EF4-FFF2-40B4-BE49-F238E27FC236}">
                          <a16:creationId xmlns:a16="http://schemas.microsoft.com/office/drawing/2014/main" id="{00000000-0008-0000-0300-0000DC010000}"/>
                        </a:ext>
                      </a:extLst>
                    </xdr:cNvPr>
                    <xdr:cNvSpPr txBox="1"/>
                  </xdr:nvSpPr>
                  <xdr:spPr>
                    <a:xfrm>
                      <a:off x="10126270" y="14662154"/>
                      <a:ext cx="435394"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latin typeface="Times New Roman" panose="02020603050405020304" pitchFamily="18" charset="0"/>
                          <a:cs typeface="Times New Roman" panose="02020603050405020304" pitchFamily="18" charset="0"/>
                        </a:rPr>
                        <a:t>b</a:t>
                      </a:r>
                      <a:r>
                        <a:rPr lang="en-US" sz="1400" b="1" baseline="-25000">
                          <a:latin typeface="Times New Roman" panose="02020603050405020304" pitchFamily="18" charset="0"/>
                          <a:cs typeface="Times New Roman" panose="02020603050405020304" pitchFamily="18" charset="0"/>
                        </a:rPr>
                        <a:t>sat</a:t>
                      </a:r>
                    </a:p>
                  </xdr:txBody>
                </xdr:sp>
                <xdr:cxnSp macro="">
                  <xdr:nvCxnSpPr>
                    <xdr:cNvPr id="477" name="Straight Arrow Connector 476">
                      <a:extLst>
                        <a:ext uri="{FF2B5EF4-FFF2-40B4-BE49-F238E27FC236}">
                          <a16:creationId xmlns:a16="http://schemas.microsoft.com/office/drawing/2014/main" id="{00000000-0008-0000-0300-0000DD010000}"/>
                        </a:ext>
                      </a:extLst>
                    </xdr:cNvPr>
                    <xdr:cNvCxnSpPr/>
                  </xdr:nvCxnSpPr>
                  <xdr:spPr>
                    <a:xfrm>
                      <a:off x="7586293" y="14688014"/>
                      <a:ext cx="588386" cy="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78" name="TextBox 385">
                      <a:extLst>
                        <a:ext uri="{FF2B5EF4-FFF2-40B4-BE49-F238E27FC236}">
                          <a16:creationId xmlns:a16="http://schemas.microsoft.com/office/drawing/2014/main" id="{00000000-0008-0000-0300-0000DE010000}"/>
                        </a:ext>
                      </a:extLst>
                    </xdr:cNvPr>
                    <xdr:cNvSpPr txBox="1"/>
                  </xdr:nvSpPr>
                  <xdr:spPr>
                    <a:xfrm>
                      <a:off x="7482860" y="14718155"/>
                      <a:ext cx="1375379" cy="24719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50" b="1">
                          <a:latin typeface="Arial" panose="020B0604020202020204" pitchFamily="34" charset="0"/>
                          <a:cs typeface="Arial" panose="020B0604020202020204" pitchFamily="34" charset="0"/>
                        </a:rPr>
                        <a:t>Groundwater flow</a:t>
                      </a:r>
                    </a:p>
                  </xdr:txBody>
                </xdr:sp>
                <xdr:sp macro="" textlink="">
                  <xdr:nvSpPr>
                    <xdr:cNvPr id="479" name="TextBox 388">
                      <a:extLst>
                        <a:ext uri="{FF2B5EF4-FFF2-40B4-BE49-F238E27FC236}">
                          <a16:creationId xmlns:a16="http://schemas.microsoft.com/office/drawing/2014/main" id="{00000000-0008-0000-0300-0000DF010000}"/>
                        </a:ext>
                      </a:extLst>
                    </xdr:cNvPr>
                    <xdr:cNvSpPr txBox="1"/>
                  </xdr:nvSpPr>
                  <xdr:spPr>
                    <a:xfrm>
                      <a:off x="8800582" y="12816458"/>
                      <a:ext cx="1002221" cy="57900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100" b="1">
                          <a:latin typeface="Arial" panose="020B0604020202020204" pitchFamily="34" charset="0"/>
                          <a:cs typeface="Arial" panose="020B0604020202020204" pitchFamily="34" charset="0"/>
                        </a:rPr>
                        <a:t>PFAS transport</a:t>
                      </a:r>
                    </a:p>
                    <a:p>
                      <a:pPr algn="ctr"/>
                      <a:r>
                        <a:rPr lang="en-US" sz="1100" b="1">
                          <a:latin typeface="Arial" panose="020B0604020202020204" pitchFamily="34" charset="0"/>
                          <a:cs typeface="Arial" panose="020B0604020202020204" pitchFamily="34" charset="0"/>
                        </a:rPr>
                        <a:t>&amp; water</a:t>
                      </a:r>
                      <a:r>
                        <a:rPr lang="en-US" sz="1100" b="1" baseline="0">
                          <a:latin typeface="Arial" panose="020B0604020202020204" pitchFamily="34" charset="0"/>
                          <a:cs typeface="Arial" panose="020B0604020202020204" pitchFamily="34" charset="0"/>
                        </a:rPr>
                        <a:t> flux</a:t>
                      </a:r>
                      <a:endParaRPr lang="en-US" sz="1100" b="1">
                        <a:latin typeface="Arial" panose="020B0604020202020204" pitchFamily="34" charset="0"/>
                        <a:cs typeface="Arial" panose="020B0604020202020204" pitchFamily="34" charset="0"/>
                      </a:endParaRPr>
                    </a:p>
                  </xdr:txBody>
                </xdr:sp>
                <xdr:cxnSp macro="">
                  <xdr:nvCxnSpPr>
                    <xdr:cNvPr id="480" name="Straight Arrow Connector 479">
                      <a:extLst>
                        <a:ext uri="{FF2B5EF4-FFF2-40B4-BE49-F238E27FC236}">
                          <a16:creationId xmlns:a16="http://schemas.microsoft.com/office/drawing/2014/main" id="{00000000-0008-0000-0300-0000E0010000}"/>
                        </a:ext>
                      </a:extLst>
                    </xdr:cNvPr>
                    <xdr:cNvCxnSpPr>
                      <a:cxnSpLocks/>
                    </xdr:cNvCxnSpPr>
                  </xdr:nvCxnSpPr>
                  <xdr:spPr>
                    <a:xfrm>
                      <a:off x="9273530" y="13489614"/>
                      <a:ext cx="0" cy="636613"/>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81" name="Freeform: Shape 480">
                      <a:extLst>
                        <a:ext uri="{FF2B5EF4-FFF2-40B4-BE49-F238E27FC236}">
                          <a16:creationId xmlns:a16="http://schemas.microsoft.com/office/drawing/2014/main" id="{00000000-0008-0000-0300-0000E1010000}"/>
                        </a:ext>
                      </a:extLst>
                    </xdr:cNvPr>
                    <xdr:cNvSpPr/>
                  </xdr:nvSpPr>
                  <xdr:spPr>
                    <a:xfrm>
                      <a:off x="7511725" y="1106466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2" name="Group 481">
                      <a:extLst>
                        <a:ext uri="{FF2B5EF4-FFF2-40B4-BE49-F238E27FC236}">
                          <a16:creationId xmlns:a16="http://schemas.microsoft.com/office/drawing/2014/main" id="{00000000-0008-0000-0300-0000E2010000}"/>
                        </a:ext>
                      </a:extLst>
                    </xdr:cNvPr>
                    <xdr:cNvGrpSpPr/>
                  </xdr:nvGrpSpPr>
                  <xdr:grpSpPr>
                    <a:xfrm>
                      <a:off x="7590796" y="11778378"/>
                      <a:ext cx="2503784" cy="719542"/>
                      <a:chOff x="1033402" y="1825990"/>
                      <a:chExt cx="2503784" cy="719542"/>
                    </a:xfrm>
                  </xdr:grpSpPr>
                  <xdr:grpSp>
                    <xdr:nvGrpSpPr>
                      <xdr:cNvPr id="544" name="Group 543">
                        <a:extLst>
                          <a:ext uri="{FF2B5EF4-FFF2-40B4-BE49-F238E27FC236}">
                            <a16:creationId xmlns:a16="http://schemas.microsoft.com/office/drawing/2014/main" id="{00000000-0008-0000-0300-000020020000}"/>
                          </a:ext>
                        </a:extLst>
                      </xdr:cNvPr>
                      <xdr:cNvGrpSpPr/>
                    </xdr:nvGrpSpPr>
                    <xdr:grpSpPr>
                      <a:xfrm flipH="1">
                        <a:off x="1033402" y="1825990"/>
                        <a:ext cx="2503784" cy="552069"/>
                        <a:chOff x="3019354" y="1959928"/>
                        <a:chExt cx="2029960" cy="552069"/>
                      </a:xfrm>
                    </xdr:grpSpPr>
                    <xdr:cxnSp macro="">
                      <xdr:nvCxnSpPr>
                        <xdr:cNvPr id="550" name="Straight Connector 549">
                          <a:extLst>
                            <a:ext uri="{FF2B5EF4-FFF2-40B4-BE49-F238E27FC236}">
                              <a16:creationId xmlns:a16="http://schemas.microsoft.com/office/drawing/2014/main" id="{00000000-0008-0000-0300-00002602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1" name="Straight Connector 550">
                          <a:extLst>
                            <a:ext uri="{FF2B5EF4-FFF2-40B4-BE49-F238E27FC236}">
                              <a16:creationId xmlns:a16="http://schemas.microsoft.com/office/drawing/2014/main" id="{00000000-0008-0000-0300-00002702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2" name="Straight Connector 551">
                          <a:extLst>
                            <a:ext uri="{FF2B5EF4-FFF2-40B4-BE49-F238E27FC236}">
                              <a16:creationId xmlns:a16="http://schemas.microsoft.com/office/drawing/2014/main" id="{00000000-0008-0000-0300-00002802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3" name="Straight Connector 552">
                          <a:extLst>
                            <a:ext uri="{FF2B5EF4-FFF2-40B4-BE49-F238E27FC236}">
                              <a16:creationId xmlns:a16="http://schemas.microsoft.com/office/drawing/2014/main" id="{00000000-0008-0000-0300-00002902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4" name="Straight Connector 553">
                          <a:extLst>
                            <a:ext uri="{FF2B5EF4-FFF2-40B4-BE49-F238E27FC236}">
                              <a16:creationId xmlns:a16="http://schemas.microsoft.com/office/drawing/2014/main" id="{00000000-0008-0000-0300-00002A02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5" name="Straight Connector 554">
                          <a:extLst>
                            <a:ext uri="{FF2B5EF4-FFF2-40B4-BE49-F238E27FC236}">
                              <a16:creationId xmlns:a16="http://schemas.microsoft.com/office/drawing/2014/main" id="{00000000-0008-0000-0300-00002B02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6" name="Straight Connector 555">
                          <a:extLst>
                            <a:ext uri="{FF2B5EF4-FFF2-40B4-BE49-F238E27FC236}">
                              <a16:creationId xmlns:a16="http://schemas.microsoft.com/office/drawing/2014/main" id="{00000000-0008-0000-0300-00002C02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7" name="Straight Connector 556">
                          <a:extLst>
                            <a:ext uri="{FF2B5EF4-FFF2-40B4-BE49-F238E27FC236}">
                              <a16:creationId xmlns:a16="http://schemas.microsoft.com/office/drawing/2014/main" id="{00000000-0008-0000-0300-00002D02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8" name="Straight Connector 557">
                          <a:extLst>
                            <a:ext uri="{FF2B5EF4-FFF2-40B4-BE49-F238E27FC236}">
                              <a16:creationId xmlns:a16="http://schemas.microsoft.com/office/drawing/2014/main" id="{00000000-0008-0000-0300-00002E02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9" name="Straight Connector 558">
                          <a:extLst>
                            <a:ext uri="{FF2B5EF4-FFF2-40B4-BE49-F238E27FC236}">
                              <a16:creationId xmlns:a16="http://schemas.microsoft.com/office/drawing/2014/main" id="{00000000-0008-0000-0300-00002F02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0" name="Straight Connector 559">
                          <a:extLst>
                            <a:ext uri="{FF2B5EF4-FFF2-40B4-BE49-F238E27FC236}">
                              <a16:creationId xmlns:a16="http://schemas.microsoft.com/office/drawing/2014/main" id="{00000000-0008-0000-0300-00003002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1" name="Straight Connector 560">
                          <a:extLst>
                            <a:ext uri="{FF2B5EF4-FFF2-40B4-BE49-F238E27FC236}">
                              <a16:creationId xmlns:a16="http://schemas.microsoft.com/office/drawing/2014/main" id="{00000000-0008-0000-0300-00003102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2" name="Straight Connector 561">
                          <a:extLst>
                            <a:ext uri="{FF2B5EF4-FFF2-40B4-BE49-F238E27FC236}">
                              <a16:creationId xmlns:a16="http://schemas.microsoft.com/office/drawing/2014/main" id="{00000000-0008-0000-0300-00003202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3" name="Straight Connector 562">
                          <a:extLst>
                            <a:ext uri="{FF2B5EF4-FFF2-40B4-BE49-F238E27FC236}">
                              <a16:creationId xmlns:a16="http://schemas.microsoft.com/office/drawing/2014/main" id="{00000000-0008-0000-0300-00003302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4" name="Straight Connector 563">
                          <a:extLst>
                            <a:ext uri="{FF2B5EF4-FFF2-40B4-BE49-F238E27FC236}">
                              <a16:creationId xmlns:a16="http://schemas.microsoft.com/office/drawing/2014/main" id="{00000000-0008-0000-0300-00003402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5" name="Straight Connector 564">
                          <a:extLst>
                            <a:ext uri="{FF2B5EF4-FFF2-40B4-BE49-F238E27FC236}">
                              <a16:creationId xmlns:a16="http://schemas.microsoft.com/office/drawing/2014/main" id="{00000000-0008-0000-0300-00003502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6" name="Straight Connector 565">
                          <a:extLst>
                            <a:ext uri="{FF2B5EF4-FFF2-40B4-BE49-F238E27FC236}">
                              <a16:creationId xmlns:a16="http://schemas.microsoft.com/office/drawing/2014/main" id="{00000000-0008-0000-0300-00003602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7" name="Straight Connector 566">
                          <a:extLst>
                            <a:ext uri="{FF2B5EF4-FFF2-40B4-BE49-F238E27FC236}">
                              <a16:creationId xmlns:a16="http://schemas.microsoft.com/office/drawing/2014/main" id="{00000000-0008-0000-0300-00003702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8" name="Straight Connector 567">
                          <a:extLst>
                            <a:ext uri="{FF2B5EF4-FFF2-40B4-BE49-F238E27FC236}">
                              <a16:creationId xmlns:a16="http://schemas.microsoft.com/office/drawing/2014/main" id="{00000000-0008-0000-0300-00003802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9" name="Straight Connector 568">
                          <a:extLst>
                            <a:ext uri="{FF2B5EF4-FFF2-40B4-BE49-F238E27FC236}">
                              <a16:creationId xmlns:a16="http://schemas.microsoft.com/office/drawing/2014/main" id="{00000000-0008-0000-0300-00003902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0" name="Straight Connector 569">
                          <a:extLst>
                            <a:ext uri="{FF2B5EF4-FFF2-40B4-BE49-F238E27FC236}">
                              <a16:creationId xmlns:a16="http://schemas.microsoft.com/office/drawing/2014/main" id="{00000000-0008-0000-0300-00003A02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1" name="Straight Connector 570">
                          <a:extLst>
                            <a:ext uri="{FF2B5EF4-FFF2-40B4-BE49-F238E27FC236}">
                              <a16:creationId xmlns:a16="http://schemas.microsoft.com/office/drawing/2014/main" id="{00000000-0008-0000-0300-00003B02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2" name="Straight Connector 571">
                          <a:extLst>
                            <a:ext uri="{FF2B5EF4-FFF2-40B4-BE49-F238E27FC236}">
                              <a16:creationId xmlns:a16="http://schemas.microsoft.com/office/drawing/2014/main" id="{00000000-0008-0000-0300-00003C02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3" name="Straight Connector 572">
                          <a:extLst>
                            <a:ext uri="{FF2B5EF4-FFF2-40B4-BE49-F238E27FC236}">
                              <a16:creationId xmlns:a16="http://schemas.microsoft.com/office/drawing/2014/main" id="{00000000-0008-0000-0300-00003D02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4" name="Straight Connector 573">
                          <a:extLst>
                            <a:ext uri="{FF2B5EF4-FFF2-40B4-BE49-F238E27FC236}">
                              <a16:creationId xmlns:a16="http://schemas.microsoft.com/office/drawing/2014/main" id="{00000000-0008-0000-0300-00003E02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5" name="Straight Connector 574">
                          <a:extLst>
                            <a:ext uri="{FF2B5EF4-FFF2-40B4-BE49-F238E27FC236}">
                              <a16:creationId xmlns:a16="http://schemas.microsoft.com/office/drawing/2014/main" id="{00000000-0008-0000-0300-00003F02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6" name="Straight Connector 575">
                          <a:extLst>
                            <a:ext uri="{FF2B5EF4-FFF2-40B4-BE49-F238E27FC236}">
                              <a16:creationId xmlns:a16="http://schemas.microsoft.com/office/drawing/2014/main" id="{00000000-0008-0000-0300-00004002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7" name="Straight Connector 576">
                          <a:extLst>
                            <a:ext uri="{FF2B5EF4-FFF2-40B4-BE49-F238E27FC236}">
                              <a16:creationId xmlns:a16="http://schemas.microsoft.com/office/drawing/2014/main" id="{00000000-0008-0000-0300-00004102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8" name="Straight Connector 577">
                          <a:extLst>
                            <a:ext uri="{FF2B5EF4-FFF2-40B4-BE49-F238E27FC236}">
                              <a16:creationId xmlns:a16="http://schemas.microsoft.com/office/drawing/2014/main" id="{00000000-0008-0000-0300-00004202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9" name="Straight Connector 578">
                          <a:extLst>
                            <a:ext uri="{FF2B5EF4-FFF2-40B4-BE49-F238E27FC236}">
                              <a16:creationId xmlns:a16="http://schemas.microsoft.com/office/drawing/2014/main" id="{00000000-0008-0000-0300-00004302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0" name="Straight Connector 579">
                          <a:extLst>
                            <a:ext uri="{FF2B5EF4-FFF2-40B4-BE49-F238E27FC236}">
                              <a16:creationId xmlns:a16="http://schemas.microsoft.com/office/drawing/2014/main" id="{00000000-0008-0000-0300-00004402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1" name="Straight Connector 580">
                          <a:extLst>
                            <a:ext uri="{FF2B5EF4-FFF2-40B4-BE49-F238E27FC236}">
                              <a16:creationId xmlns:a16="http://schemas.microsoft.com/office/drawing/2014/main" id="{00000000-0008-0000-0300-00004502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2" name="Straight Connector 581">
                          <a:extLst>
                            <a:ext uri="{FF2B5EF4-FFF2-40B4-BE49-F238E27FC236}">
                              <a16:creationId xmlns:a16="http://schemas.microsoft.com/office/drawing/2014/main" id="{00000000-0008-0000-0300-00004602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3" name="Straight Connector 582">
                          <a:extLst>
                            <a:ext uri="{FF2B5EF4-FFF2-40B4-BE49-F238E27FC236}">
                              <a16:creationId xmlns:a16="http://schemas.microsoft.com/office/drawing/2014/main" id="{00000000-0008-0000-0300-00004702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4" name="Straight Connector 583">
                          <a:extLst>
                            <a:ext uri="{FF2B5EF4-FFF2-40B4-BE49-F238E27FC236}">
                              <a16:creationId xmlns:a16="http://schemas.microsoft.com/office/drawing/2014/main" id="{00000000-0008-0000-0300-00004802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5" name="Straight Connector 584">
                          <a:extLst>
                            <a:ext uri="{FF2B5EF4-FFF2-40B4-BE49-F238E27FC236}">
                              <a16:creationId xmlns:a16="http://schemas.microsoft.com/office/drawing/2014/main" id="{00000000-0008-0000-0300-00004902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6" name="Straight Connector 585">
                          <a:extLst>
                            <a:ext uri="{FF2B5EF4-FFF2-40B4-BE49-F238E27FC236}">
                              <a16:creationId xmlns:a16="http://schemas.microsoft.com/office/drawing/2014/main" id="{00000000-0008-0000-0300-00004A02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7" name="Straight Connector 586">
                          <a:extLst>
                            <a:ext uri="{FF2B5EF4-FFF2-40B4-BE49-F238E27FC236}">
                              <a16:creationId xmlns:a16="http://schemas.microsoft.com/office/drawing/2014/main" id="{00000000-0008-0000-0300-00004B02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8" name="Straight Connector 587">
                          <a:extLst>
                            <a:ext uri="{FF2B5EF4-FFF2-40B4-BE49-F238E27FC236}">
                              <a16:creationId xmlns:a16="http://schemas.microsoft.com/office/drawing/2014/main" id="{00000000-0008-0000-0300-00004C02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9" name="Straight Connector 588">
                          <a:extLst>
                            <a:ext uri="{FF2B5EF4-FFF2-40B4-BE49-F238E27FC236}">
                              <a16:creationId xmlns:a16="http://schemas.microsoft.com/office/drawing/2014/main" id="{00000000-0008-0000-0300-00004D02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0" name="Straight Connector 589">
                          <a:extLst>
                            <a:ext uri="{FF2B5EF4-FFF2-40B4-BE49-F238E27FC236}">
                              <a16:creationId xmlns:a16="http://schemas.microsoft.com/office/drawing/2014/main" id="{00000000-0008-0000-0300-00004E02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1" name="Straight Connector 590">
                          <a:extLst>
                            <a:ext uri="{FF2B5EF4-FFF2-40B4-BE49-F238E27FC236}">
                              <a16:creationId xmlns:a16="http://schemas.microsoft.com/office/drawing/2014/main" id="{00000000-0008-0000-0300-00004F02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2" name="Straight Connector 591">
                          <a:extLst>
                            <a:ext uri="{FF2B5EF4-FFF2-40B4-BE49-F238E27FC236}">
                              <a16:creationId xmlns:a16="http://schemas.microsoft.com/office/drawing/2014/main" id="{00000000-0008-0000-0300-00005002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3" name="Straight Connector 592">
                          <a:extLst>
                            <a:ext uri="{FF2B5EF4-FFF2-40B4-BE49-F238E27FC236}">
                              <a16:creationId xmlns:a16="http://schemas.microsoft.com/office/drawing/2014/main" id="{00000000-0008-0000-0300-00005102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4" name="Straight Connector 593">
                          <a:extLst>
                            <a:ext uri="{FF2B5EF4-FFF2-40B4-BE49-F238E27FC236}">
                              <a16:creationId xmlns:a16="http://schemas.microsoft.com/office/drawing/2014/main" id="{00000000-0008-0000-0300-00005202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5" name="Straight Connector 594">
                          <a:extLst>
                            <a:ext uri="{FF2B5EF4-FFF2-40B4-BE49-F238E27FC236}">
                              <a16:creationId xmlns:a16="http://schemas.microsoft.com/office/drawing/2014/main" id="{00000000-0008-0000-0300-00005302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6" name="Straight Connector 595">
                          <a:extLst>
                            <a:ext uri="{FF2B5EF4-FFF2-40B4-BE49-F238E27FC236}">
                              <a16:creationId xmlns:a16="http://schemas.microsoft.com/office/drawing/2014/main" id="{00000000-0008-0000-0300-00005402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545" name="Straight Connector 544">
                        <a:extLst>
                          <a:ext uri="{FF2B5EF4-FFF2-40B4-BE49-F238E27FC236}">
                            <a16:creationId xmlns:a16="http://schemas.microsoft.com/office/drawing/2014/main" id="{00000000-0008-0000-0300-00002102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6" name="Straight Connector 545">
                        <a:extLst>
                          <a:ext uri="{FF2B5EF4-FFF2-40B4-BE49-F238E27FC236}">
                            <a16:creationId xmlns:a16="http://schemas.microsoft.com/office/drawing/2014/main" id="{00000000-0008-0000-0300-00002202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7" name="Straight Connector 546">
                        <a:extLst>
                          <a:ext uri="{FF2B5EF4-FFF2-40B4-BE49-F238E27FC236}">
                            <a16:creationId xmlns:a16="http://schemas.microsoft.com/office/drawing/2014/main" id="{00000000-0008-0000-0300-00002302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8" name="Straight Connector 547">
                        <a:extLst>
                          <a:ext uri="{FF2B5EF4-FFF2-40B4-BE49-F238E27FC236}">
                            <a16:creationId xmlns:a16="http://schemas.microsoft.com/office/drawing/2014/main" id="{00000000-0008-0000-0300-00002402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9" name="Straight Connector 548">
                        <a:extLst>
                          <a:ext uri="{FF2B5EF4-FFF2-40B4-BE49-F238E27FC236}">
                            <a16:creationId xmlns:a16="http://schemas.microsoft.com/office/drawing/2014/main" id="{00000000-0008-0000-0300-00002502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3" name="Freeform: Shape 482">
                      <a:extLst>
                        <a:ext uri="{FF2B5EF4-FFF2-40B4-BE49-F238E27FC236}">
                          <a16:creationId xmlns:a16="http://schemas.microsoft.com/office/drawing/2014/main" id="{00000000-0008-0000-0300-0000E3010000}"/>
                        </a:ext>
                      </a:extLst>
                    </xdr:cNvPr>
                    <xdr:cNvSpPr/>
                  </xdr:nvSpPr>
                  <xdr:spPr>
                    <a:xfrm>
                      <a:off x="10181830" y="1025692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4" name="Group 483">
                      <a:extLst>
                        <a:ext uri="{FF2B5EF4-FFF2-40B4-BE49-F238E27FC236}">
                          <a16:creationId xmlns:a16="http://schemas.microsoft.com/office/drawing/2014/main" id="{00000000-0008-0000-0300-0000E4010000}"/>
                        </a:ext>
                      </a:extLst>
                    </xdr:cNvPr>
                    <xdr:cNvGrpSpPr/>
                  </xdr:nvGrpSpPr>
                  <xdr:grpSpPr>
                    <a:xfrm>
                      <a:off x="10260901" y="10970638"/>
                      <a:ext cx="2503784" cy="719542"/>
                      <a:chOff x="1033402" y="1825990"/>
                      <a:chExt cx="2503784" cy="719542"/>
                    </a:xfrm>
                  </xdr:grpSpPr>
                  <xdr:grpSp>
                    <xdr:nvGrpSpPr>
                      <xdr:cNvPr id="491" name="Group 490">
                        <a:extLst>
                          <a:ext uri="{FF2B5EF4-FFF2-40B4-BE49-F238E27FC236}">
                            <a16:creationId xmlns:a16="http://schemas.microsoft.com/office/drawing/2014/main" id="{00000000-0008-0000-0300-0000EB010000}"/>
                          </a:ext>
                        </a:extLst>
                      </xdr:cNvPr>
                      <xdr:cNvGrpSpPr/>
                    </xdr:nvGrpSpPr>
                    <xdr:grpSpPr>
                      <a:xfrm flipH="1">
                        <a:off x="1033402" y="1825990"/>
                        <a:ext cx="2503784" cy="552069"/>
                        <a:chOff x="3019354" y="1959928"/>
                        <a:chExt cx="2029960" cy="552069"/>
                      </a:xfrm>
                    </xdr:grpSpPr>
                    <xdr:cxnSp macro="">
                      <xdr:nvCxnSpPr>
                        <xdr:cNvPr id="497" name="Straight Connector 496">
                          <a:extLst>
                            <a:ext uri="{FF2B5EF4-FFF2-40B4-BE49-F238E27FC236}">
                              <a16:creationId xmlns:a16="http://schemas.microsoft.com/office/drawing/2014/main" id="{00000000-0008-0000-0300-0000F101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8" name="Straight Connector 497">
                          <a:extLst>
                            <a:ext uri="{FF2B5EF4-FFF2-40B4-BE49-F238E27FC236}">
                              <a16:creationId xmlns:a16="http://schemas.microsoft.com/office/drawing/2014/main" id="{00000000-0008-0000-0300-0000F201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9" name="Straight Connector 498">
                          <a:extLst>
                            <a:ext uri="{FF2B5EF4-FFF2-40B4-BE49-F238E27FC236}">
                              <a16:creationId xmlns:a16="http://schemas.microsoft.com/office/drawing/2014/main" id="{00000000-0008-0000-0300-0000F301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0" name="Straight Connector 499">
                          <a:extLst>
                            <a:ext uri="{FF2B5EF4-FFF2-40B4-BE49-F238E27FC236}">
                              <a16:creationId xmlns:a16="http://schemas.microsoft.com/office/drawing/2014/main" id="{00000000-0008-0000-0300-0000F401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1" name="Straight Connector 500">
                          <a:extLst>
                            <a:ext uri="{FF2B5EF4-FFF2-40B4-BE49-F238E27FC236}">
                              <a16:creationId xmlns:a16="http://schemas.microsoft.com/office/drawing/2014/main" id="{00000000-0008-0000-0300-0000F501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2" name="Straight Connector 501">
                          <a:extLst>
                            <a:ext uri="{FF2B5EF4-FFF2-40B4-BE49-F238E27FC236}">
                              <a16:creationId xmlns:a16="http://schemas.microsoft.com/office/drawing/2014/main" id="{00000000-0008-0000-0300-0000F601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3" name="Straight Connector 502">
                          <a:extLst>
                            <a:ext uri="{FF2B5EF4-FFF2-40B4-BE49-F238E27FC236}">
                              <a16:creationId xmlns:a16="http://schemas.microsoft.com/office/drawing/2014/main" id="{00000000-0008-0000-0300-0000F701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4" name="Straight Connector 503">
                          <a:extLst>
                            <a:ext uri="{FF2B5EF4-FFF2-40B4-BE49-F238E27FC236}">
                              <a16:creationId xmlns:a16="http://schemas.microsoft.com/office/drawing/2014/main" id="{00000000-0008-0000-0300-0000F801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5" name="Straight Connector 504">
                          <a:extLst>
                            <a:ext uri="{FF2B5EF4-FFF2-40B4-BE49-F238E27FC236}">
                              <a16:creationId xmlns:a16="http://schemas.microsoft.com/office/drawing/2014/main" id="{00000000-0008-0000-0300-0000F901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6" name="Straight Connector 505">
                          <a:extLst>
                            <a:ext uri="{FF2B5EF4-FFF2-40B4-BE49-F238E27FC236}">
                              <a16:creationId xmlns:a16="http://schemas.microsoft.com/office/drawing/2014/main" id="{00000000-0008-0000-0300-0000FA01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7" name="Straight Connector 506">
                          <a:extLst>
                            <a:ext uri="{FF2B5EF4-FFF2-40B4-BE49-F238E27FC236}">
                              <a16:creationId xmlns:a16="http://schemas.microsoft.com/office/drawing/2014/main" id="{00000000-0008-0000-0300-0000FB01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8" name="Straight Connector 507">
                          <a:extLst>
                            <a:ext uri="{FF2B5EF4-FFF2-40B4-BE49-F238E27FC236}">
                              <a16:creationId xmlns:a16="http://schemas.microsoft.com/office/drawing/2014/main" id="{00000000-0008-0000-0300-0000FC01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9" name="Straight Connector 508">
                          <a:extLst>
                            <a:ext uri="{FF2B5EF4-FFF2-40B4-BE49-F238E27FC236}">
                              <a16:creationId xmlns:a16="http://schemas.microsoft.com/office/drawing/2014/main" id="{00000000-0008-0000-0300-0000FD01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0" name="Straight Connector 509">
                          <a:extLst>
                            <a:ext uri="{FF2B5EF4-FFF2-40B4-BE49-F238E27FC236}">
                              <a16:creationId xmlns:a16="http://schemas.microsoft.com/office/drawing/2014/main" id="{00000000-0008-0000-0300-0000FE01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1" name="Straight Connector 510">
                          <a:extLst>
                            <a:ext uri="{FF2B5EF4-FFF2-40B4-BE49-F238E27FC236}">
                              <a16:creationId xmlns:a16="http://schemas.microsoft.com/office/drawing/2014/main" id="{00000000-0008-0000-0300-0000FF01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2" name="Straight Connector 511">
                          <a:extLst>
                            <a:ext uri="{FF2B5EF4-FFF2-40B4-BE49-F238E27FC236}">
                              <a16:creationId xmlns:a16="http://schemas.microsoft.com/office/drawing/2014/main" id="{00000000-0008-0000-0300-00000002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3" name="Straight Connector 512">
                          <a:extLst>
                            <a:ext uri="{FF2B5EF4-FFF2-40B4-BE49-F238E27FC236}">
                              <a16:creationId xmlns:a16="http://schemas.microsoft.com/office/drawing/2014/main" id="{00000000-0008-0000-0300-00000102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4" name="Straight Connector 513">
                          <a:extLst>
                            <a:ext uri="{FF2B5EF4-FFF2-40B4-BE49-F238E27FC236}">
                              <a16:creationId xmlns:a16="http://schemas.microsoft.com/office/drawing/2014/main" id="{00000000-0008-0000-0300-00000202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5" name="Straight Connector 514">
                          <a:extLst>
                            <a:ext uri="{FF2B5EF4-FFF2-40B4-BE49-F238E27FC236}">
                              <a16:creationId xmlns:a16="http://schemas.microsoft.com/office/drawing/2014/main" id="{00000000-0008-0000-0300-00000302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6" name="Straight Connector 515">
                          <a:extLst>
                            <a:ext uri="{FF2B5EF4-FFF2-40B4-BE49-F238E27FC236}">
                              <a16:creationId xmlns:a16="http://schemas.microsoft.com/office/drawing/2014/main" id="{00000000-0008-0000-0300-00000402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7" name="Straight Connector 516">
                          <a:extLst>
                            <a:ext uri="{FF2B5EF4-FFF2-40B4-BE49-F238E27FC236}">
                              <a16:creationId xmlns:a16="http://schemas.microsoft.com/office/drawing/2014/main" id="{00000000-0008-0000-0300-00000502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8" name="Straight Connector 517">
                          <a:extLst>
                            <a:ext uri="{FF2B5EF4-FFF2-40B4-BE49-F238E27FC236}">
                              <a16:creationId xmlns:a16="http://schemas.microsoft.com/office/drawing/2014/main" id="{00000000-0008-0000-0300-00000602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9" name="Straight Connector 518">
                          <a:extLst>
                            <a:ext uri="{FF2B5EF4-FFF2-40B4-BE49-F238E27FC236}">
                              <a16:creationId xmlns:a16="http://schemas.microsoft.com/office/drawing/2014/main" id="{00000000-0008-0000-0300-00000702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0" name="Straight Connector 519">
                          <a:extLst>
                            <a:ext uri="{FF2B5EF4-FFF2-40B4-BE49-F238E27FC236}">
                              <a16:creationId xmlns:a16="http://schemas.microsoft.com/office/drawing/2014/main" id="{00000000-0008-0000-0300-00000802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1" name="Straight Connector 520">
                          <a:extLst>
                            <a:ext uri="{FF2B5EF4-FFF2-40B4-BE49-F238E27FC236}">
                              <a16:creationId xmlns:a16="http://schemas.microsoft.com/office/drawing/2014/main" id="{00000000-0008-0000-0300-00000902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2" name="Straight Connector 521">
                          <a:extLst>
                            <a:ext uri="{FF2B5EF4-FFF2-40B4-BE49-F238E27FC236}">
                              <a16:creationId xmlns:a16="http://schemas.microsoft.com/office/drawing/2014/main" id="{00000000-0008-0000-0300-00000A02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3" name="Straight Connector 522">
                          <a:extLst>
                            <a:ext uri="{FF2B5EF4-FFF2-40B4-BE49-F238E27FC236}">
                              <a16:creationId xmlns:a16="http://schemas.microsoft.com/office/drawing/2014/main" id="{00000000-0008-0000-0300-00000B02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4" name="Straight Connector 523">
                          <a:extLst>
                            <a:ext uri="{FF2B5EF4-FFF2-40B4-BE49-F238E27FC236}">
                              <a16:creationId xmlns:a16="http://schemas.microsoft.com/office/drawing/2014/main" id="{00000000-0008-0000-0300-00000C02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5" name="Straight Connector 524">
                          <a:extLst>
                            <a:ext uri="{FF2B5EF4-FFF2-40B4-BE49-F238E27FC236}">
                              <a16:creationId xmlns:a16="http://schemas.microsoft.com/office/drawing/2014/main" id="{00000000-0008-0000-0300-00000D02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6" name="Straight Connector 525">
                          <a:extLst>
                            <a:ext uri="{FF2B5EF4-FFF2-40B4-BE49-F238E27FC236}">
                              <a16:creationId xmlns:a16="http://schemas.microsoft.com/office/drawing/2014/main" id="{00000000-0008-0000-0300-00000E02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7" name="Straight Connector 526">
                          <a:extLst>
                            <a:ext uri="{FF2B5EF4-FFF2-40B4-BE49-F238E27FC236}">
                              <a16:creationId xmlns:a16="http://schemas.microsoft.com/office/drawing/2014/main" id="{00000000-0008-0000-0300-00000F02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8" name="Straight Connector 527">
                          <a:extLst>
                            <a:ext uri="{FF2B5EF4-FFF2-40B4-BE49-F238E27FC236}">
                              <a16:creationId xmlns:a16="http://schemas.microsoft.com/office/drawing/2014/main" id="{00000000-0008-0000-0300-00001002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9" name="Straight Connector 528">
                          <a:extLst>
                            <a:ext uri="{FF2B5EF4-FFF2-40B4-BE49-F238E27FC236}">
                              <a16:creationId xmlns:a16="http://schemas.microsoft.com/office/drawing/2014/main" id="{00000000-0008-0000-0300-00001102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0" name="Straight Connector 529">
                          <a:extLst>
                            <a:ext uri="{FF2B5EF4-FFF2-40B4-BE49-F238E27FC236}">
                              <a16:creationId xmlns:a16="http://schemas.microsoft.com/office/drawing/2014/main" id="{00000000-0008-0000-0300-00001202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1" name="Straight Connector 530">
                          <a:extLst>
                            <a:ext uri="{FF2B5EF4-FFF2-40B4-BE49-F238E27FC236}">
                              <a16:creationId xmlns:a16="http://schemas.microsoft.com/office/drawing/2014/main" id="{00000000-0008-0000-0300-00001302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 name="Straight Connector 531">
                          <a:extLst>
                            <a:ext uri="{FF2B5EF4-FFF2-40B4-BE49-F238E27FC236}">
                              <a16:creationId xmlns:a16="http://schemas.microsoft.com/office/drawing/2014/main" id="{00000000-0008-0000-0300-00001402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3" name="Straight Connector 532">
                          <a:extLst>
                            <a:ext uri="{FF2B5EF4-FFF2-40B4-BE49-F238E27FC236}">
                              <a16:creationId xmlns:a16="http://schemas.microsoft.com/office/drawing/2014/main" id="{00000000-0008-0000-0300-00001502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4" name="Straight Connector 533">
                          <a:extLst>
                            <a:ext uri="{FF2B5EF4-FFF2-40B4-BE49-F238E27FC236}">
                              <a16:creationId xmlns:a16="http://schemas.microsoft.com/office/drawing/2014/main" id="{00000000-0008-0000-0300-00001602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5" name="Straight Connector 534">
                          <a:extLst>
                            <a:ext uri="{FF2B5EF4-FFF2-40B4-BE49-F238E27FC236}">
                              <a16:creationId xmlns:a16="http://schemas.microsoft.com/office/drawing/2014/main" id="{00000000-0008-0000-0300-00001702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6" name="Straight Connector 535">
                          <a:extLst>
                            <a:ext uri="{FF2B5EF4-FFF2-40B4-BE49-F238E27FC236}">
                              <a16:creationId xmlns:a16="http://schemas.microsoft.com/office/drawing/2014/main" id="{00000000-0008-0000-0300-00001802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7" name="Straight Connector 536">
                          <a:extLst>
                            <a:ext uri="{FF2B5EF4-FFF2-40B4-BE49-F238E27FC236}">
                              <a16:creationId xmlns:a16="http://schemas.microsoft.com/office/drawing/2014/main" id="{00000000-0008-0000-0300-00001902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8" name="Straight Connector 537">
                          <a:extLst>
                            <a:ext uri="{FF2B5EF4-FFF2-40B4-BE49-F238E27FC236}">
                              <a16:creationId xmlns:a16="http://schemas.microsoft.com/office/drawing/2014/main" id="{00000000-0008-0000-0300-00001A02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9" name="Straight Connector 538">
                          <a:extLst>
                            <a:ext uri="{FF2B5EF4-FFF2-40B4-BE49-F238E27FC236}">
                              <a16:creationId xmlns:a16="http://schemas.microsoft.com/office/drawing/2014/main" id="{00000000-0008-0000-0300-00001B02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0" name="Straight Connector 539">
                          <a:extLst>
                            <a:ext uri="{FF2B5EF4-FFF2-40B4-BE49-F238E27FC236}">
                              <a16:creationId xmlns:a16="http://schemas.microsoft.com/office/drawing/2014/main" id="{00000000-0008-0000-0300-00001C02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1" name="Straight Connector 540">
                          <a:extLst>
                            <a:ext uri="{FF2B5EF4-FFF2-40B4-BE49-F238E27FC236}">
                              <a16:creationId xmlns:a16="http://schemas.microsoft.com/office/drawing/2014/main" id="{00000000-0008-0000-0300-00001D02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2" name="Straight Connector 541">
                          <a:extLst>
                            <a:ext uri="{FF2B5EF4-FFF2-40B4-BE49-F238E27FC236}">
                              <a16:creationId xmlns:a16="http://schemas.microsoft.com/office/drawing/2014/main" id="{00000000-0008-0000-0300-00001E02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3" name="Straight Connector 542">
                          <a:extLst>
                            <a:ext uri="{FF2B5EF4-FFF2-40B4-BE49-F238E27FC236}">
                              <a16:creationId xmlns:a16="http://schemas.microsoft.com/office/drawing/2014/main" id="{00000000-0008-0000-0300-00001F02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92" name="Straight Connector 491">
                        <a:extLst>
                          <a:ext uri="{FF2B5EF4-FFF2-40B4-BE49-F238E27FC236}">
                            <a16:creationId xmlns:a16="http://schemas.microsoft.com/office/drawing/2014/main" id="{00000000-0008-0000-0300-0000EC01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3" name="Straight Connector 492">
                        <a:extLst>
                          <a:ext uri="{FF2B5EF4-FFF2-40B4-BE49-F238E27FC236}">
                            <a16:creationId xmlns:a16="http://schemas.microsoft.com/office/drawing/2014/main" id="{00000000-0008-0000-0300-0000ED01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4" name="Straight Connector 493">
                        <a:extLst>
                          <a:ext uri="{FF2B5EF4-FFF2-40B4-BE49-F238E27FC236}">
                            <a16:creationId xmlns:a16="http://schemas.microsoft.com/office/drawing/2014/main" id="{00000000-0008-0000-0300-0000EE01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5" name="Straight Connector 494">
                        <a:extLst>
                          <a:ext uri="{FF2B5EF4-FFF2-40B4-BE49-F238E27FC236}">
                            <a16:creationId xmlns:a16="http://schemas.microsoft.com/office/drawing/2014/main" id="{00000000-0008-0000-0300-0000EF01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6" name="Straight Connector 495">
                        <a:extLst>
                          <a:ext uri="{FF2B5EF4-FFF2-40B4-BE49-F238E27FC236}">
                            <a16:creationId xmlns:a16="http://schemas.microsoft.com/office/drawing/2014/main" id="{00000000-0008-0000-0300-0000F001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5" name="Freeform: Shape 484">
                      <a:extLst>
                        <a:ext uri="{FF2B5EF4-FFF2-40B4-BE49-F238E27FC236}">
                          <a16:creationId xmlns:a16="http://schemas.microsoft.com/office/drawing/2014/main" id="{00000000-0008-0000-0300-0000E5010000}"/>
                        </a:ext>
                      </a:extLst>
                    </xdr:cNvPr>
                    <xdr:cNvSpPr/>
                  </xdr:nvSpPr>
                  <xdr:spPr>
                    <a:xfrm>
                      <a:off x="9037065"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86" name="Thought Bubble: Cloud 485">
                      <a:extLst>
                        <a:ext uri="{FF2B5EF4-FFF2-40B4-BE49-F238E27FC236}">
                          <a16:creationId xmlns:a16="http://schemas.microsoft.com/office/drawing/2014/main" id="{00000000-0008-0000-0300-0000E6010000}"/>
                        </a:ext>
                      </a:extLst>
                    </xdr:cNvPr>
                    <xdr:cNvSpPr/>
                  </xdr:nvSpPr>
                  <xdr:spPr>
                    <a:xfrm rot="13918322">
                      <a:off x="9489153" y="12252106"/>
                      <a:ext cx="119478" cy="279889"/>
                    </a:xfrm>
                    <a:prstGeom prst="cloudCallout">
                      <a:avLst/>
                    </a:prstGeom>
                    <a:blipFill>
                      <a:blip xmlns:r="http://schemas.openxmlformats.org/officeDocument/2006/relationships" r:embed="rId14"/>
                      <a:tile tx="0" ty="0" sx="100000" sy="100000" flip="none" algn="tl"/>
                    </a:blip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7" name="Group 486">
                      <a:extLst>
                        <a:ext uri="{FF2B5EF4-FFF2-40B4-BE49-F238E27FC236}">
                          <a16:creationId xmlns:a16="http://schemas.microsoft.com/office/drawing/2014/main" id="{00000000-0008-0000-0300-0000E7010000}"/>
                        </a:ext>
                      </a:extLst>
                    </xdr:cNvPr>
                    <xdr:cNvGrpSpPr/>
                  </xdr:nvGrpSpPr>
                  <xdr:grpSpPr>
                    <a:xfrm>
                      <a:off x="10125231" y="14217311"/>
                      <a:ext cx="138113" cy="735113"/>
                      <a:chOff x="267525" y="2709889"/>
                      <a:chExt cx="138113" cy="2470757"/>
                    </a:xfrm>
                  </xdr:grpSpPr>
                  <xdr:cxnSp macro="">
                    <xdr:nvCxnSpPr>
                      <xdr:cNvPr id="488" name="Straight Connector 487">
                        <a:extLst>
                          <a:ext uri="{FF2B5EF4-FFF2-40B4-BE49-F238E27FC236}">
                            <a16:creationId xmlns:a16="http://schemas.microsoft.com/office/drawing/2014/main" id="{00000000-0008-0000-0300-0000E8010000}"/>
                          </a:ext>
                        </a:extLst>
                      </xdr:cNvPr>
                      <xdr:cNvCxnSpPr/>
                    </xdr:nvCxnSpPr>
                    <xdr:spPr>
                      <a:xfrm flipV="1">
                        <a:off x="334203" y="2709889"/>
                        <a:ext cx="0" cy="2470747"/>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89" name="Straight Connector 488">
                        <a:extLst>
                          <a:ext uri="{FF2B5EF4-FFF2-40B4-BE49-F238E27FC236}">
                            <a16:creationId xmlns:a16="http://schemas.microsoft.com/office/drawing/2014/main" id="{00000000-0008-0000-0300-0000E9010000}"/>
                          </a:ext>
                        </a:extLst>
                      </xdr:cNvPr>
                      <xdr:cNvCxnSpPr/>
                    </xdr:nvCxnSpPr>
                    <xdr:spPr>
                      <a:xfrm flipH="1">
                        <a:off x="267525" y="270989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90" name="Straight Connector 489">
                        <a:extLst>
                          <a:ext uri="{FF2B5EF4-FFF2-40B4-BE49-F238E27FC236}">
                            <a16:creationId xmlns:a16="http://schemas.microsoft.com/office/drawing/2014/main" id="{00000000-0008-0000-0300-0000EA010000}"/>
                          </a:ext>
                        </a:extLst>
                      </xdr:cNvPr>
                      <xdr:cNvCxnSpPr/>
                    </xdr:nvCxnSpPr>
                    <xdr:spPr>
                      <a:xfrm flipH="1">
                        <a:off x="272288" y="518064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50" name="TextBox 385">
                    <a:extLst>
                      <a:ext uri="{FF2B5EF4-FFF2-40B4-BE49-F238E27FC236}">
                        <a16:creationId xmlns:a16="http://schemas.microsoft.com/office/drawing/2014/main" id="{00000000-0008-0000-0300-0000C2010000}"/>
                      </a:ext>
                    </a:extLst>
                  </xdr:cNvPr>
                  <xdr:cNvSpPr txBox="1"/>
                </xdr:nvSpPr>
                <xdr:spPr>
                  <a:xfrm>
                    <a:off x="7015942" y="13382592"/>
                    <a:ext cx="456199"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U</a:t>
                    </a:r>
                    <a:r>
                      <a:rPr lang="en-US" sz="1400" b="1" i="1" baseline="-25000">
                        <a:latin typeface="Times New Roman" panose="02020603050405020304" pitchFamily="18" charset="0"/>
                        <a:cs typeface="Times New Roman" panose="02020603050405020304" pitchFamily="18" charset="0"/>
                      </a:rPr>
                      <a:t>gw</a:t>
                    </a:r>
                  </a:p>
                </xdr:txBody>
              </xdr:sp>
            </xdr:grpSp>
            <xdr:sp macro="" textlink="$O$42">
              <xdr:nvSpPr>
                <xdr:cNvPr id="444" name="TextBox 443">
                  <a:extLst>
                    <a:ext uri="{FF2B5EF4-FFF2-40B4-BE49-F238E27FC236}">
                      <a16:creationId xmlns:a16="http://schemas.microsoft.com/office/drawing/2014/main" id="{00000000-0008-0000-0300-0000BC010000}"/>
                    </a:ext>
                  </a:extLst>
                </xdr:cNvPr>
                <xdr:cNvSpPr txBox="1"/>
              </xdr:nvSpPr>
              <xdr:spPr>
                <a:xfrm>
                  <a:off x="9447571" y="12337656"/>
                  <a:ext cx="990387" cy="217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D818CF-C1E9-4A42-B2A9-BB0F50C33EBE}"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4">
              <xdr:nvSpPr>
                <xdr:cNvPr id="445" name="TextBox 444">
                  <a:extLst>
                    <a:ext uri="{FF2B5EF4-FFF2-40B4-BE49-F238E27FC236}">
                      <a16:creationId xmlns:a16="http://schemas.microsoft.com/office/drawing/2014/main" id="{00000000-0008-0000-0300-0000BD010000}"/>
                    </a:ext>
                  </a:extLst>
                </xdr:cNvPr>
                <xdr:cNvSpPr txBox="1"/>
              </xdr:nvSpPr>
              <xdr:spPr>
                <a:xfrm>
                  <a:off x="8526760" y="13521184"/>
                  <a:ext cx="1081396" cy="235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59EDDD4-618E-48EC-B72B-049FB2D8A103}" type="TxLink">
                    <a:rPr lang="en-US" sz="11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5">
              <xdr:nvSpPr>
                <xdr:cNvPr id="446" name="TextBox 445">
                  <a:extLst>
                    <a:ext uri="{FF2B5EF4-FFF2-40B4-BE49-F238E27FC236}">
                      <a16:creationId xmlns:a16="http://schemas.microsoft.com/office/drawing/2014/main" id="{00000000-0008-0000-0300-0000BE010000}"/>
                    </a:ext>
                  </a:extLst>
                </xdr:cNvPr>
                <xdr:cNvSpPr txBox="1"/>
              </xdr:nvSpPr>
              <xdr:spPr>
                <a:xfrm>
                  <a:off x="9841008" y="13910955"/>
                  <a:ext cx="997699" cy="217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95DF1A-0C31-4C51-872B-A7AC6775F9CD}"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6">
              <xdr:nvSpPr>
                <xdr:cNvPr id="447" name="TextBox 446">
                  <a:extLst>
                    <a:ext uri="{FF2B5EF4-FFF2-40B4-BE49-F238E27FC236}">
                      <a16:creationId xmlns:a16="http://schemas.microsoft.com/office/drawing/2014/main" id="{00000000-0008-0000-0300-0000BF010000}"/>
                    </a:ext>
                  </a:extLst>
                </xdr:cNvPr>
                <xdr:cNvSpPr txBox="1"/>
              </xdr:nvSpPr>
              <xdr:spPr>
                <a:xfrm>
                  <a:off x="10710291" y="13350140"/>
                  <a:ext cx="1802241" cy="284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EA7BA1-6AAE-45DE-BBA1-7B8318A76865}" type="TxLink">
                    <a:rPr lang="en-US" sz="1200" b="1" i="0" u="none" strike="noStrike">
                      <a:solidFill>
                        <a:srgbClr val="000000"/>
                      </a:solidFill>
                      <a:latin typeface="Times New Roman"/>
                      <a:cs typeface="Times New Roman"/>
                    </a:rPr>
                    <a:pPr/>
                    <a:t> </a:t>
                  </a:fld>
                  <a:endParaRPr lang="en-US" sz="1600" b="1">
                    <a:latin typeface="Times New Roman" panose="02020603050405020304" pitchFamily="18" charset="0"/>
                    <a:cs typeface="Times New Roman" panose="02020603050405020304" pitchFamily="18" charset="0"/>
                  </a:endParaRPr>
                </a:p>
              </xdr:txBody>
            </xdr:sp>
            <xdr:sp macro="" textlink="$O$43">
              <xdr:nvSpPr>
                <xdr:cNvPr id="448" name="TextBox 447">
                  <a:extLst>
                    <a:ext uri="{FF2B5EF4-FFF2-40B4-BE49-F238E27FC236}">
                      <a16:creationId xmlns:a16="http://schemas.microsoft.com/office/drawing/2014/main" id="{00000000-0008-0000-0300-0000C0010000}"/>
                    </a:ext>
                  </a:extLst>
                </xdr:cNvPr>
                <xdr:cNvSpPr txBox="1"/>
              </xdr:nvSpPr>
              <xdr:spPr>
                <a:xfrm>
                  <a:off x="7204642" y="13604149"/>
                  <a:ext cx="1189516" cy="285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629B06-7625-421B-8E6F-2CB17E513196}"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grpSp>
          <xdr:sp macro="" textlink="">
            <xdr:nvSpPr>
              <xdr:cNvPr id="441" name="TextBox 377">
                <a:extLst>
                  <a:ext uri="{FF2B5EF4-FFF2-40B4-BE49-F238E27FC236}">
                    <a16:creationId xmlns:a16="http://schemas.microsoft.com/office/drawing/2014/main" id="{00000000-0008-0000-0300-0000B9010000}"/>
                  </a:ext>
                </a:extLst>
              </xdr:cNvPr>
              <xdr:cNvSpPr txBox="1"/>
            </xdr:nvSpPr>
            <xdr:spPr>
              <a:xfrm>
                <a:off x="10167643" y="12862739"/>
                <a:ext cx="361647"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I</a:t>
                </a:r>
                <a:r>
                  <a:rPr lang="en-US" sz="1400" b="1" i="1" baseline="-25000">
                    <a:latin typeface="Times New Roman" panose="02020603050405020304" pitchFamily="18" charset="0"/>
                    <a:cs typeface="Times New Roman" panose="02020603050405020304" pitchFamily="18" charset="0"/>
                  </a:rPr>
                  <a:t>f</a:t>
                </a:r>
              </a:p>
            </xdr:txBody>
          </xdr:sp>
          <xdr:sp macro="" textlink="$O$47">
            <xdr:nvSpPr>
              <xdr:cNvPr id="442" name="TextBox 441">
                <a:extLst>
                  <a:ext uri="{FF2B5EF4-FFF2-40B4-BE49-F238E27FC236}">
                    <a16:creationId xmlns:a16="http://schemas.microsoft.com/office/drawing/2014/main" id="{00000000-0008-0000-0300-0000BA010000}"/>
                  </a:ext>
                </a:extLst>
              </xdr:cNvPr>
              <xdr:cNvSpPr txBox="1"/>
            </xdr:nvSpPr>
            <xdr:spPr>
              <a:xfrm>
                <a:off x="10351339" y="12875090"/>
                <a:ext cx="1099071" cy="217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D2A784-663C-4B63-A89C-C4AC4B57B74E}" type="TxLink">
                  <a:rPr lang="en-US" sz="1200" b="1" i="0" u="none" strike="noStrike">
                    <a:solidFill>
                      <a:srgbClr val="000000"/>
                    </a:solidFill>
                    <a:latin typeface="Times New Roman"/>
                    <a:cs typeface="Times New Roman"/>
                  </a:rPr>
                  <a:pPr/>
                  <a:t> </a:t>
                </a:fld>
                <a:endParaRPr lang="en-US" sz="1600" b="1">
                  <a:latin typeface="Times New Roman" panose="02020603050405020304" pitchFamily="18" charset="0"/>
                  <a:cs typeface="Times New Roman" panose="02020603050405020304" pitchFamily="18" charset="0"/>
                </a:endParaRPr>
              </a:p>
            </xdr:txBody>
          </xdr:sp>
        </xdr:grpSp>
      </xdr:grpSp>
      <xdr:sp macro="" textlink="">
        <xdr:nvSpPr>
          <xdr:cNvPr id="431" name="TextBox 110">
            <a:extLst>
              <a:ext uri="{FF2B5EF4-FFF2-40B4-BE49-F238E27FC236}">
                <a16:creationId xmlns:a16="http://schemas.microsoft.com/office/drawing/2014/main" id="{00000000-0008-0000-0300-0000AF010000}"/>
              </a:ext>
            </a:extLst>
          </xdr:cNvPr>
          <xdr:cNvSpPr txBox="1"/>
        </xdr:nvSpPr>
        <xdr:spPr>
          <a:xfrm>
            <a:off x="9604439" y="10757959"/>
            <a:ext cx="1656229"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PFAS-contaminated site</a:t>
            </a:r>
          </a:p>
        </xdr:txBody>
      </xdr:sp>
      <xdr:cxnSp macro="">
        <xdr:nvCxnSpPr>
          <xdr:cNvPr id="432" name="Straight Arrow Connector 431">
            <a:extLst>
              <a:ext uri="{FF2B5EF4-FFF2-40B4-BE49-F238E27FC236}">
                <a16:creationId xmlns:a16="http://schemas.microsoft.com/office/drawing/2014/main" id="{00000000-0008-0000-0300-0000B0010000}"/>
              </a:ext>
            </a:extLst>
          </xdr:cNvPr>
          <xdr:cNvCxnSpPr>
            <a:cxnSpLocks/>
          </xdr:cNvCxnSpPr>
        </xdr:nvCxnSpPr>
        <xdr:spPr>
          <a:xfrm flipH="1">
            <a:off x="9376834" y="11057315"/>
            <a:ext cx="555625" cy="49741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3" name="Rectangle 432">
            <a:extLst>
              <a:ext uri="{FF2B5EF4-FFF2-40B4-BE49-F238E27FC236}">
                <a16:creationId xmlns:a16="http://schemas.microsoft.com/office/drawing/2014/main" id="{00000000-0008-0000-0300-0000B1010000}"/>
              </a:ext>
            </a:extLst>
          </xdr:cNvPr>
          <xdr:cNvSpPr/>
        </xdr:nvSpPr>
        <xdr:spPr>
          <a:xfrm>
            <a:off x="10341533" y="11801011"/>
            <a:ext cx="98926" cy="1703041"/>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34" name="Cylinder 433">
            <a:extLst>
              <a:ext uri="{FF2B5EF4-FFF2-40B4-BE49-F238E27FC236}">
                <a16:creationId xmlns:a16="http://schemas.microsoft.com/office/drawing/2014/main" id="{00000000-0008-0000-0300-0000B2010000}"/>
              </a:ext>
            </a:extLst>
          </xdr:cNvPr>
          <xdr:cNvSpPr/>
        </xdr:nvSpPr>
        <xdr:spPr>
          <a:xfrm>
            <a:off x="10337028" y="13473445"/>
            <a:ext cx="114572" cy="403250"/>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35" name="Picture 434">
            <a:extLst>
              <a:ext uri="{FF2B5EF4-FFF2-40B4-BE49-F238E27FC236}">
                <a16:creationId xmlns:a16="http://schemas.microsoft.com/office/drawing/2014/main" id="{00000000-0008-0000-0300-0000B301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flipH="1">
            <a:off x="10096501" y="11313584"/>
            <a:ext cx="497825" cy="490849"/>
          </a:xfrm>
          <a:prstGeom prst="rect">
            <a:avLst/>
          </a:prstGeom>
          <a:effectLst>
            <a:glow rad="228600">
              <a:schemeClr val="bg1">
                <a:alpha val="40000"/>
              </a:schemeClr>
            </a:glow>
          </a:effectLst>
        </xdr:spPr>
      </xdr:pic>
      <xdr:cxnSp macro="">
        <xdr:nvCxnSpPr>
          <xdr:cNvPr id="436" name="Straight Arrow Connector 435">
            <a:extLst>
              <a:ext uri="{FF2B5EF4-FFF2-40B4-BE49-F238E27FC236}">
                <a16:creationId xmlns:a16="http://schemas.microsoft.com/office/drawing/2014/main" id="{00000000-0008-0000-0300-0000B4010000}"/>
              </a:ext>
            </a:extLst>
          </xdr:cNvPr>
          <xdr:cNvCxnSpPr>
            <a:cxnSpLocks/>
            <a:stCxn id="437" idx="1"/>
          </xdr:cNvCxnSpPr>
        </xdr:nvCxnSpPr>
        <xdr:spPr>
          <a:xfrm flipH="1" flipV="1">
            <a:off x="10498667" y="12059708"/>
            <a:ext cx="541704" cy="589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7" name="TextBox 110">
            <a:extLst>
              <a:ext uri="{FF2B5EF4-FFF2-40B4-BE49-F238E27FC236}">
                <a16:creationId xmlns:a16="http://schemas.microsoft.com/office/drawing/2014/main" id="{00000000-0008-0000-0300-0000B5010000}"/>
              </a:ext>
            </a:extLst>
          </xdr:cNvPr>
          <xdr:cNvSpPr txBox="1"/>
        </xdr:nvSpPr>
        <xdr:spPr>
          <a:xfrm>
            <a:off x="11040371" y="11838220"/>
            <a:ext cx="1404235"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grpSp>
    <xdr:clientData/>
  </xdr:twoCellAnchor>
  <xdr:twoCellAnchor>
    <xdr:from>
      <xdr:col>11</xdr:col>
      <xdr:colOff>391583</xdr:colOff>
      <xdr:row>220</xdr:row>
      <xdr:rowOff>121636</xdr:rowOff>
    </xdr:from>
    <xdr:to>
      <xdr:col>14</xdr:col>
      <xdr:colOff>5291</xdr:colOff>
      <xdr:row>221</xdr:row>
      <xdr:rowOff>158678</xdr:rowOff>
    </xdr:to>
    <xdr:sp macro="" textlink="">
      <xdr:nvSpPr>
        <xdr:cNvPr id="692" name="TextBox 691">
          <a:extLst>
            <a:ext uri="{FF2B5EF4-FFF2-40B4-BE49-F238E27FC236}">
              <a16:creationId xmlns:a16="http://schemas.microsoft.com/office/drawing/2014/main" id="{00000000-0008-0000-0300-0000B4020000}"/>
            </a:ext>
          </a:extLst>
        </xdr:cNvPr>
        <xdr:cNvSpPr txBox="1"/>
      </xdr:nvSpPr>
      <xdr:spPr>
        <a:xfrm>
          <a:off x="7516283" y="39197949"/>
          <a:ext cx="1556808" cy="213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a:latin typeface="Times New Roman" panose="02020603050405020304" pitchFamily="18" charset="0"/>
              <a:cs typeface="Times New Roman" panose="02020603050405020304" pitchFamily="18" charset="0"/>
            </a:rPr>
            <a:t>*Dimensions not</a:t>
          </a:r>
          <a:r>
            <a:rPr lang="en-US" sz="1000" b="1" i="1" baseline="0">
              <a:latin typeface="Times New Roman" panose="02020603050405020304" pitchFamily="18" charset="0"/>
              <a:cs typeface="Times New Roman" panose="02020603050405020304" pitchFamily="18" charset="0"/>
            </a:rPr>
            <a:t> to scale</a:t>
          </a:r>
          <a:endParaRPr lang="en-US" sz="1000" b="1" i="1">
            <a:latin typeface="Times New Roman" panose="02020603050405020304" pitchFamily="18" charset="0"/>
            <a:cs typeface="Times New Roman" panose="02020603050405020304" pitchFamily="18" charset="0"/>
          </a:endParaRPr>
        </a:p>
      </xdr:txBody>
    </xdr:sp>
    <xdr:clientData/>
  </xdr:twoCellAnchor>
  <xdr:twoCellAnchor>
    <xdr:from>
      <xdr:col>0</xdr:col>
      <xdr:colOff>338667</xdr:colOff>
      <xdr:row>204</xdr:row>
      <xdr:rowOff>26458</xdr:rowOff>
    </xdr:from>
    <xdr:to>
      <xdr:col>10</xdr:col>
      <xdr:colOff>59269</xdr:colOff>
      <xdr:row>206</xdr:row>
      <xdr:rowOff>157163</xdr:rowOff>
    </xdr:to>
    <xdr:sp macro="" textlink="">
      <xdr:nvSpPr>
        <xdr:cNvPr id="693" name="TextBox 692">
          <a:extLst>
            <a:ext uri="{FF2B5EF4-FFF2-40B4-BE49-F238E27FC236}">
              <a16:creationId xmlns:a16="http://schemas.microsoft.com/office/drawing/2014/main" id="{00000000-0008-0000-0300-0000B5020000}"/>
            </a:ext>
          </a:extLst>
        </xdr:cNvPr>
        <xdr:cNvSpPr txBox="1"/>
      </xdr:nvSpPr>
      <xdr:spPr>
        <a:xfrm>
          <a:off x="338667" y="36283371"/>
          <a:ext cx="6197602" cy="48313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All input parameter values used to compute the Dilution Factor will populate within the adjacent conceptual diagram, on the "</a:t>
          </a:r>
          <a:r>
            <a:rPr lang="en-US" sz="1200" b="1" i="1" baseline="0">
              <a:latin typeface="Times New Roman" panose="02020603050405020304" pitchFamily="18" charset="0"/>
              <a:cs typeface="Times New Roman" panose="02020603050405020304" pitchFamily="18" charset="0"/>
            </a:rPr>
            <a:t>Inputs</a:t>
          </a:r>
          <a:r>
            <a:rPr lang="en-US" sz="1200" b="0" i="0" baseline="0">
              <a:latin typeface="Times New Roman" panose="02020603050405020304" pitchFamily="18" charset="0"/>
              <a:cs typeface="Times New Roman" panose="02020603050405020304" pitchFamily="18" charset="0"/>
            </a:rPr>
            <a:t>" worksheet</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10</xdr:col>
      <xdr:colOff>59269</xdr:colOff>
      <xdr:row>205</xdr:row>
      <xdr:rowOff>91812</xdr:rowOff>
    </xdr:from>
    <xdr:to>
      <xdr:col>12</xdr:col>
      <xdr:colOff>132292</xdr:colOff>
      <xdr:row>208</xdr:row>
      <xdr:rowOff>52916</xdr:rowOff>
    </xdr:to>
    <xdr:cxnSp macro="">
      <xdr:nvCxnSpPr>
        <xdr:cNvPr id="694" name="Straight Arrow Connector 693">
          <a:extLst>
            <a:ext uri="{FF2B5EF4-FFF2-40B4-BE49-F238E27FC236}">
              <a16:creationId xmlns:a16="http://schemas.microsoft.com/office/drawing/2014/main" id="{00000000-0008-0000-0300-0000B6020000}"/>
            </a:ext>
          </a:extLst>
        </xdr:cNvPr>
        <xdr:cNvCxnSpPr>
          <a:stCxn id="693" idx="3"/>
        </xdr:cNvCxnSpPr>
      </xdr:nvCxnSpPr>
      <xdr:spPr>
        <a:xfrm>
          <a:off x="6536269" y="36524937"/>
          <a:ext cx="1368423" cy="48974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232833</xdr:colOff>
      <xdr:row>206</xdr:row>
      <xdr:rowOff>10583</xdr:rowOff>
    </xdr:from>
    <xdr:to>
      <xdr:col>12</xdr:col>
      <xdr:colOff>529167</xdr:colOff>
      <xdr:row>217</xdr:row>
      <xdr:rowOff>37042</xdr:rowOff>
    </xdr:to>
    <xdr:cxnSp macro="">
      <xdr:nvCxnSpPr>
        <xdr:cNvPr id="695" name="Straight Arrow Connector 694">
          <a:extLst>
            <a:ext uri="{FF2B5EF4-FFF2-40B4-BE49-F238E27FC236}">
              <a16:creationId xmlns:a16="http://schemas.microsoft.com/office/drawing/2014/main" id="{00000000-0008-0000-0300-0000B7020000}"/>
            </a:ext>
          </a:extLst>
        </xdr:cNvPr>
        <xdr:cNvCxnSpPr/>
      </xdr:nvCxnSpPr>
      <xdr:spPr>
        <a:xfrm>
          <a:off x="6062133" y="36619921"/>
          <a:ext cx="2239434" cy="196479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213782</xdr:colOff>
      <xdr:row>200</xdr:row>
      <xdr:rowOff>132820</xdr:rowOff>
    </xdr:from>
    <xdr:to>
      <xdr:col>1</xdr:col>
      <xdr:colOff>213782</xdr:colOff>
      <xdr:row>202</xdr:row>
      <xdr:rowOff>169861</xdr:rowOff>
    </xdr:to>
    <xdr:cxnSp macro="">
      <xdr:nvCxnSpPr>
        <xdr:cNvPr id="696" name="Straight Arrow Connector 695">
          <a:extLst>
            <a:ext uri="{FF2B5EF4-FFF2-40B4-BE49-F238E27FC236}">
              <a16:creationId xmlns:a16="http://schemas.microsoft.com/office/drawing/2014/main" id="{00000000-0008-0000-0300-0000B8020000}"/>
            </a:ext>
          </a:extLst>
        </xdr:cNvPr>
        <xdr:cNvCxnSpPr/>
      </xdr:nvCxnSpPr>
      <xdr:spPr>
        <a:xfrm>
          <a:off x="861482" y="35684883"/>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227542</xdr:colOff>
      <xdr:row>207</xdr:row>
      <xdr:rowOff>100542</xdr:rowOff>
    </xdr:from>
    <xdr:to>
      <xdr:col>1</xdr:col>
      <xdr:colOff>227542</xdr:colOff>
      <xdr:row>215</xdr:row>
      <xdr:rowOff>95250</xdr:rowOff>
    </xdr:to>
    <xdr:cxnSp macro="">
      <xdr:nvCxnSpPr>
        <xdr:cNvPr id="697" name="Straight Arrow Connector 696">
          <a:extLst>
            <a:ext uri="{FF2B5EF4-FFF2-40B4-BE49-F238E27FC236}">
              <a16:creationId xmlns:a16="http://schemas.microsoft.com/office/drawing/2014/main" id="{00000000-0008-0000-0300-0000B9020000}"/>
            </a:ext>
          </a:extLst>
        </xdr:cNvPr>
        <xdr:cNvCxnSpPr/>
      </xdr:nvCxnSpPr>
      <xdr:spPr>
        <a:xfrm flipH="1">
          <a:off x="875242" y="36886092"/>
          <a:ext cx="0" cy="1404408"/>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263526</xdr:colOff>
      <xdr:row>216</xdr:row>
      <xdr:rowOff>147108</xdr:rowOff>
    </xdr:from>
    <xdr:to>
      <xdr:col>9</xdr:col>
      <xdr:colOff>629711</xdr:colOff>
      <xdr:row>218</xdr:row>
      <xdr:rowOff>95249</xdr:rowOff>
    </xdr:to>
    <xdr:sp macro="" textlink="">
      <xdr:nvSpPr>
        <xdr:cNvPr id="698" name="TextBox 697">
          <a:extLst>
            <a:ext uri="{FF2B5EF4-FFF2-40B4-BE49-F238E27FC236}">
              <a16:creationId xmlns:a16="http://schemas.microsoft.com/office/drawing/2014/main" id="{00000000-0008-0000-0300-0000BA020000}"/>
            </a:ext>
          </a:extLst>
        </xdr:cNvPr>
        <xdr:cNvSpPr txBox="1"/>
      </xdr:nvSpPr>
      <xdr:spPr>
        <a:xfrm>
          <a:off x="263526" y="38518571"/>
          <a:ext cx="6195485" cy="300566"/>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Further input on the basic aspects of the overal model scenario will need to be selected</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5</xdr:col>
      <xdr:colOff>613834</xdr:colOff>
      <xdr:row>225</xdr:row>
      <xdr:rowOff>164041</xdr:rowOff>
    </xdr:from>
    <xdr:to>
      <xdr:col>8</xdr:col>
      <xdr:colOff>455083</xdr:colOff>
      <xdr:row>228</xdr:row>
      <xdr:rowOff>58207</xdr:rowOff>
    </xdr:to>
    <xdr:sp macro="" textlink="">
      <xdr:nvSpPr>
        <xdr:cNvPr id="699" name="Oval 698">
          <a:extLst>
            <a:ext uri="{FF2B5EF4-FFF2-40B4-BE49-F238E27FC236}">
              <a16:creationId xmlns:a16="http://schemas.microsoft.com/office/drawing/2014/main" id="{00000000-0008-0000-0300-0000BB020000}"/>
            </a:ext>
          </a:extLst>
        </xdr:cNvPr>
        <xdr:cNvSpPr/>
      </xdr:nvSpPr>
      <xdr:spPr>
        <a:xfrm>
          <a:off x="3852334" y="40121416"/>
          <a:ext cx="1784349" cy="422804"/>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455083</xdr:colOff>
      <xdr:row>226</xdr:row>
      <xdr:rowOff>126999</xdr:rowOff>
    </xdr:from>
    <xdr:to>
      <xdr:col>11</xdr:col>
      <xdr:colOff>386291</xdr:colOff>
      <xdr:row>227</xdr:row>
      <xdr:rowOff>23812</xdr:rowOff>
    </xdr:to>
    <xdr:cxnSp macro="">
      <xdr:nvCxnSpPr>
        <xdr:cNvPr id="700" name="Straight Arrow Connector 699">
          <a:extLst>
            <a:ext uri="{FF2B5EF4-FFF2-40B4-BE49-F238E27FC236}">
              <a16:creationId xmlns:a16="http://schemas.microsoft.com/office/drawing/2014/main" id="{00000000-0008-0000-0300-0000BC020000}"/>
            </a:ext>
          </a:extLst>
        </xdr:cNvPr>
        <xdr:cNvCxnSpPr>
          <a:endCxn id="699" idx="6"/>
        </xdr:cNvCxnSpPr>
      </xdr:nvCxnSpPr>
      <xdr:spPr>
        <a:xfrm flipH="1">
          <a:off x="5619750" y="39904458"/>
          <a:ext cx="1867958" cy="71437"/>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407458</xdr:colOff>
      <xdr:row>225</xdr:row>
      <xdr:rowOff>169334</xdr:rowOff>
    </xdr:from>
    <xdr:to>
      <xdr:col>20</xdr:col>
      <xdr:colOff>469467</xdr:colOff>
      <xdr:row>231</xdr:row>
      <xdr:rowOff>58876</xdr:rowOff>
    </xdr:to>
    <xdr:sp macro="" textlink="">
      <xdr:nvSpPr>
        <xdr:cNvPr id="701" name="TextBox 700">
          <a:extLst>
            <a:ext uri="{FF2B5EF4-FFF2-40B4-BE49-F238E27FC236}">
              <a16:creationId xmlns:a16="http://schemas.microsoft.com/office/drawing/2014/main" id="{00000000-0008-0000-0300-0000BD020000}"/>
            </a:ext>
          </a:extLst>
        </xdr:cNvPr>
        <xdr:cNvSpPr txBox="1"/>
      </xdr:nvSpPr>
      <xdr:spPr>
        <a:xfrm>
          <a:off x="7532158" y="40126709"/>
          <a:ext cx="5891309" cy="94681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Here is where user</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inputs the acceptable PFAS concentration in groundwater</a:t>
          </a:r>
        </a:p>
      </xdr:txBody>
    </xdr:sp>
    <xdr:clientData/>
  </xdr:twoCellAnchor>
  <xdr:twoCellAnchor>
    <xdr:from>
      <xdr:col>1</xdr:col>
      <xdr:colOff>195792</xdr:colOff>
      <xdr:row>231</xdr:row>
      <xdr:rowOff>37041</xdr:rowOff>
    </xdr:from>
    <xdr:to>
      <xdr:col>1</xdr:col>
      <xdr:colOff>195792</xdr:colOff>
      <xdr:row>233</xdr:row>
      <xdr:rowOff>74082</xdr:rowOff>
    </xdr:to>
    <xdr:cxnSp macro="">
      <xdr:nvCxnSpPr>
        <xdr:cNvPr id="702" name="Straight Arrow Connector 701">
          <a:extLst>
            <a:ext uri="{FF2B5EF4-FFF2-40B4-BE49-F238E27FC236}">
              <a16:creationId xmlns:a16="http://schemas.microsoft.com/office/drawing/2014/main" id="{00000000-0008-0000-0300-0000BE020000}"/>
            </a:ext>
          </a:extLst>
        </xdr:cNvPr>
        <xdr:cNvCxnSpPr/>
      </xdr:nvCxnSpPr>
      <xdr:spPr>
        <a:xfrm>
          <a:off x="843492" y="41051691"/>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257176</xdr:colOff>
      <xdr:row>234</xdr:row>
      <xdr:rowOff>45508</xdr:rowOff>
    </xdr:from>
    <xdr:to>
      <xdr:col>9</xdr:col>
      <xdr:colOff>623361</xdr:colOff>
      <xdr:row>238</xdr:row>
      <xdr:rowOff>74083</xdr:rowOff>
    </xdr:to>
    <xdr:sp macro="" textlink="">
      <xdr:nvSpPr>
        <xdr:cNvPr id="703" name="TextBox 702">
          <a:extLst>
            <a:ext uri="{FF2B5EF4-FFF2-40B4-BE49-F238E27FC236}">
              <a16:creationId xmlns:a16="http://schemas.microsoft.com/office/drawing/2014/main" id="{00000000-0008-0000-0300-0000BF020000}"/>
            </a:ext>
          </a:extLst>
        </xdr:cNvPr>
        <xdr:cNvSpPr txBox="1"/>
      </xdr:nvSpPr>
      <xdr:spPr>
        <a:xfrm>
          <a:off x="257176" y="41588796"/>
          <a:ext cx="6195485" cy="7334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Lastly, there is a section dedicated to the sites initial vadose zone conditions.</a:t>
          </a:r>
        </a:p>
        <a:p>
          <a:endParaRPr lang="en-US" sz="1200" b="0" i="0" baseline="0">
            <a:latin typeface="Times New Roman" panose="02020603050405020304" pitchFamily="18" charset="0"/>
            <a:cs typeface="Times New Roman" panose="02020603050405020304" pitchFamily="18" charset="0"/>
          </a:endParaRPr>
        </a:p>
        <a:p>
          <a:r>
            <a:rPr lang="en-US" sz="1200" b="0" i="0">
              <a:latin typeface="Times New Roman" panose="02020603050405020304" pitchFamily="18" charset="0"/>
              <a:cs typeface="Times New Roman" panose="02020603050405020304" pitchFamily="18" charset="0"/>
            </a:rPr>
            <a:t>Users define the depth to groundwater here, as well as create</a:t>
          </a:r>
          <a:r>
            <a:rPr lang="en-US" sz="1200" b="0" i="0" baseline="0">
              <a:latin typeface="Times New Roman" panose="02020603050405020304" pitchFamily="18" charset="0"/>
              <a:cs typeface="Times New Roman" panose="02020603050405020304" pitchFamily="18" charset="0"/>
            </a:rPr>
            <a:t> the PFAS soil concentration profile.</a:t>
          </a:r>
          <a:endParaRPr lang="en-US" sz="1200" b="0" i="0">
            <a:latin typeface="Times New Roman" panose="02020603050405020304" pitchFamily="18" charset="0"/>
            <a:cs typeface="Times New Roman" panose="02020603050405020304" pitchFamily="18" charset="0"/>
          </a:endParaRPr>
        </a:p>
      </xdr:txBody>
    </xdr:sp>
    <xdr:clientData/>
  </xdr:twoCellAnchor>
  <xdr:twoCellAnchor editAs="oneCell">
    <xdr:from>
      <xdr:col>0</xdr:col>
      <xdr:colOff>317500</xdr:colOff>
      <xdr:row>239</xdr:row>
      <xdr:rowOff>89960</xdr:rowOff>
    </xdr:from>
    <xdr:to>
      <xdr:col>12</xdr:col>
      <xdr:colOff>323907</xdr:colOff>
      <xdr:row>263</xdr:row>
      <xdr:rowOff>42365</xdr:rowOff>
    </xdr:to>
    <xdr:pic>
      <xdr:nvPicPr>
        <xdr:cNvPr id="704" name="Picture 703">
          <a:extLst>
            <a:ext uri="{FF2B5EF4-FFF2-40B4-BE49-F238E27FC236}">
              <a16:creationId xmlns:a16="http://schemas.microsoft.com/office/drawing/2014/main" id="{00000000-0008-0000-0300-0000C0020000}"/>
            </a:ext>
          </a:extLst>
        </xdr:cNvPr>
        <xdr:cNvPicPr>
          <a:picLocks noChangeAspect="1"/>
        </xdr:cNvPicPr>
      </xdr:nvPicPr>
      <xdr:blipFill>
        <a:blip xmlns:r="http://schemas.openxmlformats.org/officeDocument/2006/relationships" r:embed="rId16"/>
        <a:stretch>
          <a:fillRect/>
        </a:stretch>
      </xdr:blipFill>
      <xdr:spPr>
        <a:xfrm>
          <a:off x="317500" y="42514310"/>
          <a:ext cx="7778807" cy="4181505"/>
        </a:xfrm>
        <a:prstGeom prst="rect">
          <a:avLst/>
        </a:prstGeom>
      </xdr:spPr>
    </xdr:pic>
    <xdr:clientData/>
  </xdr:twoCellAnchor>
  <xdr:twoCellAnchor>
    <xdr:from>
      <xdr:col>7</xdr:col>
      <xdr:colOff>396875</xdr:colOff>
      <xdr:row>236</xdr:row>
      <xdr:rowOff>100541</xdr:rowOff>
    </xdr:from>
    <xdr:to>
      <xdr:col>11</xdr:col>
      <xdr:colOff>365125</xdr:colOff>
      <xdr:row>241</xdr:row>
      <xdr:rowOff>132292</xdr:rowOff>
    </xdr:to>
    <xdr:cxnSp macro="">
      <xdr:nvCxnSpPr>
        <xdr:cNvPr id="705" name="Straight Arrow Connector 704">
          <a:extLst>
            <a:ext uri="{FF2B5EF4-FFF2-40B4-BE49-F238E27FC236}">
              <a16:creationId xmlns:a16="http://schemas.microsoft.com/office/drawing/2014/main" id="{00000000-0008-0000-0300-0000C1020000}"/>
            </a:ext>
          </a:extLst>
        </xdr:cNvPr>
        <xdr:cNvCxnSpPr/>
      </xdr:nvCxnSpPr>
      <xdr:spPr>
        <a:xfrm flipH="1">
          <a:off x="4930775" y="41996254"/>
          <a:ext cx="2559050" cy="91281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444500</xdr:colOff>
      <xdr:row>234</xdr:row>
      <xdr:rowOff>79375</xdr:rowOff>
    </xdr:from>
    <xdr:to>
      <xdr:col>20</xdr:col>
      <xdr:colOff>506509</xdr:colOff>
      <xdr:row>237</xdr:row>
      <xdr:rowOff>174625</xdr:rowOff>
    </xdr:to>
    <xdr:sp macro="" textlink="">
      <xdr:nvSpPr>
        <xdr:cNvPr id="706" name="TextBox 705">
          <a:extLst>
            <a:ext uri="{FF2B5EF4-FFF2-40B4-BE49-F238E27FC236}">
              <a16:creationId xmlns:a16="http://schemas.microsoft.com/office/drawing/2014/main" id="{00000000-0008-0000-0300-0000C2020000}"/>
            </a:ext>
          </a:extLst>
        </xdr:cNvPr>
        <xdr:cNvSpPr txBox="1"/>
      </xdr:nvSpPr>
      <xdr:spPr>
        <a:xfrm>
          <a:off x="7569200" y="41622663"/>
          <a:ext cx="5891309" cy="62388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Here users input depth</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-discrete PFAS soil concentrations</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 tool can work with any amount of depth discrete values</a:t>
          </a:r>
        </a:p>
      </xdr:txBody>
    </xdr:sp>
    <xdr:clientData/>
  </xdr:twoCellAnchor>
  <xdr:twoCellAnchor>
    <xdr:from>
      <xdr:col>13</xdr:col>
      <xdr:colOff>37042</xdr:colOff>
      <xdr:row>238</xdr:row>
      <xdr:rowOff>37042</xdr:rowOff>
    </xdr:from>
    <xdr:to>
      <xdr:col>22</xdr:col>
      <xdr:colOff>99051</xdr:colOff>
      <xdr:row>243</xdr:row>
      <xdr:rowOff>116418</xdr:rowOff>
    </xdr:to>
    <xdr:sp macro="" textlink="">
      <xdr:nvSpPr>
        <xdr:cNvPr id="707" name="TextBox 706">
          <a:extLst>
            <a:ext uri="{FF2B5EF4-FFF2-40B4-BE49-F238E27FC236}">
              <a16:creationId xmlns:a16="http://schemas.microsoft.com/office/drawing/2014/main" id="{00000000-0008-0000-0300-0000C3020000}"/>
            </a:ext>
          </a:extLst>
        </xdr:cNvPr>
        <xdr:cNvSpPr txBox="1"/>
      </xdr:nvSpPr>
      <xdr:spPr>
        <a:xfrm>
          <a:off x="8457142" y="42285180"/>
          <a:ext cx="5891309" cy="960438"/>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produce a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conservative interpolation </a:t>
          </a: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of the</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depth-discrete data</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The user will click this button and then be prompted to highlight the table data desired</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 </a:t>
          </a:r>
          <a:r>
            <a:rPr lang="en-US" sz="1100" b="1" i="0" u="none" strike="noStrike" baseline="0">
              <a:solidFill>
                <a:srgbClr val="00B050"/>
              </a:solidFill>
              <a:effectLst/>
              <a:latin typeface="Times New Roman" panose="02020603050405020304" pitchFamily="18" charset="0"/>
              <a:ea typeface="+mn-ea"/>
              <a:cs typeface="Times New Roman" panose="02020603050405020304" pitchFamily="18" charset="0"/>
            </a:rPr>
            <a:t>green frame </a:t>
          </a: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indicates the region a user would highlight, in this example</a:t>
          </a:r>
        </a:p>
      </xdr:txBody>
    </xdr:sp>
    <xdr:clientData/>
  </xdr:twoCellAnchor>
  <xdr:twoCellAnchor>
    <xdr:from>
      <xdr:col>8</xdr:col>
      <xdr:colOff>586317</xdr:colOff>
      <xdr:row>242</xdr:row>
      <xdr:rowOff>41275</xdr:rowOff>
    </xdr:from>
    <xdr:to>
      <xdr:col>10</xdr:col>
      <xdr:colOff>375709</xdr:colOff>
      <xdr:row>245</xdr:row>
      <xdr:rowOff>121709</xdr:rowOff>
    </xdr:to>
    <xdr:sp macro="" textlink="">
      <xdr:nvSpPr>
        <xdr:cNvPr id="708" name="Oval 707">
          <a:extLst>
            <a:ext uri="{FF2B5EF4-FFF2-40B4-BE49-F238E27FC236}">
              <a16:creationId xmlns:a16="http://schemas.microsoft.com/office/drawing/2014/main" id="{00000000-0008-0000-0300-0000C4020000}"/>
            </a:ext>
          </a:extLst>
        </xdr:cNvPr>
        <xdr:cNvSpPr/>
      </xdr:nvSpPr>
      <xdr:spPr>
        <a:xfrm>
          <a:off x="5767917" y="42994263"/>
          <a:ext cx="1084792" cy="609071"/>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74084</xdr:colOff>
      <xdr:row>241</xdr:row>
      <xdr:rowOff>99484</xdr:rowOff>
    </xdr:from>
    <xdr:to>
      <xdr:col>13</xdr:col>
      <xdr:colOff>41275</xdr:colOff>
      <xdr:row>242</xdr:row>
      <xdr:rowOff>42333</xdr:rowOff>
    </xdr:to>
    <xdr:cxnSp macro="">
      <xdr:nvCxnSpPr>
        <xdr:cNvPr id="709" name="Straight Arrow Connector 708">
          <a:extLst>
            <a:ext uri="{FF2B5EF4-FFF2-40B4-BE49-F238E27FC236}">
              <a16:creationId xmlns:a16="http://schemas.microsoft.com/office/drawing/2014/main" id="{00000000-0008-0000-0300-0000C5020000}"/>
            </a:ext>
          </a:extLst>
        </xdr:cNvPr>
        <xdr:cNvCxnSpPr/>
      </xdr:nvCxnSpPr>
      <xdr:spPr>
        <a:xfrm flipH="1">
          <a:off x="6551084" y="42876259"/>
          <a:ext cx="1910291" cy="11906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534457</xdr:colOff>
      <xdr:row>245</xdr:row>
      <xdr:rowOff>89960</xdr:rowOff>
    </xdr:from>
    <xdr:to>
      <xdr:col>8</xdr:col>
      <xdr:colOff>492124</xdr:colOff>
      <xdr:row>251</xdr:row>
      <xdr:rowOff>21168</xdr:rowOff>
    </xdr:to>
    <xdr:sp macro="" textlink="">
      <xdr:nvSpPr>
        <xdr:cNvPr id="710" name="Rectangle 709">
          <a:extLst>
            <a:ext uri="{FF2B5EF4-FFF2-40B4-BE49-F238E27FC236}">
              <a16:creationId xmlns:a16="http://schemas.microsoft.com/office/drawing/2014/main" id="{00000000-0008-0000-0300-0000C6020000}"/>
            </a:ext>
          </a:extLst>
        </xdr:cNvPr>
        <xdr:cNvSpPr/>
      </xdr:nvSpPr>
      <xdr:spPr>
        <a:xfrm>
          <a:off x="3772957" y="43571585"/>
          <a:ext cx="1900767" cy="988483"/>
        </a:xfrm>
        <a:prstGeom prst="rect">
          <a:avLst/>
        </a:prstGeom>
        <a:noFill/>
        <a:ln w="1905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444500</xdr:colOff>
      <xdr:row>252</xdr:row>
      <xdr:rowOff>52915</xdr:rowOff>
    </xdr:from>
    <xdr:to>
      <xdr:col>14</xdr:col>
      <xdr:colOff>324304</xdr:colOff>
      <xdr:row>265</xdr:row>
      <xdr:rowOff>100540</xdr:rowOff>
    </xdr:to>
    <xdr:pic>
      <xdr:nvPicPr>
        <xdr:cNvPr id="711" name="Picture 710">
          <a:extLst>
            <a:ext uri="{FF2B5EF4-FFF2-40B4-BE49-F238E27FC236}">
              <a16:creationId xmlns:a16="http://schemas.microsoft.com/office/drawing/2014/main" id="{00000000-0008-0000-0300-0000C7020000}"/>
            </a:ext>
          </a:extLst>
        </xdr:cNvPr>
        <xdr:cNvPicPr>
          <a:picLocks noChangeAspect="1"/>
        </xdr:cNvPicPr>
      </xdr:nvPicPr>
      <xdr:blipFill>
        <a:blip xmlns:r="http://schemas.openxmlformats.org/officeDocument/2006/relationships" r:embed="rId17"/>
        <a:stretch>
          <a:fillRect/>
        </a:stretch>
      </xdr:blipFill>
      <xdr:spPr>
        <a:xfrm>
          <a:off x="6273800" y="44768028"/>
          <a:ext cx="3118304" cy="2338387"/>
        </a:xfrm>
        <a:prstGeom prst="rect">
          <a:avLst/>
        </a:prstGeom>
      </xdr:spPr>
    </xdr:pic>
    <xdr:clientData/>
  </xdr:twoCellAnchor>
  <xdr:twoCellAnchor>
    <xdr:from>
      <xdr:col>9</xdr:col>
      <xdr:colOff>603250</xdr:colOff>
      <xdr:row>245</xdr:row>
      <xdr:rowOff>158750</xdr:rowOff>
    </xdr:from>
    <xdr:to>
      <xdr:col>10</xdr:col>
      <xdr:colOff>359834</xdr:colOff>
      <xdr:row>254</xdr:row>
      <xdr:rowOff>68791</xdr:rowOff>
    </xdr:to>
    <xdr:cxnSp macro="">
      <xdr:nvCxnSpPr>
        <xdr:cNvPr id="712" name="Straight Arrow Connector 711">
          <a:extLst>
            <a:ext uri="{FF2B5EF4-FFF2-40B4-BE49-F238E27FC236}">
              <a16:creationId xmlns:a16="http://schemas.microsoft.com/office/drawing/2014/main" id="{00000000-0008-0000-0300-0000C8020000}"/>
            </a:ext>
          </a:extLst>
        </xdr:cNvPr>
        <xdr:cNvCxnSpPr/>
      </xdr:nvCxnSpPr>
      <xdr:spPr>
        <a:xfrm>
          <a:off x="6432550" y="43640375"/>
          <a:ext cx="404284" cy="149595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185209</xdr:colOff>
      <xdr:row>243</xdr:row>
      <xdr:rowOff>105834</xdr:rowOff>
    </xdr:from>
    <xdr:to>
      <xdr:col>22</xdr:col>
      <xdr:colOff>247218</xdr:colOff>
      <xdr:row>249</xdr:row>
      <xdr:rowOff>10584</xdr:rowOff>
    </xdr:to>
    <xdr:sp macro="" textlink="">
      <xdr:nvSpPr>
        <xdr:cNvPr id="713" name="TextBox 712">
          <a:extLst>
            <a:ext uri="{FF2B5EF4-FFF2-40B4-BE49-F238E27FC236}">
              <a16:creationId xmlns:a16="http://schemas.microsoft.com/office/drawing/2014/main" id="{00000000-0008-0000-0300-0000C9020000}"/>
            </a:ext>
          </a:extLst>
        </xdr:cNvPr>
        <xdr:cNvSpPr txBox="1"/>
      </xdr:nvSpPr>
      <xdr:spPr>
        <a:xfrm>
          <a:off x="8605309" y="43235034"/>
          <a:ext cx="5891309" cy="9620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produce a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linear interpolation </a:t>
          </a: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of the</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depth-discrete data</a:t>
          </a:r>
        </a:p>
      </xdr:txBody>
    </xdr:sp>
    <xdr:clientData/>
  </xdr:twoCellAnchor>
  <xdr:twoCellAnchor>
    <xdr:from>
      <xdr:col>12</xdr:col>
      <xdr:colOff>280458</xdr:colOff>
      <xdr:row>244</xdr:row>
      <xdr:rowOff>37041</xdr:rowOff>
    </xdr:from>
    <xdr:to>
      <xdr:col>13</xdr:col>
      <xdr:colOff>195792</xdr:colOff>
      <xdr:row>244</xdr:row>
      <xdr:rowOff>68791</xdr:rowOff>
    </xdr:to>
    <xdr:cxnSp macro="">
      <xdr:nvCxnSpPr>
        <xdr:cNvPr id="714" name="Straight Arrow Connector 713">
          <a:extLst>
            <a:ext uri="{FF2B5EF4-FFF2-40B4-BE49-F238E27FC236}">
              <a16:creationId xmlns:a16="http://schemas.microsoft.com/office/drawing/2014/main" id="{00000000-0008-0000-0300-0000CA020000}"/>
            </a:ext>
          </a:extLst>
        </xdr:cNvPr>
        <xdr:cNvCxnSpPr/>
      </xdr:nvCxnSpPr>
      <xdr:spPr>
        <a:xfrm flipH="1" flipV="1">
          <a:off x="8052858" y="43342454"/>
          <a:ext cx="563034" cy="317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484718</xdr:colOff>
      <xdr:row>242</xdr:row>
      <xdr:rowOff>61384</xdr:rowOff>
    </xdr:from>
    <xdr:to>
      <xdr:col>12</xdr:col>
      <xdr:colOff>274109</xdr:colOff>
      <xdr:row>245</xdr:row>
      <xdr:rowOff>141818</xdr:rowOff>
    </xdr:to>
    <xdr:sp macro="" textlink="">
      <xdr:nvSpPr>
        <xdr:cNvPr id="715" name="Oval 714">
          <a:extLst>
            <a:ext uri="{FF2B5EF4-FFF2-40B4-BE49-F238E27FC236}">
              <a16:creationId xmlns:a16="http://schemas.microsoft.com/office/drawing/2014/main" id="{00000000-0008-0000-0300-0000CB020000}"/>
            </a:ext>
          </a:extLst>
        </xdr:cNvPr>
        <xdr:cNvSpPr/>
      </xdr:nvSpPr>
      <xdr:spPr>
        <a:xfrm>
          <a:off x="6961718" y="43014372"/>
          <a:ext cx="1084791" cy="609071"/>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486834</xdr:colOff>
      <xdr:row>252</xdr:row>
      <xdr:rowOff>58207</xdr:rowOff>
    </xdr:from>
    <xdr:to>
      <xdr:col>19</xdr:col>
      <xdr:colOff>359546</xdr:colOff>
      <xdr:row>265</xdr:row>
      <xdr:rowOff>100542</xdr:rowOff>
    </xdr:to>
    <xdr:pic>
      <xdr:nvPicPr>
        <xdr:cNvPr id="716" name="Picture 715">
          <a:extLst>
            <a:ext uri="{FF2B5EF4-FFF2-40B4-BE49-F238E27FC236}">
              <a16:creationId xmlns:a16="http://schemas.microsoft.com/office/drawing/2014/main" id="{00000000-0008-0000-0300-0000CC020000}"/>
            </a:ext>
          </a:extLst>
        </xdr:cNvPr>
        <xdr:cNvPicPr>
          <a:picLocks noChangeAspect="1"/>
        </xdr:cNvPicPr>
      </xdr:nvPicPr>
      <xdr:blipFill>
        <a:blip xmlns:r="http://schemas.openxmlformats.org/officeDocument/2006/relationships" r:embed="rId18"/>
        <a:stretch>
          <a:fillRect/>
        </a:stretch>
      </xdr:blipFill>
      <xdr:spPr>
        <a:xfrm>
          <a:off x="9554634" y="44773320"/>
          <a:ext cx="3111212" cy="2333097"/>
        </a:xfrm>
        <a:prstGeom prst="rect">
          <a:avLst/>
        </a:prstGeom>
      </xdr:spPr>
    </xdr:pic>
    <xdr:clientData/>
  </xdr:twoCellAnchor>
  <xdr:twoCellAnchor>
    <xdr:from>
      <xdr:col>12</xdr:col>
      <xdr:colOff>115865</xdr:colOff>
      <xdr:row>245</xdr:row>
      <xdr:rowOff>53319</xdr:rowOff>
    </xdr:from>
    <xdr:to>
      <xdr:col>16</xdr:col>
      <xdr:colOff>132292</xdr:colOff>
      <xdr:row>254</xdr:row>
      <xdr:rowOff>37041</xdr:rowOff>
    </xdr:to>
    <xdr:cxnSp macro="">
      <xdr:nvCxnSpPr>
        <xdr:cNvPr id="717" name="Straight Arrow Connector 716">
          <a:extLst>
            <a:ext uri="{FF2B5EF4-FFF2-40B4-BE49-F238E27FC236}">
              <a16:creationId xmlns:a16="http://schemas.microsoft.com/office/drawing/2014/main" id="{00000000-0008-0000-0300-0000CD020000}"/>
            </a:ext>
          </a:extLst>
        </xdr:cNvPr>
        <xdr:cNvCxnSpPr>
          <a:stCxn id="715" idx="5"/>
        </xdr:cNvCxnSpPr>
      </xdr:nvCxnSpPr>
      <xdr:spPr>
        <a:xfrm>
          <a:off x="7888265" y="43534944"/>
          <a:ext cx="2607227" cy="156963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269875</xdr:colOff>
      <xdr:row>245</xdr:row>
      <xdr:rowOff>95250</xdr:rowOff>
    </xdr:from>
    <xdr:to>
      <xdr:col>5</xdr:col>
      <xdr:colOff>211666</xdr:colOff>
      <xdr:row>247</xdr:row>
      <xdr:rowOff>164042</xdr:rowOff>
    </xdr:to>
    <xdr:sp macro="" textlink="">
      <xdr:nvSpPr>
        <xdr:cNvPr id="719" name="Oval 718">
          <a:extLst>
            <a:ext uri="{FF2B5EF4-FFF2-40B4-BE49-F238E27FC236}">
              <a16:creationId xmlns:a16="http://schemas.microsoft.com/office/drawing/2014/main" id="{00000000-0008-0000-0300-0000CF020000}"/>
            </a:ext>
          </a:extLst>
        </xdr:cNvPr>
        <xdr:cNvSpPr/>
      </xdr:nvSpPr>
      <xdr:spPr>
        <a:xfrm>
          <a:off x="2212975" y="43576875"/>
          <a:ext cx="1237191" cy="42121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275167</xdr:colOff>
      <xdr:row>248</xdr:row>
      <xdr:rowOff>58209</xdr:rowOff>
    </xdr:from>
    <xdr:to>
      <xdr:col>5</xdr:col>
      <xdr:colOff>216958</xdr:colOff>
      <xdr:row>251</xdr:row>
      <xdr:rowOff>0</xdr:rowOff>
    </xdr:to>
    <xdr:sp macro="" textlink="">
      <xdr:nvSpPr>
        <xdr:cNvPr id="722" name="Oval 721">
          <a:extLst>
            <a:ext uri="{FF2B5EF4-FFF2-40B4-BE49-F238E27FC236}">
              <a16:creationId xmlns:a16="http://schemas.microsoft.com/office/drawing/2014/main" id="{00000000-0008-0000-0300-0000D2020000}"/>
            </a:ext>
          </a:extLst>
        </xdr:cNvPr>
        <xdr:cNvSpPr/>
      </xdr:nvSpPr>
      <xdr:spPr>
        <a:xfrm>
          <a:off x="2218267" y="44068472"/>
          <a:ext cx="1237191" cy="470428"/>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247</xdr:row>
      <xdr:rowOff>26459</xdr:rowOff>
    </xdr:from>
    <xdr:to>
      <xdr:col>3</xdr:col>
      <xdr:colOff>269875</xdr:colOff>
      <xdr:row>265</xdr:row>
      <xdr:rowOff>5292</xdr:rowOff>
    </xdr:to>
    <xdr:cxnSp macro="">
      <xdr:nvCxnSpPr>
        <xdr:cNvPr id="723" name="Straight Arrow Connector 722">
          <a:extLst>
            <a:ext uri="{FF2B5EF4-FFF2-40B4-BE49-F238E27FC236}">
              <a16:creationId xmlns:a16="http://schemas.microsoft.com/office/drawing/2014/main" id="{00000000-0008-0000-0300-0000D3020000}"/>
            </a:ext>
          </a:extLst>
        </xdr:cNvPr>
        <xdr:cNvCxnSpPr/>
      </xdr:nvCxnSpPr>
      <xdr:spPr>
        <a:xfrm flipV="1">
          <a:off x="647700" y="43860509"/>
          <a:ext cx="1565275" cy="315065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581024</xdr:colOff>
      <xdr:row>268</xdr:row>
      <xdr:rowOff>30691</xdr:rowOff>
    </xdr:from>
    <xdr:to>
      <xdr:col>19</xdr:col>
      <xdr:colOff>232833</xdr:colOff>
      <xdr:row>273</xdr:row>
      <xdr:rowOff>110067</xdr:rowOff>
    </xdr:to>
    <xdr:sp macro="" textlink="">
      <xdr:nvSpPr>
        <xdr:cNvPr id="724" name="TextBox 723">
          <a:extLst>
            <a:ext uri="{FF2B5EF4-FFF2-40B4-BE49-F238E27FC236}">
              <a16:creationId xmlns:a16="http://schemas.microsoft.com/office/drawing/2014/main" id="{00000000-0008-0000-0300-0000D4020000}"/>
            </a:ext>
          </a:extLst>
        </xdr:cNvPr>
        <xdr:cNvSpPr txBox="1"/>
      </xdr:nvSpPr>
      <xdr:spPr>
        <a:xfrm>
          <a:off x="5114924" y="47565204"/>
          <a:ext cx="7424209" cy="960438"/>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allow a user to simluate partial</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source zone removal of PFAS from the generated concentration vector </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Simulation is done by removing all PFAS contaminants above a user-defined depth from the ground surface</a:t>
          </a:r>
        </a:p>
      </xdr:txBody>
    </xdr:sp>
    <xdr:clientData/>
  </xdr:twoCellAnchor>
  <xdr:twoCellAnchor>
    <xdr:from>
      <xdr:col>5</xdr:col>
      <xdr:colOff>121708</xdr:colOff>
      <xdr:row>250</xdr:row>
      <xdr:rowOff>84666</xdr:rowOff>
    </xdr:from>
    <xdr:to>
      <xdr:col>7</xdr:col>
      <xdr:colOff>566209</xdr:colOff>
      <xdr:row>269</xdr:row>
      <xdr:rowOff>116417</xdr:rowOff>
    </xdr:to>
    <xdr:cxnSp macro="">
      <xdr:nvCxnSpPr>
        <xdr:cNvPr id="725" name="Straight Arrow Connector 724">
          <a:extLst>
            <a:ext uri="{FF2B5EF4-FFF2-40B4-BE49-F238E27FC236}">
              <a16:creationId xmlns:a16="http://schemas.microsoft.com/office/drawing/2014/main" id="{00000000-0008-0000-0300-0000D5020000}"/>
            </a:ext>
          </a:extLst>
        </xdr:cNvPr>
        <xdr:cNvCxnSpPr/>
      </xdr:nvCxnSpPr>
      <xdr:spPr>
        <a:xfrm flipH="1" flipV="1">
          <a:off x="3360208" y="44447354"/>
          <a:ext cx="1739901" cy="33797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140758</xdr:colOff>
      <xdr:row>265</xdr:row>
      <xdr:rowOff>151341</xdr:rowOff>
    </xdr:from>
    <xdr:to>
      <xdr:col>6</xdr:col>
      <xdr:colOff>523876</xdr:colOff>
      <xdr:row>274</xdr:row>
      <xdr:rowOff>132291</xdr:rowOff>
    </xdr:to>
    <xdr:sp macro="" textlink="">
      <xdr:nvSpPr>
        <xdr:cNvPr id="726" name="TextBox 725">
          <a:extLst>
            <a:ext uri="{FF2B5EF4-FFF2-40B4-BE49-F238E27FC236}">
              <a16:creationId xmlns:a16="http://schemas.microsoft.com/office/drawing/2014/main" id="{00000000-0008-0000-0300-0000D6020000}"/>
            </a:ext>
          </a:extLst>
        </xdr:cNvPr>
        <xdr:cNvSpPr txBox="1"/>
      </xdr:nvSpPr>
      <xdr:spPr>
        <a:xfrm>
          <a:off x="140758" y="47157216"/>
          <a:ext cx="4269318" cy="1566863"/>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allow a user to edit any portion of the vector concentration profile to be a set, defined value.</a:t>
          </a:r>
        </a:p>
      </xdr:txBody>
    </xdr:sp>
    <xdr:clientData/>
  </xdr:twoCellAnchor>
  <xdr:twoCellAnchor>
    <xdr:from>
      <xdr:col>1</xdr:col>
      <xdr:colOff>164042</xdr:colOff>
      <xdr:row>276</xdr:row>
      <xdr:rowOff>0</xdr:rowOff>
    </xdr:from>
    <xdr:to>
      <xdr:col>10</xdr:col>
      <xdr:colOff>530227</xdr:colOff>
      <xdr:row>280</xdr:row>
      <xdr:rowOff>28575</xdr:rowOff>
    </xdr:to>
    <xdr:sp macro="" textlink="">
      <xdr:nvSpPr>
        <xdr:cNvPr id="728" name="TextBox 727">
          <a:extLst>
            <a:ext uri="{FF2B5EF4-FFF2-40B4-BE49-F238E27FC236}">
              <a16:creationId xmlns:a16="http://schemas.microsoft.com/office/drawing/2014/main" id="{00000000-0008-0000-0300-0000D8020000}"/>
            </a:ext>
          </a:extLst>
        </xdr:cNvPr>
        <xdr:cNvSpPr txBox="1"/>
      </xdr:nvSpPr>
      <xdr:spPr>
        <a:xfrm>
          <a:off x="811742" y="48944213"/>
          <a:ext cx="6195485" cy="7334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Once all parameters are input into the model, the user performs the derivation of an SSL and derivation of leachate and groundwater PFAS concentrations with a simple button press</a:t>
          </a:r>
        </a:p>
        <a:p>
          <a:endParaRPr lang="en-US" sz="1200" b="0" i="0" baseline="0">
            <a:latin typeface="Times New Roman" panose="02020603050405020304" pitchFamily="18" charset="0"/>
            <a:cs typeface="Times New Roman" panose="02020603050405020304" pitchFamily="18" charset="0"/>
          </a:endParaRPr>
        </a:p>
        <a:p>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xdr:col>
      <xdr:colOff>0</xdr:colOff>
      <xdr:row>279</xdr:row>
      <xdr:rowOff>68794</xdr:rowOff>
    </xdr:from>
    <xdr:to>
      <xdr:col>4</xdr:col>
      <xdr:colOff>354542</xdr:colOff>
      <xdr:row>285</xdr:row>
      <xdr:rowOff>58209</xdr:rowOff>
    </xdr:to>
    <xdr:sp macro="" textlink="">
      <xdr:nvSpPr>
        <xdr:cNvPr id="730" name="Oval 729">
          <a:extLst>
            <a:ext uri="{FF2B5EF4-FFF2-40B4-BE49-F238E27FC236}">
              <a16:creationId xmlns:a16="http://schemas.microsoft.com/office/drawing/2014/main" id="{00000000-0008-0000-0300-0000DA020000}"/>
            </a:ext>
          </a:extLst>
        </xdr:cNvPr>
        <xdr:cNvSpPr/>
      </xdr:nvSpPr>
      <xdr:spPr>
        <a:xfrm>
          <a:off x="647700" y="49541644"/>
          <a:ext cx="2297642" cy="104669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136525</xdr:colOff>
      <xdr:row>286</xdr:row>
      <xdr:rowOff>62442</xdr:rowOff>
    </xdr:from>
    <xdr:to>
      <xdr:col>10</xdr:col>
      <xdr:colOff>502710</xdr:colOff>
      <xdr:row>293</xdr:row>
      <xdr:rowOff>74084</xdr:rowOff>
    </xdr:to>
    <xdr:sp macro="" textlink="">
      <xdr:nvSpPr>
        <xdr:cNvPr id="731" name="TextBox 730">
          <a:extLst>
            <a:ext uri="{FF2B5EF4-FFF2-40B4-BE49-F238E27FC236}">
              <a16:creationId xmlns:a16="http://schemas.microsoft.com/office/drawing/2014/main" id="{00000000-0008-0000-0300-0000DB020000}"/>
            </a:ext>
          </a:extLst>
        </xdr:cNvPr>
        <xdr:cNvSpPr txBox="1"/>
      </xdr:nvSpPr>
      <xdr:spPr>
        <a:xfrm>
          <a:off x="784225" y="50768780"/>
          <a:ext cx="6195485" cy="124512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This button, when pressed, will prompt a user if any parameters required are missing.</a:t>
          </a:r>
        </a:p>
        <a:p>
          <a:endParaRPr lang="en-US" sz="1200" b="0" i="1" baseline="0">
            <a:latin typeface="Times New Roman" panose="02020603050405020304" pitchFamily="18" charset="0"/>
            <a:cs typeface="Times New Roman" panose="02020603050405020304" pitchFamily="18" charset="0"/>
          </a:endParaRPr>
        </a:p>
        <a:p>
          <a:r>
            <a:rPr lang="en-US" sz="1200" b="1" i="1" baseline="0">
              <a:latin typeface="Times New Roman" panose="02020603050405020304" pitchFamily="18" charset="0"/>
              <a:cs typeface="Times New Roman" panose="02020603050405020304" pitchFamily="18" charset="0"/>
            </a:rPr>
            <a:t>In the event the module doesn't run, please double-check user-input parameters for missing or zero values.</a:t>
          </a:r>
        </a:p>
        <a:p>
          <a:endParaRPr lang="en-US" sz="1200" b="0" i="0" baseline="0">
            <a:latin typeface="Times New Roman" panose="02020603050405020304" pitchFamily="18" charset="0"/>
            <a:cs typeface="Times New Roman" panose="02020603050405020304" pitchFamily="18" charset="0"/>
          </a:endParaRPr>
        </a:p>
        <a:p>
          <a:r>
            <a:rPr lang="en-US" sz="1200" b="1" i="0" baseline="0">
              <a:latin typeface="Times New Roman" panose="02020603050405020304" pitchFamily="18" charset="0"/>
              <a:cs typeface="Times New Roman" panose="02020603050405020304" pitchFamily="18" charset="0"/>
            </a:rPr>
            <a:t>Users then will navigate to the "Results" tab to see all model ouputs and plots.</a:t>
          </a:r>
        </a:p>
        <a:p>
          <a:endParaRPr lang="en-US" sz="1200" b="0" i="0" baseline="0">
            <a:latin typeface="Times New Roman" panose="02020603050405020304" pitchFamily="18" charset="0"/>
            <a:cs typeface="Times New Roman" panose="02020603050405020304" pitchFamily="18" charset="0"/>
          </a:endParaRPr>
        </a:p>
        <a:p>
          <a:endParaRPr lang="en-US" sz="1200" b="0" i="0" baseline="0">
            <a:latin typeface="Times New Roman" panose="02020603050405020304" pitchFamily="18" charset="0"/>
            <a:cs typeface="Times New Roman" panose="02020603050405020304" pitchFamily="18" charset="0"/>
          </a:endParaRPr>
        </a:p>
        <a:p>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0</xdr:col>
      <xdr:colOff>301625</xdr:colOff>
      <xdr:row>239</xdr:row>
      <xdr:rowOff>84667</xdr:rowOff>
    </xdr:from>
    <xdr:to>
      <xdr:col>5</xdr:col>
      <xdr:colOff>545042</xdr:colOff>
      <xdr:row>242</xdr:row>
      <xdr:rowOff>148166</xdr:rowOff>
    </xdr:to>
    <xdr:sp macro="" textlink="">
      <xdr:nvSpPr>
        <xdr:cNvPr id="766" name="Rectangle 765">
          <a:extLst>
            <a:ext uri="{FF2B5EF4-FFF2-40B4-BE49-F238E27FC236}">
              <a16:creationId xmlns:a16="http://schemas.microsoft.com/office/drawing/2014/main" id="{00000000-0008-0000-0300-0000FE020000}"/>
            </a:ext>
          </a:extLst>
        </xdr:cNvPr>
        <xdr:cNvSpPr/>
      </xdr:nvSpPr>
      <xdr:spPr>
        <a:xfrm>
          <a:off x="301625" y="42509017"/>
          <a:ext cx="3481917" cy="592137"/>
        </a:xfrm>
        <a:prstGeom prst="rect">
          <a:avLst/>
        </a:prstGeom>
        <a:solidFill>
          <a:schemeClr val="bg1">
            <a:lumMod val="85000"/>
          </a:schemeClr>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194734</xdr:colOff>
      <xdr:row>239</xdr:row>
      <xdr:rowOff>99483</xdr:rowOff>
    </xdr:from>
    <xdr:to>
      <xdr:col>1</xdr:col>
      <xdr:colOff>194734</xdr:colOff>
      <xdr:row>241</xdr:row>
      <xdr:rowOff>136524</xdr:rowOff>
    </xdr:to>
    <xdr:cxnSp macro="">
      <xdr:nvCxnSpPr>
        <xdr:cNvPr id="767" name="Straight Arrow Connector 766">
          <a:extLst>
            <a:ext uri="{FF2B5EF4-FFF2-40B4-BE49-F238E27FC236}">
              <a16:creationId xmlns:a16="http://schemas.microsoft.com/office/drawing/2014/main" id="{00000000-0008-0000-0300-0000FF020000}"/>
            </a:ext>
          </a:extLst>
        </xdr:cNvPr>
        <xdr:cNvCxnSpPr/>
      </xdr:nvCxnSpPr>
      <xdr:spPr>
        <a:xfrm>
          <a:off x="842434" y="42523833"/>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mamin/Downloads/SSL_Model_sj.xlsm" TargetMode="External"/><Relationship Id="rId1" Type="http://schemas.openxmlformats.org/officeDocument/2006/relationships/externalLinkPath" Target="file:///C:/Users/mamin/Downloads/SSL_Model_sj.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odule0_Input"/>
      <sheetName val="Module0_Output"/>
      <sheetName val="Module0_Output_Data"/>
      <sheetName val="Module1_Input"/>
      <sheetName val="Module1_Output"/>
      <sheetName val="Module1_Output_Data"/>
      <sheetName val="ReadMe2"/>
      <sheetName val="SoilData"/>
      <sheetName val="PFASData"/>
      <sheetName val="SSL_Model_sj"/>
    </sheetNames>
    <sheetDataSet>
      <sheetData sheetId="0"/>
      <sheetData sheetId="1"/>
      <sheetData sheetId="2"/>
      <sheetData sheetId="3"/>
      <sheetData sheetId="4"/>
      <sheetData sheetId="5"/>
      <sheetData sheetId="6"/>
      <sheetData sheetId="7"/>
      <sheetData sheetId="8"/>
      <sheetData sheetId="9"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382C3FC-0F8A-4E33-9261-2232D4556F10}" name="SoilTable" displayName="SoilTable" ref="A1:I13" totalsRowShown="0" headerRowDxfId="20" dataDxfId="19">
  <autoFilter ref="A1:I13" xr:uid="{6382C3FC-0F8A-4E33-9261-2232D4556F10}"/>
  <tableColumns count="9">
    <tableColumn id="1" xr3:uid="{7F118C14-005D-4660-BAE3-BD68558EEDFB}" name="name" dataDxfId="18"/>
    <tableColumn id="2" xr3:uid="{A041D421-DC04-4BA6-A7AA-4E227250D43A}" name="theta_r" dataDxfId="17"/>
    <tableColumn id="3" xr3:uid="{EB5CC5C9-C6FB-48A2-96FF-97D2CFDEFF9E}" name="theta_s" dataDxfId="16"/>
    <tableColumn id="4" xr3:uid="{92EA45A0-2D1A-4BEE-B7EC-9AB491DB7FC0}" name="alpha" dataDxfId="15"/>
    <tableColumn id="5" xr3:uid="{16C956D0-EF75-432B-9357-4D4298867279}" name="n" dataDxfId="14"/>
    <tableColumn id="6" xr3:uid="{6A4001F0-B8B1-4940-B133-A96EEA8597E8}" name="bulk_density" dataDxfId="13"/>
    <tableColumn id="7" xr3:uid="{8EBEB501-58F6-4F12-BA63-8D7A943DA98E}" name="Ks" dataDxfId="12"/>
    <tableColumn id="9" xr3:uid="{35969FD1-0B56-4CB8-A277-0276DE957E16}" name="d50" dataDxfId="11"/>
    <tableColumn id="8" xr3:uid="{7D383580-2655-44B8-8BCD-A57F71140F2D}" name="foc" dataDxfId="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ACBC1B3-1243-4C42-AB7F-9F2B014CB526}" name="PFASTable" displayName="PFASTable" ref="A1:H12" totalsRowShown="0" headerRowDxfId="9" dataDxfId="8">
  <autoFilter ref="A1:H12" xr:uid="{9ACBC1B3-1243-4C42-AB7F-9F2B014CB526}"/>
  <tableColumns count="8">
    <tableColumn id="1" xr3:uid="{749A9183-4C43-48F9-B939-24884CEC7974}" name="name" dataDxfId="7"/>
    <tableColumn id="2" xr3:uid="{F2F15A0A-D114-4A8A-B5AD-C4D4DCE2C4EC}" name="a" dataDxfId="6"/>
    <tableColumn id="3" xr3:uid="{08D41157-FD76-41A0-9048-536BA2E89A62}" name="b" dataDxfId="5"/>
    <tableColumn id="4" xr3:uid="{9DBF2509-C972-4B77-900F-4048DCB3A4FB}" name="sigma0" dataDxfId="4"/>
    <tableColumn id="5" xr3:uid="{E8979294-F0EA-44C1-962B-A1D52AD2376E}" name="M" dataDxfId="3"/>
    <tableColumn id="8" xr3:uid="{B1CC279D-459C-4374-B34A-04247294372D}" name="D0" dataDxfId="2"/>
    <tableColumn id="6" xr3:uid="{2ABFA802-F305-40BC-934E-F5B8C7CA6770}" name="Vm" dataDxfId="1"/>
    <tableColumn id="7" xr3:uid="{D5C2B033-0D0D-40EB-818B-7D55EA311952}" name="Koc" dataDxfId="0"/>
  </tableColumns>
  <tableStyleInfo name="TableStyleMedium2"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5"/>
        </a:solidFill>
      </a:spPr>
      <a:bodyPr vertOverflow="clip" horzOverflow="clip" rtlCol="0" anchor="ctr"/>
      <a:lstStyle>
        <a:defPPr algn="ctr">
          <a:defRPr sz="1100" kern="1200">
            <a:latin typeface="Times New Roman" panose="02020603050405020304" pitchFamily="18" charset="0"/>
            <a:cs typeface="Times New Roman" panose="02020603050405020304" pitchFamily="18" charset="0"/>
          </a:defRPr>
        </a:defPPr>
      </a:lstStyle>
      <a:style>
        <a:lnRef idx="2">
          <a:schemeClr val="accent1">
            <a:shade val="15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1.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1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50224-E558-4AEC-BD3F-99E66A85193E}">
  <sheetPr codeName="Sheet7">
    <tabColor theme="2"/>
  </sheetPr>
  <dimension ref="A1:XFC71"/>
  <sheetViews>
    <sheetView showGridLines="0" showRowColHeaders="0" tabSelected="1" zoomScaleNormal="100" workbookViewId="0">
      <selection activeCell="A15" sqref="A15:K28"/>
    </sheetView>
  </sheetViews>
  <sheetFormatPr baseColWidth="10" defaultColWidth="0" defaultRowHeight="14" zeroHeight="1"/>
  <cols>
    <col min="1" max="1" width="6.1640625" style="36" customWidth="1"/>
    <col min="2" max="10" width="9" style="36" customWidth="1"/>
    <col min="11" max="11" width="18" style="36" customWidth="1"/>
    <col min="12" max="26" width="9" style="36" customWidth="1"/>
    <col min="27" max="16383" width="9" style="36" hidden="1"/>
    <col min="16384" max="16384" width="6.1640625" style="36" hidden="1"/>
  </cols>
  <sheetData>
    <row r="1" spans="1:15" ht="33.75" customHeight="1">
      <c r="A1" s="353" t="s">
        <v>0</v>
      </c>
      <c r="B1" s="353"/>
      <c r="C1" s="353"/>
      <c r="D1" s="353"/>
      <c r="E1" s="353"/>
      <c r="F1" s="353"/>
      <c r="G1" s="353"/>
      <c r="H1" s="353"/>
      <c r="I1" s="353"/>
      <c r="J1" s="353"/>
      <c r="K1" s="353"/>
      <c r="O1" s="80"/>
    </row>
    <row r="2" spans="1:15" ht="15" customHeight="1">
      <c r="A2" s="169"/>
      <c r="B2" s="138"/>
      <c r="C2" s="138"/>
      <c r="D2" s="138"/>
      <c r="E2" s="138"/>
      <c r="F2" s="138"/>
      <c r="G2" s="138"/>
      <c r="H2" s="138"/>
      <c r="I2" s="138"/>
      <c r="J2" s="138"/>
      <c r="K2" s="138"/>
      <c r="L2" s="153"/>
    </row>
    <row r="3" spans="1:15" ht="15" customHeight="1">
      <c r="A3" s="357" t="s">
        <v>276</v>
      </c>
      <c r="B3" s="357"/>
      <c r="C3" s="357"/>
      <c r="D3" s="357"/>
      <c r="E3" s="357"/>
      <c r="F3" s="357"/>
      <c r="G3" s="357"/>
      <c r="H3" s="357"/>
      <c r="I3" s="357"/>
      <c r="J3" s="357"/>
      <c r="K3" s="357"/>
      <c r="L3" s="153"/>
    </row>
    <row r="4" spans="1:15" ht="16">
      <c r="A4" s="360" t="s">
        <v>1</v>
      </c>
      <c r="B4" s="360"/>
      <c r="C4" s="360"/>
      <c r="D4" s="360"/>
      <c r="E4" s="360"/>
      <c r="F4" s="360"/>
      <c r="G4" s="81"/>
      <c r="H4" s="81"/>
      <c r="I4" s="81"/>
      <c r="J4" s="82"/>
      <c r="K4" s="82"/>
      <c r="L4" s="82"/>
    </row>
    <row r="5" spans="1:15" ht="16">
      <c r="A5" s="358" t="s">
        <v>2</v>
      </c>
      <c r="B5" s="358"/>
      <c r="C5" s="358"/>
      <c r="D5" s="358"/>
      <c r="E5" s="358"/>
      <c r="F5" s="358"/>
    </row>
    <row r="6" spans="1:15">
      <c r="A6" s="359" t="s">
        <v>272</v>
      </c>
      <c r="B6" s="359"/>
      <c r="C6" s="359"/>
      <c r="D6" s="359"/>
      <c r="E6" s="359"/>
      <c r="F6" s="359"/>
    </row>
    <row r="7" spans="1:15"/>
    <row r="8" spans="1:15">
      <c r="A8" s="351" t="s">
        <v>3</v>
      </c>
      <c r="B8" s="352"/>
      <c r="C8" s="352"/>
      <c r="D8" s="352"/>
    </row>
    <row r="9" spans="1:15">
      <c r="A9" s="352"/>
      <c r="B9" s="352"/>
      <c r="C9" s="352"/>
      <c r="D9" s="352"/>
    </row>
    <row r="10" spans="1:15">
      <c r="A10" s="354" t="s">
        <v>271</v>
      </c>
      <c r="B10" s="354"/>
      <c r="C10" s="354"/>
      <c r="D10" s="354"/>
      <c r="E10" s="354"/>
      <c r="F10" s="354"/>
      <c r="G10" s="354"/>
      <c r="H10" s="354"/>
      <c r="I10" s="354"/>
      <c r="J10" s="354"/>
      <c r="K10" s="354"/>
    </row>
    <row r="11" spans="1:15">
      <c r="A11" s="354"/>
      <c r="B11" s="354"/>
      <c r="C11" s="354"/>
      <c r="D11" s="354"/>
      <c r="E11" s="354"/>
      <c r="F11" s="354"/>
      <c r="G11" s="354"/>
      <c r="H11" s="354"/>
      <c r="I11" s="354"/>
      <c r="J11" s="354"/>
      <c r="K11" s="354"/>
    </row>
    <row r="12" spans="1:15">
      <c r="A12" s="354"/>
      <c r="B12" s="354"/>
      <c r="C12" s="354"/>
      <c r="D12" s="354"/>
      <c r="E12" s="354"/>
      <c r="F12" s="354"/>
      <c r="G12" s="354"/>
      <c r="H12" s="354"/>
      <c r="I12" s="354"/>
      <c r="J12" s="354"/>
      <c r="K12" s="354"/>
    </row>
    <row r="13" spans="1:15">
      <c r="A13" s="354"/>
      <c r="B13" s="354"/>
      <c r="C13" s="354"/>
      <c r="D13" s="354"/>
      <c r="E13" s="354"/>
      <c r="F13" s="354"/>
      <c r="G13" s="354"/>
      <c r="H13" s="354"/>
      <c r="I13" s="354"/>
      <c r="J13" s="354"/>
      <c r="K13" s="354"/>
    </row>
    <row r="14" spans="1:15">
      <c r="A14" s="354"/>
      <c r="B14" s="354"/>
      <c r="C14" s="354"/>
      <c r="D14" s="354"/>
      <c r="E14" s="354"/>
      <c r="F14" s="354"/>
      <c r="G14" s="354"/>
      <c r="H14" s="354"/>
      <c r="I14" s="354"/>
      <c r="J14" s="354"/>
      <c r="K14" s="354"/>
    </row>
    <row r="15" spans="1:15">
      <c r="A15" s="354" t="s">
        <v>4</v>
      </c>
      <c r="B15" s="354"/>
      <c r="C15" s="354"/>
      <c r="D15" s="354"/>
      <c r="E15" s="354"/>
      <c r="F15" s="354"/>
      <c r="G15" s="354"/>
      <c r="H15" s="354"/>
      <c r="I15" s="354"/>
      <c r="J15" s="354"/>
      <c r="K15" s="354"/>
    </row>
    <row r="16" spans="1:15">
      <c r="A16" s="354"/>
      <c r="B16" s="354"/>
      <c r="C16" s="354"/>
      <c r="D16" s="354"/>
      <c r="E16" s="354"/>
      <c r="F16" s="354"/>
      <c r="G16" s="354"/>
      <c r="H16" s="354"/>
      <c r="I16" s="354"/>
      <c r="J16" s="354"/>
      <c r="K16" s="354"/>
    </row>
    <row r="17" spans="1:11">
      <c r="A17" s="354"/>
      <c r="B17" s="354"/>
      <c r="C17" s="354"/>
      <c r="D17" s="354"/>
      <c r="E17" s="354"/>
      <c r="F17" s="354"/>
      <c r="G17" s="354"/>
      <c r="H17" s="354"/>
      <c r="I17" s="354"/>
      <c r="J17" s="354"/>
      <c r="K17" s="354"/>
    </row>
    <row r="18" spans="1:11">
      <c r="A18" s="354"/>
      <c r="B18" s="354"/>
      <c r="C18" s="354"/>
      <c r="D18" s="354"/>
      <c r="E18" s="354"/>
      <c r="F18" s="354"/>
      <c r="G18" s="354"/>
      <c r="H18" s="354"/>
      <c r="I18" s="354"/>
      <c r="J18" s="354"/>
      <c r="K18" s="354"/>
    </row>
    <row r="19" spans="1:11">
      <c r="A19" s="354"/>
      <c r="B19" s="354"/>
      <c r="C19" s="354"/>
      <c r="D19" s="354"/>
      <c r="E19" s="354"/>
      <c r="F19" s="354"/>
      <c r="G19" s="354"/>
      <c r="H19" s="354"/>
      <c r="I19" s="354"/>
      <c r="J19" s="354"/>
      <c r="K19" s="354"/>
    </row>
    <row r="20" spans="1:11">
      <c r="A20" s="354"/>
      <c r="B20" s="354"/>
      <c r="C20" s="354"/>
      <c r="D20" s="354"/>
      <c r="E20" s="354"/>
      <c r="F20" s="354"/>
      <c r="G20" s="354"/>
      <c r="H20" s="354"/>
      <c r="I20" s="354"/>
      <c r="J20" s="354"/>
      <c r="K20" s="354"/>
    </row>
    <row r="21" spans="1:11">
      <c r="A21" s="354"/>
      <c r="B21" s="354"/>
      <c r="C21" s="354"/>
      <c r="D21" s="354"/>
      <c r="E21" s="354"/>
      <c r="F21" s="354"/>
      <c r="G21" s="354"/>
      <c r="H21" s="354"/>
      <c r="I21" s="354"/>
      <c r="J21" s="354"/>
      <c r="K21" s="354"/>
    </row>
    <row r="22" spans="1:11">
      <c r="A22" s="354"/>
      <c r="B22" s="354"/>
      <c r="C22" s="354"/>
      <c r="D22" s="354"/>
      <c r="E22" s="354"/>
      <c r="F22" s="354"/>
      <c r="G22" s="354"/>
      <c r="H22" s="354"/>
      <c r="I22" s="354"/>
      <c r="J22" s="354"/>
      <c r="K22" s="354"/>
    </row>
    <row r="23" spans="1:11">
      <c r="A23" s="354"/>
      <c r="B23" s="354"/>
      <c r="C23" s="354"/>
      <c r="D23" s="354"/>
      <c r="E23" s="354"/>
      <c r="F23" s="354"/>
      <c r="G23" s="354"/>
      <c r="H23" s="354"/>
      <c r="I23" s="354"/>
      <c r="J23" s="354"/>
      <c r="K23" s="354"/>
    </row>
    <row r="24" spans="1:11">
      <c r="A24" s="354"/>
      <c r="B24" s="354"/>
      <c r="C24" s="354"/>
      <c r="D24" s="354"/>
      <c r="E24" s="354"/>
      <c r="F24" s="354"/>
      <c r="G24" s="354"/>
      <c r="H24" s="354"/>
      <c r="I24" s="354"/>
      <c r="J24" s="354"/>
      <c r="K24" s="354"/>
    </row>
    <row r="25" spans="1:11">
      <c r="A25" s="354"/>
      <c r="B25" s="354"/>
      <c r="C25" s="354"/>
      <c r="D25" s="354"/>
      <c r="E25" s="354"/>
      <c r="F25" s="354"/>
      <c r="G25" s="354"/>
      <c r="H25" s="354"/>
      <c r="I25" s="354"/>
      <c r="J25" s="354"/>
      <c r="K25" s="354"/>
    </row>
    <row r="26" spans="1:11">
      <c r="A26" s="354"/>
      <c r="B26" s="354"/>
      <c r="C26" s="354"/>
      <c r="D26" s="354"/>
      <c r="E26" s="354"/>
      <c r="F26" s="354"/>
      <c r="G26" s="354"/>
      <c r="H26" s="354"/>
      <c r="I26" s="354"/>
      <c r="J26" s="354"/>
      <c r="K26" s="354"/>
    </row>
    <row r="27" spans="1:11">
      <c r="A27" s="354"/>
      <c r="B27" s="354"/>
      <c r="C27" s="354"/>
      <c r="D27" s="354"/>
      <c r="E27" s="354"/>
      <c r="F27" s="354"/>
      <c r="G27" s="354"/>
      <c r="H27" s="354"/>
      <c r="I27" s="354"/>
      <c r="J27" s="354"/>
      <c r="K27" s="354"/>
    </row>
    <row r="28" spans="1:11">
      <c r="A28" s="354"/>
      <c r="B28" s="354"/>
      <c r="C28" s="354"/>
      <c r="D28" s="354"/>
      <c r="E28" s="354"/>
      <c r="F28" s="354"/>
      <c r="G28" s="354"/>
      <c r="H28" s="354"/>
      <c r="I28" s="354"/>
      <c r="J28" s="354"/>
      <c r="K28" s="354"/>
    </row>
    <row r="29" spans="1:11">
      <c r="A29" s="354" t="s">
        <v>5</v>
      </c>
      <c r="B29" s="354"/>
      <c r="C29" s="354"/>
      <c r="D29" s="354"/>
      <c r="E29" s="354"/>
      <c r="F29" s="354"/>
      <c r="G29" s="354"/>
      <c r="H29" s="354"/>
      <c r="I29" s="354"/>
      <c r="J29" s="354"/>
      <c r="K29" s="354"/>
    </row>
    <row r="30" spans="1:11">
      <c r="A30" s="354"/>
      <c r="B30" s="354"/>
      <c r="C30" s="354"/>
      <c r="D30" s="354"/>
      <c r="E30" s="354"/>
      <c r="F30" s="354"/>
      <c r="G30" s="354"/>
      <c r="H30" s="354"/>
      <c r="I30" s="354"/>
      <c r="J30" s="354"/>
      <c r="K30" s="354"/>
    </row>
    <row r="31" spans="1:11">
      <c r="A31" s="354"/>
      <c r="B31" s="354"/>
      <c r="C31" s="354"/>
      <c r="D31" s="354"/>
      <c r="E31" s="354"/>
      <c r="F31" s="354"/>
      <c r="G31" s="354"/>
      <c r="H31" s="354"/>
      <c r="I31" s="354"/>
      <c r="J31" s="354"/>
      <c r="K31" s="354"/>
    </row>
    <row r="32" spans="1:11">
      <c r="A32" s="354"/>
      <c r="B32" s="354"/>
      <c r="C32" s="354"/>
      <c r="D32" s="354"/>
      <c r="E32" s="354"/>
      <c r="F32" s="354"/>
      <c r="G32" s="354"/>
      <c r="H32" s="354"/>
      <c r="I32" s="354"/>
      <c r="J32" s="354"/>
      <c r="K32" s="354"/>
    </row>
    <row r="33" spans="1:23">
      <c r="A33" s="354"/>
      <c r="B33" s="354"/>
      <c r="C33" s="354"/>
      <c r="D33" s="354"/>
      <c r="E33" s="354"/>
      <c r="F33" s="354"/>
      <c r="G33" s="354"/>
      <c r="H33" s="354"/>
      <c r="I33" s="354"/>
      <c r="J33" s="354"/>
      <c r="K33" s="354"/>
      <c r="O33" s="355" t="s">
        <v>6</v>
      </c>
      <c r="P33" s="355"/>
      <c r="Q33" s="355"/>
      <c r="R33" s="355"/>
      <c r="S33" s="355"/>
      <c r="T33" s="355"/>
      <c r="U33" s="355"/>
      <c r="V33" s="355"/>
      <c r="W33" s="355"/>
    </row>
    <row r="34" spans="1:23">
      <c r="A34" s="354"/>
      <c r="B34" s="354"/>
      <c r="C34" s="354"/>
      <c r="D34" s="354"/>
      <c r="E34" s="354"/>
      <c r="F34" s="354"/>
      <c r="G34" s="354"/>
      <c r="H34" s="354"/>
      <c r="I34" s="354"/>
      <c r="J34" s="354"/>
      <c r="K34" s="354"/>
      <c r="O34" s="355"/>
      <c r="P34" s="355"/>
      <c r="Q34" s="355"/>
      <c r="R34" s="355"/>
      <c r="S34" s="355"/>
      <c r="T34" s="355"/>
      <c r="U34" s="355"/>
      <c r="V34" s="355"/>
      <c r="W34" s="355"/>
    </row>
    <row r="35" spans="1:23">
      <c r="A35" s="361" t="s">
        <v>7</v>
      </c>
      <c r="B35" s="361"/>
      <c r="C35" s="361"/>
      <c r="D35" s="361"/>
      <c r="E35" s="361"/>
      <c r="F35" s="361"/>
      <c r="G35" s="361"/>
      <c r="H35" s="361"/>
      <c r="I35" s="361"/>
      <c r="J35" s="361"/>
      <c r="K35" s="361"/>
      <c r="O35" s="355"/>
      <c r="P35" s="355"/>
      <c r="Q35" s="355"/>
      <c r="R35" s="355"/>
      <c r="S35" s="355"/>
      <c r="T35" s="355"/>
      <c r="U35" s="355"/>
      <c r="V35" s="355"/>
      <c r="W35" s="355"/>
    </row>
    <row r="36" spans="1:23">
      <c r="A36" s="361"/>
      <c r="B36" s="361"/>
      <c r="C36" s="361"/>
      <c r="D36" s="361"/>
      <c r="E36" s="361"/>
      <c r="F36" s="361"/>
      <c r="G36" s="361"/>
      <c r="H36" s="361"/>
      <c r="I36" s="361"/>
      <c r="J36" s="361"/>
      <c r="K36" s="361"/>
      <c r="O36" s="355"/>
      <c r="P36" s="355"/>
      <c r="Q36" s="355"/>
      <c r="R36" s="355"/>
      <c r="S36" s="355"/>
      <c r="T36" s="355"/>
      <c r="U36" s="355"/>
      <c r="V36" s="355"/>
      <c r="W36" s="355"/>
    </row>
    <row r="37" spans="1:23">
      <c r="A37" s="361" t="s">
        <v>277</v>
      </c>
      <c r="B37" s="361"/>
      <c r="C37" s="361"/>
      <c r="D37" s="361"/>
      <c r="E37" s="361"/>
      <c r="F37" s="361"/>
      <c r="G37" s="361"/>
      <c r="H37" s="361"/>
      <c r="I37" s="361"/>
      <c r="J37" s="361"/>
      <c r="K37" s="361"/>
      <c r="O37" s="355"/>
      <c r="P37" s="355"/>
      <c r="Q37" s="355"/>
      <c r="R37" s="355"/>
      <c r="S37" s="355"/>
      <c r="T37" s="355"/>
      <c r="U37" s="355"/>
      <c r="V37" s="355"/>
      <c r="W37" s="355"/>
    </row>
    <row r="38" spans="1:23">
      <c r="A38" s="361"/>
      <c r="B38" s="361"/>
      <c r="C38" s="361"/>
      <c r="D38" s="361"/>
      <c r="E38" s="361"/>
      <c r="F38" s="361"/>
      <c r="G38" s="361"/>
      <c r="H38" s="361"/>
      <c r="I38" s="361"/>
      <c r="J38" s="361"/>
      <c r="K38" s="361"/>
      <c r="O38" s="362" t="s">
        <v>8</v>
      </c>
      <c r="P38" s="362"/>
      <c r="Q38" s="362"/>
      <c r="R38" s="362"/>
      <c r="S38" s="362"/>
      <c r="T38" s="362"/>
      <c r="U38" s="362"/>
      <c r="V38" s="164"/>
      <c r="W38" s="164"/>
    </row>
    <row r="39" spans="1:23">
      <c r="A39" s="361"/>
      <c r="B39" s="361"/>
      <c r="C39" s="361"/>
      <c r="D39" s="361"/>
      <c r="E39" s="361"/>
      <c r="F39" s="361"/>
      <c r="G39" s="361"/>
      <c r="H39" s="361"/>
      <c r="I39" s="361"/>
      <c r="J39" s="361"/>
      <c r="K39" s="361"/>
      <c r="O39" s="362"/>
      <c r="P39" s="362"/>
      <c r="Q39" s="362"/>
      <c r="R39" s="362"/>
      <c r="S39" s="362"/>
      <c r="T39" s="362"/>
      <c r="U39" s="362"/>
      <c r="V39" s="164"/>
      <c r="W39" s="164"/>
    </row>
    <row r="40" spans="1:23" ht="20">
      <c r="A40" s="361"/>
      <c r="B40" s="361"/>
      <c r="C40" s="361"/>
      <c r="D40" s="361"/>
      <c r="E40" s="361"/>
      <c r="F40" s="361"/>
      <c r="G40" s="361"/>
      <c r="H40" s="361"/>
      <c r="I40" s="361"/>
      <c r="J40" s="361"/>
      <c r="K40" s="361"/>
      <c r="O40" s="162" t="s">
        <v>9</v>
      </c>
      <c r="P40" s="168"/>
      <c r="Q40" s="168"/>
      <c r="R40" s="168"/>
      <c r="S40" s="168"/>
      <c r="T40" s="168"/>
      <c r="U40" s="168"/>
      <c r="V40" s="164"/>
      <c r="W40" s="164"/>
    </row>
    <row r="41" spans="1:23" ht="16">
      <c r="A41" s="167"/>
      <c r="B41" s="167"/>
      <c r="C41" s="167"/>
      <c r="D41" s="167"/>
      <c r="E41" s="167"/>
      <c r="F41" s="167"/>
      <c r="G41" s="167"/>
      <c r="H41" s="167"/>
      <c r="I41" s="167"/>
      <c r="J41" s="167"/>
      <c r="K41" s="167"/>
      <c r="O41" s="162" t="s">
        <v>10</v>
      </c>
      <c r="P41" s="162"/>
      <c r="Q41" s="162"/>
      <c r="R41" s="162"/>
      <c r="S41" s="162"/>
      <c r="T41" s="162"/>
      <c r="U41" s="164"/>
      <c r="V41" s="164"/>
      <c r="W41" s="164"/>
    </row>
    <row r="42" spans="1:23" ht="16">
      <c r="A42" s="351" t="s">
        <v>11</v>
      </c>
      <c r="B42" s="352"/>
      <c r="C42" s="352"/>
      <c r="D42" s="352"/>
      <c r="E42" s="38"/>
      <c r="F42" s="38"/>
      <c r="G42" s="38"/>
      <c r="H42" s="38"/>
      <c r="I42" s="38"/>
      <c r="J42" s="38"/>
      <c r="K42" s="38"/>
      <c r="O42" s="162" t="s">
        <v>12</v>
      </c>
      <c r="P42" s="162"/>
      <c r="Q42" s="162"/>
      <c r="R42" s="162"/>
      <c r="S42" s="162"/>
      <c r="T42" s="162"/>
    </row>
    <row r="43" spans="1:23" ht="16">
      <c r="A43" s="352"/>
      <c r="B43" s="352"/>
      <c r="C43" s="352"/>
      <c r="D43" s="352"/>
      <c r="E43" s="38"/>
      <c r="F43" s="38"/>
      <c r="G43" s="38"/>
      <c r="H43" s="38"/>
      <c r="I43" s="38"/>
      <c r="J43" s="38"/>
      <c r="K43" s="38"/>
      <c r="O43" s="162" t="s">
        <v>13</v>
      </c>
      <c r="P43" s="166"/>
      <c r="Q43" s="166"/>
      <c r="R43" s="166"/>
      <c r="S43" s="166"/>
      <c r="T43" s="166"/>
      <c r="U43" s="38"/>
      <c r="V43" s="38"/>
      <c r="W43" s="38"/>
    </row>
    <row r="44" spans="1:23" ht="16">
      <c r="A44" s="356" t="s">
        <v>14</v>
      </c>
      <c r="B44" s="356"/>
      <c r="C44" s="356"/>
      <c r="D44" s="356"/>
      <c r="E44" s="356"/>
      <c r="F44" s="356"/>
      <c r="G44" s="356"/>
      <c r="H44" s="356"/>
      <c r="I44" s="356"/>
      <c r="J44" s="356"/>
      <c r="K44" s="356"/>
      <c r="O44" s="162" t="s">
        <v>15</v>
      </c>
      <c r="P44" s="166"/>
      <c r="Q44" s="166"/>
      <c r="R44" s="166"/>
      <c r="S44" s="166"/>
      <c r="T44" s="166"/>
      <c r="U44" s="42"/>
      <c r="V44" s="38"/>
      <c r="W44" s="38"/>
    </row>
    <row r="45" spans="1:23" ht="16">
      <c r="A45" s="356"/>
      <c r="B45" s="356"/>
      <c r="C45" s="356"/>
      <c r="D45" s="356"/>
      <c r="E45" s="356"/>
      <c r="F45" s="356"/>
      <c r="G45" s="356"/>
      <c r="H45" s="356"/>
      <c r="I45" s="356"/>
      <c r="J45" s="356"/>
      <c r="K45" s="356"/>
      <c r="O45" s="162" t="s">
        <v>16</v>
      </c>
      <c r="P45" s="165"/>
      <c r="Q45" s="165"/>
      <c r="R45" s="165"/>
      <c r="S45" s="165"/>
      <c r="T45" s="165"/>
      <c r="U45" s="42"/>
      <c r="V45" s="38"/>
      <c r="W45" s="38"/>
    </row>
    <row r="46" spans="1:23" ht="16">
      <c r="A46" s="356" t="s">
        <v>17</v>
      </c>
      <c r="B46" s="356"/>
      <c r="C46" s="356"/>
      <c r="D46" s="356"/>
      <c r="E46" s="356"/>
      <c r="F46" s="356"/>
      <c r="G46" s="356"/>
      <c r="H46" s="356"/>
      <c r="I46" s="356"/>
      <c r="J46" s="356"/>
      <c r="K46" s="356"/>
      <c r="O46" s="162" t="s">
        <v>18</v>
      </c>
      <c r="P46" s="165"/>
      <c r="Q46" s="165"/>
      <c r="R46" s="165"/>
      <c r="S46" s="165"/>
      <c r="T46" s="165"/>
      <c r="U46" s="42"/>
      <c r="V46" s="38"/>
      <c r="W46" s="38"/>
    </row>
    <row r="47" spans="1:23" ht="16">
      <c r="A47" s="356"/>
      <c r="B47" s="356"/>
      <c r="C47" s="356"/>
      <c r="D47" s="356"/>
      <c r="E47" s="356"/>
      <c r="F47" s="356"/>
      <c r="G47" s="356"/>
      <c r="H47" s="356"/>
      <c r="I47" s="356"/>
      <c r="J47" s="356"/>
      <c r="K47" s="356"/>
      <c r="O47" s="162"/>
      <c r="P47" s="165"/>
      <c r="Q47" s="165"/>
      <c r="R47" s="165"/>
      <c r="S47" s="165"/>
      <c r="T47" s="165"/>
      <c r="U47" s="42"/>
      <c r="V47" s="38"/>
      <c r="W47" s="38"/>
    </row>
    <row r="48" spans="1:23" ht="16">
      <c r="A48" s="356" t="s">
        <v>19</v>
      </c>
      <c r="B48" s="356"/>
      <c r="C48" s="356"/>
      <c r="D48" s="356"/>
      <c r="E48" s="356"/>
      <c r="F48" s="356"/>
      <c r="G48" s="356"/>
      <c r="H48" s="356"/>
      <c r="I48" s="356"/>
      <c r="J48" s="356"/>
      <c r="K48" s="356"/>
      <c r="O48" s="162"/>
      <c r="P48" s="165"/>
      <c r="Q48" s="165"/>
      <c r="R48" s="165"/>
      <c r="S48" s="165"/>
      <c r="T48" s="165"/>
      <c r="U48" s="164"/>
      <c r="V48" s="38"/>
      <c r="W48" s="38"/>
    </row>
    <row r="49" spans="1:23" ht="16">
      <c r="A49" s="356"/>
      <c r="B49" s="356"/>
      <c r="C49" s="356"/>
      <c r="D49" s="356"/>
      <c r="E49" s="356"/>
      <c r="F49" s="356"/>
      <c r="G49" s="356"/>
      <c r="H49" s="356"/>
      <c r="I49" s="356"/>
      <c r="J49" s="356"/>
      <c r="K49" s="356"/>
      <c r="O49" s="162"/>
      <c r="P49" s="165"/>
      <c r="Q49" s="165"/>
      <c r="R49" s="165"/>
      <c r="S49" s="165"/>
      <c r="T49" s="165"/>
      <c r="U49" s="164"/>
      <c r="V49" s="38"/>
      <c r="W49" s="38"/>
    </row>
    <row r="50" spans="1:23" ht="16">
      <c r="A50" s="356" t="s">
        <v>20</v>
      </c>
      <c r="B50" s="356"/>
      <c r="C50" s="356"/>
      <c r="D50" s="356"/>
      <c r="E50" s="356"/>
      <c r="F50" s="356"/>
      <c r="G50" s="356"/>
      <c r="H50" s="356"/>
      <c r="I50" s="356"/>
      <c r="J50" s="356"/>
      <c r="K50" s="356"/>
      <c r="O50" s="162"/>
      <c r="P50" s="165"/>
      <c r="Q50" s="165"/>
      <c r="R50" s="165"/>
      <c r="S50" s="165"/>
      <c r="T50" s="165"/>
      <c r="U50" s="164"/>
      <c r="V50" s="38"/>
      <c r="W50" s="38"/>
    </row>
    <row r="51" spans="1:23">
      <c r="A51" s="356"/>
      <c r="B51" s="356"/>
      <c r="C51" s="356"/>
      <c r="D51" s="356"/>
      <c r="E51" s="356"/>
      <c r="F51" s="356"/>
      <c r="G51" s="356"/>
      <c r="H51" s="356"/>
      <c r="I51" s="356"/>
      <c r="J51" s="356"/>
      <c r="K51" s="356"/>
      <c r="O51" s="41"/>
      <c r="P51" s="164"/>
      <c r="Q51" s="164"/>
      <c r="R51" s="164"/>
      <c r="S51" s="164"/>
      <c r="T51" s="164"/>
      <c r="U51" s="164"/>
      <c r="V51" s="38"/>
      <c r="W51" s="38"/>
    </row>
    <row r="52" spans="1:23">
      <c r="A52" s="163"/>
      <c r="B52" s="163"/>
      <c r="C52" s="163"/>
      <c r="D52" s="163"/>
      <c r="E52" s="163"/>
      <c r="F52" s="163"/>
      <c r="G52" s="163"/>
      <c r="H52" s="163"/>
      <c r="I52" s="163"/>
      <c r="J52" s="163"/>
      <c r="K52" s="163"/>
      <c r="O52" s="41"/>
      <c r="P52" s="164"/>
      <c r="Q52" s="164"/>
      <c r="R52" s="164"/>
      <c r="S52" s="164"/>
      <c r="T52" s="164"/>
      <c r="U52" s="164"/>
      <c r="V52" s="38"/>
      <c r="W52" s="38"/>
    </row>
    <row r="53" spans="1:23">
      <c r="A53" s="351" t="s">
        <v>21</v>
      </c>
      <c r="B53" s="351"/>
      <c r="C53" s="351"/>
      <c r="D53" s="351"/>
      <c r="O53" s="41"/>
      <c r="P53" s="38"/>
      <c r="Q53" s="38"/>
      <c r="R53" s="38"/>
      <c r="S53" s="38"/>
      <c r="T53" s="38"/>
      <c r="U53" s="38"/>
      <c r="V53" s="38"/>
      <c r="W53" s="38"/>
    </row>
    <row r="54" spans="1:23">
      <c r="A54" s="351"/>
      <c r="B54" s="351"/>
      <c r="C54" s="351"/>
      <c r="D54" s="351"/>
      <c r="O54" s="41"/>
      <c r="P54" s="38"/>
      <c r="Q54" s="38"/>
      <c r="R54" s="38"/>
      <c r="S54" s="38"/>
      <c r="T54" s="38"/>
      <c r="U54" s="38"/>
      <c r="V54" s="38"/>
      <c r="W54" s="38"/>
    </row>
    <row r="55" spans="1:23">
      <c r="A55" s="356" t="s">
        <v>273</v>
      </c>
      <c r="B55" s="356"/>
      <c r="C55" s="356"/>
      <c r="D55" s="356"/>
      <c r="E55" s="356"/>
      <c r="F55" s="356"/>
      <c r="G55" s="356"/>
      <c r="H55" s="356"/>
      <c r="I55" s="356"/>
      <c r="J55" s="356"/>
      <c r="K55" s="356"/>
      <c r="O55" s="38"/>
      <c r="P55" s="38"/>
      <c r="Q55" s="38"/>
      <c r="R55" s="38"/>
      <c r="S55" s="38"/>
      <c r="T55" s="38"/>
      <c r="U55" s="38"/>
      <c r="V55" s="38"/>
    </row>
    <row r="56" spans="1:23">
      <c r="A56" s="356"/>
      <c r="B56" s="356"/>
      <c r="C56" s="356"/>
      <c r="D56" s="356"/>
      <c r="E56" s="356"/>
      <c r="F56" s="356"/>
      <c r="G56" s="356"/>
      <c r="H56" s="356"/>
      <c r="I56" s="356"/>
      <c r="J56" s="356"/>
      <c r="K56" s="356"/>
    </row>
    <row r="57" spans="1:23">
      <c r="A57" s="356"/>
      <c r="B57" s="356"/>
      <c r="C57" s="356"/>
      <c r="D57" s="356"/>
      <c r="E57" s="356"/>
      <c r="F57" s="356"/>
      <c r="G57" s="356"/>
      <c r="H57" s="356"/>
      <c r="I57" s="356"/>
      <c r="J57" s="356"/>
      <c r="K57" s="356"/>
    </row>
    <row r="58" spans="1:23">
      <c r="A58" s="356"/>
      <c r="B58" s="356"/>
      <c r="C58" s="356"/>
      <c r="D58" s="356"/>
      <c r="E58" s="356"/>
      <c r="F58" s="356"/>
      <c r="G58" s="356"/>
      <c r="H58" s="356"/>
      <c r="I58" s="356"/>
      <c r="J58" s="356"/>
      <c r="K58" s="356"/>
    </row>
    <row r="59" spans="1:23">
      <c r="A59" s="356"/>
      <c r="B59" s="356"/>
      <c r="C59" s="356"/>
      <c r="D59" s="356"/>
      <c r="E59" s="356"/>
      <c r="F59" s="356"/>
      <c r="G59" s="356"/>
      <c r="H59" s="356"/>
      <c r="I59" s="356"/>
      <c r="J59" s="356"/>
      <c r="K59" s="356"/>
    </row>
    <row r="60" spans="1:23">
      <c r="A60" s="356"/>
      <c r="B60" s="356"/>
      <c r="C60" s="356"/>
      <c r="D60" s="356"/>
      <c r="E60" s="356"/>
      <c r="F60" s="356"/>
      <c r="G60" s="356"/>
      <c r="H60" s="356"/>
      <c r="I60" s="356"/>
      <c r="J60" s="356"/>
      <c r="K60" s="356"/>
    </row>
    <row r="61" spans="1:23">
      <c r="A61" s="356"/>
      <c r="B61" s="356"/>
      <c r="C61" s="356"/>
      <c r="D61" s="356"/>
      <c r="E61" s="356"/>
      <c r="F61" s="356"/>
      <c r="G61" s="356"/>
      <c r="H61" s="356"/>
      <c r="I61" s="356"/>
      <c r="J61" s="356"/>
      <c r="K61" s="356"/>
    </row>
    <row r="62" spans="1:23"/>
    <row r="63" spans="1:23">
      <c r="A63" s="351" t="s">
        <v>22</v>
      </c>
      <c r="B63" s="351"/>
      <c r="C63" s="351"/>
      <c r="D63" s="351"/>
      <c r="E63" s="351"/>
    </row>
    <row r="64" spans="1:23">
      <c r="A64" s="351"/>
      <c r="B64" s="351"/>
      <c r="C64" s="351"/>
      <c r="D64" s="351"/>
      <c r="E64" s="351"/>
    </row>
    <row r="65" spans="1:11">
      <c r="A65" s="356" t="s">
        <v>275</v>
      </c>
      <c r="B65" s="356"/>
      <c r="C65" s="356"/>
      <c r="D65" s="356"/>
      <c r="E65" s="356"/>
      <c r="F65" s="356"/>
      <c r="G65" s="356"/>
      <c r="H65" s="356"/>
      <c r="I65" s="356"/>
      <c r="J65" s="356"/>
      <c r="K65" s="356"/>
    </row>
    <row r="66" spans="1:11">
      <c r="A66" s="356"/>
      <c r="B66" s="356"/>
      <c r="C66" s="356"/>
      <c r="D66" s="356"/>
      <c r="E66" s="356"/>
      <c r="F66" s="356"/>
      <c r="G66" s="356"/>
      <c r="H66" s="356"/>
      <c r="I66" s="356"/>
      <c r="J66" s="356"/>
      <c r="K66" s="356"/>
    </row>
    <row r="67" spans="1:11">
      <c r="A67" s="356"/>
      <c r="B67" s="356"/>
      <c r="C67" s="356"/>
      <c r="D67" s="356"/>
      <c r="E67" s="356"/>
      <c r="F67" s="356"/>
      <c r="G67" s="356"/>
      <c r="H67" s="356"/>
      <c r="I67" s="356"/>
      <c r="J67" s="356"/>
      <c r="K67" s="356"/>
    </row>
    <row r="68" spans="1:11">
      <c r="A68" s="356"/>
      <c r="B68" s="356"/>
      <c r="C68" s="356"/>
      <c r="D68" s="356"/>
      <c r="E68" s="356"/>
      <c r="F68" s="356"/>
      <c r="G68" s="356"/>
      <c r="H68" s="356"/>
      <c r="I68" s="356"/>
      <c r="J68" s="356"/>
      <c r="K68" s="356"/>
    </row>
    <row r="69" spans="1:11">
      <c r="A69" s="356"/>
      <c r="B69" s="356"/>
      <c r="C69" s="356"/>
      <c r="D69" s="356"/>
      <c r="E69" s="356"/>
      <c r="F69" s="356"/>
      <c r="G69" s="356"/>
      <c r="H69" s="356"/>
      <c r="I69" s="356"/>
      <c r="J69" s="356"/>
      <c r="K69" s="356"/>
    </row>
    <row r="70" spans="1:11"/>
    <row r="71" spans="1:11"/>
  </sheetData>
  <sheetProtection algorithmName="SHA-512" hashValue="cFhB4lXIsg5K4OVKs6uJjlEAtQT8kw7SOgDapk3xRAPf4kXaiGh7XGQGwCkl7F8Q7LscAeo+lgLXCz8tVx7AeA==" saltValue="7l+BLdBBhJdYdK476IGNug==" spinCount="100000" sheet="1" objects="1" scenarios="1"/>
  <mergeCells count="22">
    <mergeCell ref="A65:K69"/>
    <mergeCell ref="O38:U39"/>
    <mergeCell ref="A42:D43"/>
    <mergeCell ref="A53:D54"/>
    <mergeCell ref="A63:E64"/>
    <mergeCell ref="A44:K45"/>
    <mergeCell ref="A46:K47"/>
    <mergeCell ref="A48:K49"/>
    <mergeCell ref="A50:K51"/>
    <mergeCell ref="A8:D9"/>
    <mergeCell ref="A1:K1"/>
    <mergeCell ref="A15:K28"/>
    <mergeCell ref="O33:W37"/>
    <mergeCell ref="A55:K61"/>
    <mergeCell ref="A3:K3"/>
    <mergeCell ref="A5:F5"/>
    <mergeCell ref="A6:F6"/>
    <mergeCell ref="A4:F4"/>
    <mergeCell ref="A10:K14"/>
    <mergeCell ref="A29:K34"/>
    <mergeCell ref="A35:K36"/>
    <mergeCell ref="A37:K40"/>
  </mergeCells>
  <phoneticPr fontId="12"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F8EB76-D058-4060-B195-31E5BA40BBEC}">
  <sheetPr codeName="Sheet9">
    <tabColor theme="8" tint="0.39997558519241921"/>
  </sheetPr>
  <dimension ref="A1:Z1048576"/>
  <sheetViews>
    <sheetView showGridLines="0" showRowColHeaders="0" topLeftCell="A3" zoomScaleNormal="100" zoomScalePageLayoutView="68" workbookViewId="0">
      <selection activeCell="F19" sqref="F19"/>
    </sheetView>
  </sheetViews>
  <sheetFormatPr baseColWidth="10" defaultColWidth="0" defaultRowHeight="14" zeroHeight="1"/>
  <cols>
    <col min="1" max="1" width="0.6640625" style="36" customWidth="1"/>
    <col min="2" max="2" width="41.6640625" style="36" customWidth="1"/>
    <col min="3" max="3" width="3.83203125" style="235" customWidth="1"/>
    <col min="4" max="4" width="11.33203125" style="207" customWidth="1"/>
    <col min="5" max="5" width="1.83203125" style="36" customWidth="1"/>
    <col min="6" max="6" width="11.33203125" style="36" customWidth="1"/>
    <col min="7" max="7" width="3.33203125" style="207" customWidth="1"/>
    <col min="8" max="8" width="15.83203125" style="36" customWidth="1"/>
    <col min="9" max="9" width="3.33203125" style="36" customWidth="1"/>
    <col min="10" max="10" width="2" style="36" customWidth="1"/>
    <col min="11" max="11" width="38" style="36" customWidth="1"/>
    <col min="12" max="12" width="8.33203125" style="36" customWidth="1"/>
    <col min="13" max="13" width="4.33203125" style="36" customWidth="1"/>
    <col min="14" max="14" width="0.83203125" style="36" customWidth="1"/>
    <col min="15" max="15" width="11.6640625" style="36" customWidth="1"/>
    <col min="16" max="16" width="7.33203125" style="36" customWidth="1"/>
    <col min="17" max="17" width="11.6640625" style="207" customWidth="1"/>
    <col min="18" max="18" width="13.33203125" style="224" customWidth="1"/>
    <col min="19" max="19" width="8.33203125" style="36" customWidth="1"/>
    <col min="20" max="20" width="5.33203125" style="36" customWidth="1"/>
    <col min="21" max="41" width="9" style="36" hidden="1" customWidth="1"/>
    <col min="42" max="16384" width="9" style="36" hidden="1"/>
  </cols>
  <sheetData>
    <row r="1" spans="1:22" ht="45" customHeight="1">
      <c r="A1" s="276" t="s">
        <v>23</v>
      </c>
      <c r="B1" s="276"/>
      <c r="C1" s="276"/>
      <c r="D1" s="276"/>
      <c r="E1" s="276"/>
      <c r="F1" s="276"/>
      <c r="G1" s="276"/>
      <c r="H1" s="276"/>
      <c r="I1" s="276"/>
      <c r="J1" s="187"/>
      <c r="K1" s="39"/>
      <c r="L1" s="39"/>
      <c r="M1" s="39"/>
      <c r="N1" s="39"/>
      <c r="O1" s="39"/>
      <c r="P1" s="39"/>
      <c r="Q1" s="39"/>
      <c r="R1" s="39"/>
    </row>
    <row r="2" spans="1:22" ht="22" customHeight="1">
      <c r="A2" s="188"/>
      <c r="B2" s="365" t="s">
        <v>24</v>
      </c>
      <c r="C2" s="365"/>
      <c r="D2" s="365"/>
      <c r="E2" s="365"/>
      <c r="F2" s="365"/>
      <c r="G2" s="365"/>
      <c r="H2" s="365"/>
      <c r="I2" s="365"/>
      <c r="J2" s="39"/>
      <c r="K2" s="189"/>
      <c r="L2" s="189"/>
      <c r="M2" s="189"/>
      <c r="N2" s="189"/>
      <c r="O2" s="189"/>
      <c r="P2" s="189"/>
      <c r="Q2" s="189"/>
      <c r="R2" s="189"/>
    </row>
    <row r="3" spans="1:22" ht="50.25" customHeight="1">
      <c r="A3" s="190"/>
      <c r="B3" s="363" t="s">
        <v>25</v>
      </c>
      <c r="C3" s="363"/>
      <c r="D3" s="363"/>
      <c r="E3" s="363"/>
      <c r="F3" s="363"/>
      <c r="G3" s="363"/>
      <c r="H3" s="363"/>
      <c r="I3" s="363"/>
      <c r="J3" s="191"/>
      <c r="K3" s="192"/>
      <c r="L3" s="191"/>
      <c r="M3" s="191"/>
      <c r="N3" s="191"/>
      <c r="O3" s="191"/>
      <c r="P3" s="191"/>
      <c r="Q3" s="191"/>
      <c r="R3" s="191"/>
    </row>
    <row r="4" spans="1:22" ht="31.5" customHeight="1" thickBot="1">
      <c r="B4" s="364"/>
      <c r="C4" s="364"/>
      <c r="D4" s="364"/>
      <c r="E4" s="364"/>
      <c r="F4" s="364"/>
      <c r="G4" s="364"/>
      <c r="H4" s="364"/>
      <c r="I4" s="364"/>
      <c r="J4" s="193"/>
      <c r="K4" s="193"/>
      <c r="L4" s="193"/>
      <c r="M4" s="193"/>
      <c r="N4" s="193"/>
      <c r="O4" s="193"/>
      <c r="P4" s="193"/>
      <c r="Q4" s="193"/>
      <c r="R4" s="193"/>
    </row>
    <row r="5" spans="1:22" ht="15" customHeight="1">
      <c r="B5" s="367" t="s">
        <v>26</v>
      </c>
      <c r="C5" s="368"/>
      <c r="D5" s="368"/>
      <c r="E5" s="194"/>
      <c r="F5" s="371" t="s">
        <v>27</v>
      </c>
      <c r="G5" s="195"/>
      <c r="H5" s="196"/>
      <c r="I5" s="197"/>
      <c r="K5" s="387" t="s">
        <v>28</v>
      </c>
      <c r="L5" s="388"/>
      <c r="M5" s="388"/>
      <c r="N5" s="388"/>
      <c r="O5" s="388"/>
      <c r="P5" s="388"/>
      <c r="Q5" s="388"/>
      <c r="R5" s="389"/>
    </row>
    <row r="6" spans="1:22" ht="15" customHeight="1" thickBot="1">
      <c r="A6" s="198"/>
      <c r="B6" s="369"/>
      <c r="C6" s="370"/>
      <c r="D6" s="370"/>
      <c r="E6" s="199"/>
      <c r="F6" s="372"/>
      <c r="G6" s="200"/>
      <c r="H6" s="201"/>
      <c r="I6" s="202"/>
      <c r="K6" s="390"/>
      <c r="L6" s="391"/>
      <c r="M6" s="391"/>
      <c r="N6" s="391"/>
      <c r="O6" s="391"/>
      <c r="P6" s="391"/>
      <c r="Q6" s="391"/>
      <c r="R6" s="392"/>
    </row>
    <row r="7" spans="1:22" ht="17" customHeight="1">
      <c r="A7" s="198"/>
      <c r="B7" s="203" t="s">
        <v>29</v>
      </c>
      <c r="C7" s="204" t="s">
        <v>30</v>
      </c>
      <c r="D7" s="205" t="s">
        <v>31</v>
      </c>
      <c r="E7" s="206"/>
      <c r="F7" s="8">
        <v>300</v>
      </c>
      <c r="I7" s="208"/>
      <c r="K7" s="209" t="s">
        <v>32</v>
      </c>
      <c r="L7" s="210"/>
      <c r="M7" s="210"/>
      <c r="N7" s="210"/>
      <c r="O7" s="210"/>
      <c r="P7" s="211"/>
      <c r="Q7" s="383" t="s">
        <v>33</v>
      </c>
      <c r="R7" s="385" t="s">
        <v>34</v>
      </c>
    </row>
    <row r="8" spans="1:22" ht="17" customHeight="1">
      <c r="A8" s="198"/>
      <c r="B8" s="203" t="s">
        <v>35</v>
      </c>
      <c r="C8" s="204" t="s">
        <v>36</v>
      </c>
      <c r="D8" s="205" t="s">
        <v>37</v>
      </c>
      <c r="E8" s="206"/>
      <c r="F8" s="26">
        <v>2500</v>
      </c>
      <c r="H8" s="212" t="s">
        <v>38</v>
      </c>
      <c r="I8" s="208"/>
      <c r="K8" s="126" t="s">
        <v>39</v>
      </c>
      <c r="O8" s="213"/>
      <c r="P8" s="37"/>
      <c r="Q8" s="384"/>
      <c r="R8" s="386"/>
    </row>
    <row r="9" spans="1:22" ht="17" customHeight="1">
      <c r="A9" s="198"/>
      <c r="B9" s="203" t="s">
        <v>40</v>
      </c>
      <c r="C9" s="204" t="s">
        <v>41</v>
      </c>
      <c r="D9" s="214" t="s">
        <v>42</v>
      </c>
      <c r="E9" s="206"/>
      <c r="F9" s="9">
        <v>293.14999999999998</v>
      </c>
      <c r="H9" s="40" t="s">
        <v>43</v>
      </c>
      <c r="I9" s="215"/>
      <c r="K9" s="216"/>
      <c r="P9" s="37"/>
      <c r="Q9" s="384"/>
      <c r="R9" s="386"/>
    </row>
    <row r="10" spans="1:22" ht="17" customHeight="1">
      <c r="A10" s="198"/>
      <c r="B10" s="203" t="s">
        <v>44</v>
      </c>
      <c r="C10" s="204" t="s">
        <v>45</v>
      </c>
      <c r="D10" s="205" t="s">
        <v>46</v>
      </c>
      <c r="E10" s="206"/>
      <c r="F10" s="9">
        <v>25.92</v>
      </c>
      <c r="H10" s="217"/>
      <c r="I10" s="208"/>
      <c r="K10" s="216"/>
      <c r="P10" s="37"/>
      <c r="Q10" s="218" t="s">
        <v>47</v>
      </c>
      <c r="R10" s="219" t="s">
        <v>48</v>
      </c>
    </row>
    <row r="11" spans="1:22" ht="17" customHeight="1">
      <c r="A11" s="38"/>
      <c r="B11" s="203" t="s">
        <v>49</v>
      </c>
      <c r="C11" s="204" t="s">
        <v>50</v>
      </c>
      <c r="D11" s="205" t="s">
        <v>51</v>
      </c>
      <c r="E11" s="206"/>
      <c r="F11" s="27">
        <v>1.53</v>
      </c>
      <c r="G11" s="220"/>
      <c r="I11" s="208"/>
      <c r="K11" s="216"/>
      <c r="P11" s="221"/>
      <c r="Q11" s="30">
        <v>0</v>
      </c>
      <c r="R11" s="32">
        <v>100</v>
      </c>
    </row>
    <row r="12" spans="1:22" ht="17" customHeight="1">
      <c r="A12" s="198"/>
      <c r="B12" s="203" t="s">
        <v>52</v>
      </c>
      <c r="C12" s="204" t="s">
        <v>53</v>
      </c>
      <c r="D12" s="205" t="s">
        <v>54</v>
      </c>
      <c r="E12" s="206"/>
      <c r="F12" s="9">
        <v>44.87</v>
      </c>
      <c r="H12" s="217"/>
      <c r="I12" s="208"/>
      <c r="K12" s="216"/>
      <c r="P12" s="221"/>
      <c r="Q12" s="30">
        <v>10</v>
      </c>
      <c r="R12" s="32">
        <v>100</v>
      </c>
    </row>
    <row r="13" spans="1:22" ht="17" customHeight="1">
      <c r="A13" s="198"/>
      <c r="B13" s="203" t="s">
        <v>55</v>
      </c>
      <c r="C13" s="204" t="s">
        <v>56</v>
      </c>
      <c r="D13" s="205" t="s">
        <v>57</v>
      </c>
      <c r="E13" s="206"/>
      <c r="F13" s="10">
        <v>6.4000000000000001E-2</v>
      </c>
      <c r="H13" s="217"/>
      <c r="I13" s="208"/>
      <c r="K13" s="216"/>
      <c r="P13" s="221"/>
      <c r="Q13" s="30">
        <v>50</v>
      </c>
      <c r="R13" s="32">
        <v>30</v>
      </c>
    </row>
    <row r="14" spans="1:22" ht="17" customHeight="1">
      <c r="A14" s="198"/>
      <c r="B14" s="203" t="s">
        <v>58</v>
      </c>
      <c r="C14" s="204" t="s">
        <v>59</v>
      </c>
      <c r="D14" s="205" t="s">
        <v>57</v>
      </c>
      <c r="E14" s="206"/>
      <c r="F14" s="92">
        <v>0.37</v>
      </c>
      <c r="H14" s="217"/>
      <c r="I14" s="208"/>
      <c r="K14" s="216"/>
      <c r="P14" s="221"/>
      <c r="Q14" s="30">
        <v>100</v>
      </c>
      <c r="R14" s="32">
        <v>10</v>
      </c>
    </row>
    <row r="15" spans="1:22" ht="17" customHeight="1">
      <c r="A15" s="198"/>
      <c r="B15" s="222" t="s">
        <v>60</v>
      </c>
      <c r="C15" s="204" t="s">
        <v>61</v>
      </c>
      <c r="D15" s="205" t="s">
        <v>62</v>
      </c>
      <c r="E15" s="206"/>
      <c r="F15" s="92">
        <v>4.5999999999999999E-2</v>
      </c>
      <c r="I15" s="208"/>
      <c r="K15" s="216"/>
      <c r="P15" s="221"/>
      <c r="Q15" s="30">
        <v>150</v>
      </c>
      <c r="R15" s="32">
        <v>2</v>
      </c>
    </row>
    <row r="16" spans="1:22" ht="17" customHeight="1">
      <c r="A16" s="198"/>
      <c r="B16" s="203" t="s">
        <v>63</v>
      </c>
      <c r="C16" s="204" t="s">
        <v>64</v>
      </c>
      <c r="D16" s="205" t="s">
        <v>65</v>
      </c>
      <c r="E16" s="206"/>
      <c r="F16" s="9">
        <v>0.41</v>
      </c>
      <c r="H16" s="217"/>
      <c r="I16" s="208"/>
      <c r="K16" s="216"/>
      <c r="P16" s="221"/>
      <c r="Q16" s="30">
        <v>250</v>
      </c>
      <c r="R16" s="33">
        <v>1</v>
      </c>
      <c r="S16" s="223"/>
      <c r="T16" s="224"/>
      <c r="U16" s="224"/>
      <c r="V16" s="224"/>
    </row>
    <row r="17" spans="1:23" ht="17" customHeight="1">
      <c r="A17" s="198"/>
      <c r="B17" s="203" t="s">
        <v>66</v>
      </c>
      <c r="C17" s="204" t="s">
        <v>67</v>
      </c>
      <c r="D17" s="205" t="s">
        <v>68</v>
      </c>
      <c r="E17" s="206"/>
      <c r="F17" s="11">
        <v>1.7999999999999999E-2</v>
      </c>
      <c r="H17" s="217"/>
      <c r="I17" s="208"/>
      <c r="K17" s="216"/>
      <c r="Q17" s="30">
        <v>300</v>
      </c>
      <c r="R17" s="32">
        <v>0.5</v>
      </c>
    </row>
    <row r="18" spans="1:23" ht="17" customHeight="1">
      <c r="A18" s="198"/>
      <c r="B18" s="203" t="s">
        <v>69</v>
      </c>
      <c r="C18" s="204" t="s">
        <v>70</v>
      </c>
      <c r="D18" s="205" t="s">
        <v>57</v>
      </c>
      <c r="E18" s="206"/>
      <c r="F18" s="9">
        <v>1.51</v>
      </c>
      <c r="H18" s="217"/>
      <c r="I18" s="208"/>
      <c r="K18" s="216"/>
      <c r="Q18" s="30"/>
      <c r="R18" s="34"/>
      <c r="T18" s="225"/>
    </row>
    <row r="19" spans="1:23" ht="17" customHeight="1">
      <c r="A19" s="198"/>
      <c r="B19" s="203" t="s">
        <v>71</v>
      </c>
      <c r="C19" s="204" t="s">
        <v>72</v>
      </c>
      <c r="D19" s="205" t="s">
        <v>62</v>
      </c>
      <c r="E19" s="206"/>
      <c r="F19" s="13">
        <v>13.908744469116712</v>
      </c>
      <c r="H19" s="217"/>
      <c r="I19" s="208"/>
      <c r="K19" s="216"/>
      <c r="Q19" s="30"/>
      <c r="R19" s="34"/>
      <c r="T19" s="225"/>
    </row>
    <row r="20" spans="1:23" ht="17" customHeight="1">
      <c r="A20" s="198"/>
      <c r="B20" s="203" t="s">
        <v>73</v>
      </c>
      <c r="C20" s="204" t="s">
        <v>74</v>
      </c>
      <c r="D20" s="205" t="s">
        <v>57</v>
      </c>
      <c r="E20" s="206"/>
      <c r="F20" s="14">
        <v>0.21890879227284052</v>
      </c>
      <c r="H20" s="217"/>
      <c r="I20" s="208"/>
      <c r="K20" s="216"/>
      <c r="Q20" s="30"/>
      <c r="R20" s="33"/>
      <c r="W20" s="207"/>
    </row>
    <row r="21" spans="1:23" ht="17" customHeight="1">
      <c r="A21" s="198"/>
      <c r="B21" s="222" t="s">
        <v>75</v>
      </c>
      <c r="C21" s="226" t="s">
        <v>76</v>
      </c>
      <c r="D21" s="205" t="s">
        <v>57</v>
      </c>
      <c r="E21" s="206"/>
      <c r="F21" s="28">
        <v>4.7075820889548643</v>
      </c>
      <c r="I21" s="227"/>
      <c r="K21" s="216"/>
      <c r="Q21" s="30"/>
      <c r="R21" s="33"/>
    </row>
    <row r="22" spans="1:23" ht="17" customHeight="1" thickBot="1">
      <c r="A22" s="198"/>
      <c r="B22" s="228" t="s">
        <v>77</v>
      </c>
      <c r="C22" s="229" t="s">
        <v>78</v>
      </c>
      <c r="D22" s="230" t="s">
        <v>79</v>
      </c>
      <c r="E22" s="231"/>
      <c r="F22" s="29">
        <v>751.15337563371929</v>
      </c>
      <c r="G22" s="232"/>
      <c r="H22" s="233"/>
      <c r="I22" s="234"/>
      <c r="K22" s="216"/>
      <c r="Q22" s="30"/>
      <c r="R22" s="33"/>
      <c r="T22" s="223"/>
      <c r="U22" s="223"/>
      <c r="V22" s="223"/>
      <c r="W22" s="223"/>
    </row>
    <row r="23" spans="1:23" ht="17" customHeight="1" thickBot="1">
      <c r="K23" s="216"/>
      <c r="Q23" s="30"/>
      <c r="R23" s="33"/>
    </row>
    <row r="24" spans="1:23" ht="15" customHeight="1">
      <c r="B24" s="367" t="s">
        <v>80</v>
      </c>
      <c r="C24" s="368"/>
      <c r="D24" s="368"/>
      <c r="E24" s="194"/>
      <c r="F24" s="371" t="s">
        <v>27</v>
      </c>
      <c r="G24" s="195"/>
      <c r="H24" s="196"/>
      <c r="I24" s="197"/>
      <c r="K24" s="216"/>
      <c r="Q24" s="30"/>
      <c r="R24" s="33"/>
      <c r="S24" s="223"/>
      <c r="T24" s="224"/>
      <c r="U24" s="224"/>
      <c r="V24" s="224"/>
    </row>
    <row r="25" spans="1:23" ht="15" customHeight="1" thickBot="1">
      <c r="B25" s="369"/>
      <c r="C25" s="370"/>
      <c r="D25" s="370"/>
      <c r="E25" s="199"/>
      <c r="F25" s="372"/>
      <c r="G25" s="200"/>
      <c r="H25" s="201"/>
      <c r="I25" s="202"/>
      <c r="K25" s="330"/>
      <c r="L25" s="331"/>
      <c r="M25" s="331"/>
      <c r="N25" s="331"/>
      <c r="O25" s="331"/>
      <c r="P25" s="331"/>
      <c r="Q25" s="30"/>
      <c r="R25" s="33"/>
      <c r="S25" s="223"/>
      <c r="T25" s="224"/>
      <c r="U25" s="224"/>
      <c r="V25" s="224"/>
    </row>
    <row r="26" spans="1:23" ht="17" customHeight="1">
      <c r="B26" s="203" t="s">
        <v>81</v>
      </c>
      <c r="C26" s="204" t="s">
        <v>82</v>
      </c>
      <c r="D26" s="205" t="s">
        <v>83</v>
      </c>
      <c r="E26" s="206"/>
      <c r="F26" s="20">
        <v>62.1</v>
      </c>
      <c r="G26" s="237"/>
      <c r="I26" s="208"/>
      <c r="K26" s="330"/>
      <c r="L26" s="331"/>
      <c r="M26" s="331"/>
      <c r="N26" s="331"/>
      <c r="O26" s="331"/>
      <c r="P26" s="331"/>
      <c r="Q26" s="30"/>
      <c r="R26" s="33"/>
      <c r="S26" s="223"/>
      <c r="T26" s="224"/>
      <c r="U26" s="224"/>
      <c r="V26" s="224"/>
    </row>
    <row r="27" spans="1:23" ht="17" customHeight="1">
      <c r="B27" s="203" t="s">
        <v>81</v>
      </c>
      <c r="C27" s="204" t="s">
        <v>84</v>
      </c>
      <c r="D27" s="205" t="s">
        <v>57</v>
      </c>
      <c r="E27" s="206"/>
      <c r="F27" s="9">
        <v>0.19</v>
      </c>
      <c r="H27" s="212" t="s">
        <v>85</v>
      </c>
      <c r="I27" s="208"/>
      <c r="K27" s="330"/>
      <c r="L27" s="331"/>
      <c r="M27" s="331"/>
      <c r="N27" s="331"/>
      <c r="O27" s="331"/>
      <c r="P27" s="331"/>
      <c r="Q27" s="30"/>
      <c r="R27" s="33"/>
      <c r="S27" s="223"/>
      <c r="T27" s="224"/>
      <c r="U27" s="224"/>
      <c r="V27" s="224"/>
    </row>
    <row r="28" spans="1:23" ht="17" customHeight="1">
      <c r="B28" s="203" t="s">
        <v>81</v>
      </c>
      <c r="C28" s="204" t="s">
        <v>86</v>
      </c>
      <c r="D28" s="205" t="s">
        <v>87</v>
      </c>
      <c r="E28" s="206"/>
      <c r="F28" s="19">
        <v>71</v>
      </c>
      <c r="H28" s="40" t="s">
        <v>88</v>
      </c>
      <c r="I28" s="208"/>
      <c r="K28" s="330"/>
      <c r="L28" s="331"/>
      <c r="M28" s="331"/>
      <c r="N28" s="331"/>
      <c r="O28" s="331"/>
      <c r="P28" s="331"/>
      <c r="Q28" s="30"/>
      <c r="R28" s="33"/>
      <c r="S28" s="223"/>
      <c r="T28" s="224"/>
      <c r="U28" s="224"/>
      <c r="V28" s="224"/>
    </row>
    <row r="29" spans="1:23" ht="17" customHeight="1">
      <c r="B29" s="203" t="s">
        <v>89</v>
      </c>
      <c r="C29" s="204" t="s">
        <v>90</v>
      </c>
      <c r="D29" s="205" t="s">
        <v>91</v>
      </c>
      <c r="E29" s="206"/>
      <c r="F29" s="9">
        <v>414.07</v>
      </c>
      <c r="H29" s="217"/>
      <c r="I29" s="208"/>
      <c r="K29" s="330"/>
      <c r="L29" s="331"/>
      <c r="M29" s="331"/>
      <c r="N29" s="331"/>
      <c r="O29" s="331"/>
      <c r="P29" s="331"/>
      <c r="Q29" s="30"/>
      <c r="R29" s="33"/>
      <c r="S29" s="223"/>
      <c r="T29" s="224"/>
      <c r="U29" s="224"/>
      <c r="V29" s="224"/>
    </row>
    <row r="30" spans="1:23" ht="17" customHeight="1">
      <c r="B30" s="203" t="s">
        <v>92</v>
      </c>
      <c r="C30" s="204" t="s">
        <v>93</v>
      </c>
      <c r="D30" s="205" t="s">
        <v>94</v>
      </c>
      <c r="E30" s="206"/>
      <c r="F30" s="12">
        <v>4.8999999999999997E-6</v>
      </c>
      <c r="H30" s="238"/>
      <c r="I30" s="208"/>
      <c r="K30" s="239"/>
      <c r="L30" s="240"/>
      <c r="M30" s="240"/>
      <c r="N30" s="240"/>
      <c r="O30" s="240"/>
      <c r="P30" s="331"/>
      <c r="Q30" s="30"/>
      <c r="R30" s="33"/>
      <c r="S30" s="223"/>
      <c r="T30" s="224"/>
      <c r="U30" s="224"/>
      <c r="V30" s="224"/>
    </row>
    <row r="31" spans="1:23" ht="17" customHeight="1">
      <c r="B31" s="203" t="s">
        <v>95</v>
      </c>
      <c r="C31" s="241" t="s">
        <v>96</v>
      </c>
      <c r="D31" s="205" t="s">
        <v>97</v>
      </c>
      <c r="E31" s="206"/>
      <c r="F31" s="9">
        <v>237.2</v>
      </c>
      <c r="G31" s="242"/>
      <c r="H31" s="217"/>
      <c r="I31" s="208"/>
      <c r="K31" s="243" t="s">
        <v>30</v>
      </c>
      <c r="L31" s="240" t="str">
        <f>IF(LEN($F$7)&gt;0, "= " &amp;F7 &amp; " cm", "")</f>
        <v>= 300 cm</v>
      </c>
      <c r="M31" s="240"/>
      <c r="N31" s="240"/>
      <c r="O31" s="240"/>
      <c r="P31" s="331"/>
      <c r="Q31" s="30"/>
      <c r="R31" s="33"/>
      <c r="S31" s="223"/>
      <c r="T31" s="224"/>
      <c r="U31" s="224"/>
      <c r="V31" s="224"/>
    </row>
    <row r="32" spans="1:23" ht="17" customHeight="1">
      <c r="B32" s="203" t="s">
        <v>98</v>
      </c>
      <c r="C32" s="204" t="s">
        <v>99</v>
      </c>
      <c r="D32" s="205" t="s">
        <v>100</v>
      </c>
      <c r="E32" s="206"/>
      <c r="F32" s="20">
        <v>136.19999999999999</v>
      </c>
      <c r="G32" s="242"/>
      <c r="H32" s="217"/>
      <c r="I32" s="208"/>
      <c r="K32" s="243" t="s">
        <v>101</v>
      </c>
      <c r="L32" s="240" t="str">
        <f>IF(LEN($F$41)&gt;0, "= " &amp; F41 &amp; " m/yr", "")</f>
        <v>= 365 m/yr</v>
      </c>
      <c r="M32" s="240"/>
      <c r="N32" s="240"/>
      <c r="O32" s="240"/>
      <c r="P32" s="331"/>
      <c r="Q32" s="30"/>
      <c r="R32" s="33"/>
      <c r="S32" s="223"/>
      <c r="T32" s="224"/>
      <c r="U32" s="224"/>
      <c r="V32" s="224"/>
    </row>
    <row r="33" spans="2:26" ht="17" customHeight="1">
      <c r="B33" s="203" t="s">
        <v>102</v>
      </c>
      <c r="C33" s="204" t="s">
        <v>103</v>
      </c>
      <c r="D33" s="205" t="s">
        <v>100</v>
      </c>
      <c r="E33" s="206"/>
      <c r="F33" s="139">
        <v>0.55841999999999992</v>
      </c>
      <c r="G33" s="242"/>
      <c r="H33" s="217"/>
      <c r="I33" s="208"/>
      <c r="K33" s="243" t="s">
        <v>104</v>
      </c>
      <c r="L33" s="240" t="str">
        <f>IF(LEN(F42)&gt;0, "= " &amp;  TEXT(F42, "0.00")  &amp; " m", "")</f>
        <v>= 3.00 m</v>
      </c>
      <c r="M33" s="240"/>
      <c r="N33" s="240"/>
      <c r="O33" s="240"/>
      <c r="P33" s="331"/>
      <c r="Q33" s="30"/>
      <c r="R33" s="33"/>
      <c r="S33" s="223"/>
      <c r="T33" s="224"/>
      <c r="U33" s="224"/>
      <c r="V33" s="224"/>
    </row>
    <row r="34" spans="2:26" ht="17" customHeight="1">
      <c r="B34" s="244" t="s">
        <v>105</v>
      </c>
      <c r="C34" s="245" t="s">
        <v>106</v>
      </c>
      <c r="D34" s="246" t="s">
        <v>107</v>
      </c>
      <c r="E34" s="247"/>
      <c r="F34" s="21">
        <v>3.6923528244082638E-3</v>
      </c>
      <c r="H34" s="238"/>
      <c r="I34" s="208"/>
      <c r="K34" s="243" t="s">
        <v>108</v>
      </c>
      <c r="L34" s="240" t="str">
        <f>IF(LEN(F43)&gt;0, "= " &amp; F43 &amp; " m", "")</f>
        <v>= 0.35 m</v>
      </c>
      <c r="M34" s="240"/>
      <c r="N34" s="240"/>
      <c r="O34" s="240"/>
      <c r="P34" s="331"/>
      <c r="Q34" s="30"/>
      <c r="R34" s="33"/>
      <c r="S34" s="223"/>
      <c r="T34" s="224"/>
      <c r="U34" s="224"/>
      <c r="V34" s="224"/>
    </row>
    <row r="35" spans="2:26" ht="18" customHeight="1">
      <c r="B35" s="380" t="s">
        <v>109</v>
      </c>
      <c r="C35" s="381"/>
      <c r="D35" s="381"/>
      <c r="E35" s="381"/>
      <c r="F35" s="382"/>
      <c r="H35" s="238"/>
      <c r="I35" s="208"/>
      <c r="K35" s="243" t="s">
        <v>110</v>
      </c>
      <c r="L35" s="248" t="str">
        <f>IF(LEN(F45)&gt;0, "= " &amp; TEXT(F45, "0.00") &amp; " m", "")</f>
        <v>= 0.32 m</v>
      </c>
      <c r="M35" s="240"/>
      <c r="N35" s="240"/>
      <c r="O35" s="240"/>
      <c r="P35" s="331"/>
      <c r="Q35" s="30"/>
      <c r="R35" s="33"/>
      <c r="S35" s="223"/>
      <c r="T35" s="224"/>
      <c r="U35" s="224"/>
      <c r="V35" s="224"/>
    </row>
    <row r="36" spans="2:26" ht="17" customHeight="1">
      <c r="B36" s="249" t="s">
        <v>111</v>
      </c>
      <c r="C36" s="250" t="s">
        <v>112</v>
      </c>
      <c r="D36" s="251" t="s">
        <v>57</v>
      </c>
      <c r="E36" s="252"/>
      <c r="F36" s="15">
        <v>0.5</v>
      </c>
      <c r="H36" s="217"/>
      <c r="I36" s="208"/>
      <c r="K36" s="243" t="s">
        <v>113</v>
      </c>
      <c r="L36" s="240" t="str">
        <f>IF(LEN(F10)&gt;0, "= " &amp; F10 &amp; " cm/yr", "")</f>
        <v>= 25.92 cm/yr</v>
      </c>
      <c r="M36" s="240"/>
      <c r="N36" s="240"/>
      <c r="O36" s="240"/>
      <c r="P36" s="331"/>
      <c r="Q36" s="30"/>
      <c r="R36" s="33"/>
      <c r="S36" s="223"/>
      <c r="T36" s="224"/>
      <c r="U36" s="224"/>
      <c r="V36" s="224"/>
    </row>
    <row r="37" spans="2:26" ht="17" customHeight="1" thickBot="1">
      <c r="B37" s="228" t="s">
        <v>114</v>
      </c>
      <c r="C37" s="253" t="s">
        <v>115</v>
      </c>
      <c r="D37" s="230" t="s">
        <v>116</v>
      </c>
      <c r="E37" s="254"/>
      <c r="F37" s="22">
        <v>1E-4</v>
      </c>
      <c r="G37" s="232"/>
      <c r="H37" s="255"/>
      <c r="I37" s="234"/>
      <c r="K37" s="239"/>
      <c r="L37" s="240"/>
      <c r="M37" s="240"/>
      <c r="N37" s="240"/>
      <c r="O37" s="240"/>
      <c r="P37" s="331"/>
      <c r="Q37" s="30"/>
      <c r="R37" s="33"/>
      <c r="S37" s="223"/>
      <c r="U37" s="207"/>
    </row>
    <row r="38" spans="2:26" ht="17" customHeight="1" thickBot="1">
      <c r="K38" s="239"/>
      <c r="L38" s="240"/>
      <c r="M38" s="240"/>
      <c r="N38" s="240"/>
      <c r="O38" s="240"/>
      <c r="P38" s="331"/>
      <c r="Q38" s="30"/>
      <c r="R38" s="33"/>
      <c r="S38" s="223"/>
    </row>
    <row r="39" spans="2:26" ht="15" customHeight="1">
      <c r="B39" s="367" t="s">
        <v>117</v>
      </c>
      <c r="C39" s="368"/>
      <c r="D39" s="368"/>
      <c r="E39" s="194"/>
      <c r="F39" s="371" t="s">
        <v>27</v>
      </c>
      <c r="G39" s="195"/>
      <c r="H39" s="196"/>
      <c r="I39" s="197"/>
      <c r="K39" s="330"/>
      <c r="L39" s="331"/>
      <c r="M39" s="331"/>
      <c r="N39" s="331"/>
      <c r="O39" s="331"/>
      <c r="P39" s="331"/>
      <c r="Q39" s="30"/>
      <c r="R39" s="34"/>
      <c r="S39" s="223"/>
    </row>
    <row r="40" spans="2:26" ht="15" customHeight="1" thickBot="1">
      <c r="B40" s="369"/>
      <c r="C40" s="370"/>
      <c r="D40" s="370"/>
      <c r="E40" s="199"/>
      <c r="F40" s="372"/>
      <c r="G40" s="200"/>
      <c r="H40" s="201"/>
      <c r="I40" s="202"/>
      <c r="K40" s="256"/>
      <c r="L40" s="257"/>
      <c r="M40" s="257"/>
      <c r="N40" s="257"/>
      <c r="O40" s="257"/>
      <c r="P40" s="258"/>
      <c r="Q40" s="31"/>
      <c r="R40" s="35"/>
      <c r="S40" s="223"/>
    </row>
    <row r="41" spans="2:26" ht="17" customHeight="1" thickBot="1">
      <c r="B41" s="259" t="s">
        <v>118</v>
      </c>
      <c r="C41" s="260" t="s">
        <v>119</v>
      </c>
      <c r="D41" s="261" t="s">
        <v>120</v>
      </c>
      <c r="E41" s="262"/>
      <c r="F41" s="174">
        <v>365</v>
      </c>
      <c r="H41" s="37"/>
      <c r="I41" s="208"/>
      <c r="K41" s="207"/>
      <c r="Q41" s="37"/>
    </row>
    <row r="42" spans="2:26" ht="17" customHeight="1">
      <c r="B42" s="203" t="s">
        <v>121</v>
      </c>
      <c r="C42" s="204" t="s">
        <v>104</v>
      </c>
      <c r="D42" s="205" t="s">
        <v>122</v>
      </c>
      <c r="E42" s="206"/>
      <c r="F42" s="174">
        <v>3</v>
      </c>
      <c r="H42" s="37"/>
      <c r="I42" s="208"/>
      <c r="K42" s="367" t="s">
        <v>123</v>
      </c>
      <c r="L42" s="368"/>
      <c r="M42" s="368"/>
      <c r="N42" s="194"/>
      <c r="O42" s="371" t="s">
        <v>27</v>
      </c>
      <c r="P42" s="263"/>
      <c r="Q42" s="264"/>
      <c r="R42" s="265"/>
      <c r="Y42" s="223"/>
      <c r="Z42" s="224"/>
    </row>
    <row r="43" spans="2:26" ht="17" customHeight="1" thickBot="1">
      <c r="B43" s="266" t="s">
        <v>124</v>
      </c>
      <c r="C43" s="267" t="s">
        <v>125</v>
      </c>
      <c r="D43" s="37" t="s">
        <v>122</v>
      </c>
      <c r="E43" s="268"/>
      <c r="F43" s="175">
        <v>0.35</v>
      </c>
      <c r="H43" s="37"/>
      <c r="I43" s="208"/>
      <c r="K43" s="369"/>
      <c r="L43" s="370"/>
      <c r="M43" s="370"/>
      <c r="N43" s="199"/>
      <c r="O43" s="372"/>
      <c r="P43" s="374" t="s">
        <v>126</v>
      </c>
      <c r="Q43" s="375"/>
      <c r="R43" s="376"/>
      <c r="V43" s="225"/>
      <c r="Y43" s="223"/>
      <c r="Z43" s="224"/>
    </row>
    <row r="44" spans="2:26" ht="17" customHeight="1">
      <c r="B44" s="203" t="s">
        <v>127</v>
      </c>
      <c r="C44" s="267" t="s">
        <v>128</v>
      </c>
      <c r="D44" s="37" t="s">
        <v>122</v>
      </c>
      <c r="E44" s="268"/>
      <c r="F44" s="176">
        <v>1.6799999999999999E-2</v>
      </c>
      <c r="H44" s="37"/>
      <c r="I44" s="208"/>
      <c r="K44" s="259" t="s">
        <v>129</v>
      </c>
      <c r="L44" s="260" t="s">
        <v>130</v>
      </c>
      <c r="M44" s="261" t="s">
        <v>131</v>
      </c>
      <c r="N44" s="262"/>
      <c r="O44" s="16">
        <v>100</v>
      </c>
      <c r="P44" s="374"/>
      <c r="Q44" s="375"/>
      <c r="R44" s="376"/>
      <c r="Y44" s="223"/>
      <c r="Z44" s="224"/>
    </row>
    <row r="45" spans="2:26" ht="15" customHeight="1">
      <c r="B45" s="266" t="s">
        <v>132</v>
      </c>
      <c r="C45" s="267" t="s">
        <v>133</v>
      </c>
      <c r="D45" s="37" t="s">
        <v>122</v>
      </c>
      <c r="E45" s="268"/>
      <c r="F45" s="176">
        <v>0.31961409763508913</v>
      </c>
      <c r="H45" s="37"/>
      <c r="I45" s="208"/>
      <c r="K45" s="203" t="s">
        <v>134</v>
      </c>
      <c r="L45" s="204" t="s">
        <v>135</v>
      </c>
      <c r="M45" s="205" t="s">
        <v>131</v>
      </c>
      <c r="N45" s="206"/>
      <c r="O45" s="17">
        <v>1</v>
      </c>
      <c r="P45" s="269"/>
      <c r="Q45" s="36"/>
      <c r="R45" s="270"/>
      <c r="U45" s="207"/>
      <c r="Y45" s="223"/>
      <c r="Z45" s="224"/>
    </row>
    <row r="46" spans="2:26" ht="15.75" customHeight="1" thickBot="1">
      <c r="B46" s="228" t="s">
        <v>136</v>
      </c>
      <c r="C46" s="229" t="s">
        <v>137</v>
      </c>
      <c r="D46" s="230" t="s">
        <v>138</v>
      </c>
      <c r="E46" s="231"/>
      <c r="F46" s="140">
        <v>151.02462144651173</v>
      </c>
      <c r="G46" s="271"/>
      <c r="H46" s="272"/>
      <c r="I46" s="234"/>
      <c r="K46" s="228" t="s">
        <v>139</v>
      </c>
      <c r="L46" s="229" t="s">
        <v>140</v>
      </c>
      <c r="M46" s="230" t="s">
        <v>141</v>
      </c>
      <c r="N46" s="231"/>
      <c r="O46" s="18">
        <v>4</v>
      </c>
      <c r="P46" s="377" t="s">
        <v>142</v>
      </c>
      <c r="Q46" s="378"/>
      <c r="R46" s="379"/>
      <c r="S46" s="223"/>
      <c r="T46" s="224"/>
      <c r="U46" s="224"/>
      <c r="V46" s="224"/>
    </row>
    <row r="47" spans="2:26" ht="13" customHeight="1">
      <c r="K47" s="207"/>
      <c r="Q47" s="37"/>
      <c r="Y47" s="223"/>
      <c r="Z47" s="224"/>
    </row>
    <row r="48" spans="2:26" ht="14" customHeight="1">
      <c r="K48" s="207"/>
      <c r="Q48" s="37"/>
      <c r="Y48" s="223"/>
      <c r="Z48" s="224"/>
    </row>
    <row r="49" spans="1:26">
      <c r="K49" s="207"/>
      <c r="O49" s="207"/>
      <c r="Q49" s="37"/>
      <c r="Y49" s="223"/>
      <c r="Z49" s="224"/>
    </row>
    <row r="50" spans="1:26" hidden="1">
      <c r="K50" s="207"/>
      <c r="Q50" s="37"/>
      <c r="Y50" s="223"/>
      <c r="Z50" s="224"/>
    </row>
    <row r="51" spans="1:26" hidden="1">
      <c r="K51" s="207"/>
      <c r="Q51" s="37"/>
      <c r="S51" s="223"/>
      <c r="T51" s="224"/>
      <c r="U51" s="224"/>
      <c r="V51" s="224"/>
    </row>
    <row r="52" spans="1:26" hidden="1">
      <c r="K52" s="207"/>
      <c r="Q52" s="37"/>
      <c r="S52" s="223"/>
      <c r="T52" s="224"/>
      <c r="U52" s="224"/>
      <c r="V52" s="224"/>
    </row>
    <row r="53" spans="1:26" hidden="1">
      <c r="D53" s="273"/>
      <c r="E53" s="274"/>
      <c r="F53" s="274"/>
      <c r="G53" s="274"/>
      <c r="H53" s="274"/>
      <c r="I53" s="274"/>
      <c r="J53" s="274"/>
      <c r="Q53" s="37"/>
      <c r="S53" s="223"/>
      <c r="T53" s="224"/>
      <c r="U53" s="224"/>
      <c r="V53" s="224"/>
    </row>
    <row r="54" spans="1:26" hidden="1">
      <c r="Q54" s="37"/>
      <c r="S54" s="223"/>
      <c r="T54" s="224"/>
      <c r="U54" s="224"/>
      <c r="V54" s="224"/>
    </row>
    <row r="55" spans="1:26" hidden="1">
      <c r="B55" s="373"/>
      <c r="C55" s="373"/>
      <c r="D55" s="373"/>
      <c r="E55" s="373"/>
      <c r="F55" s="373"/>
      <c r="G55" s="373"/>
      <c r="H55" s="373"/>
      <c r="Q55" s="37"/>
      <c r="S55" s="223"/>
      <c r="T55" s="224"/>
      <c r="U55" s="224"/>
      <c r="V55" s="224"/>
    </row>
    <row r="56" spans="1:26" hidden="1">
      <c r="A56" s="366"/>
      <c r="B56" s="373"/>
      <c r="C56" s="373"/>
      <c r="D56" s="373"/>
      <c r="E56" s="373"/>
      <c r="F56" s="373"/>
      <c r="G56" s="373"/>
      <c r="H56" s="373"/>
      <c r="I56" s="37"/>
      <c r="Q56" s="37"/>
      <c r="S56" s="223"/>
      <c r="T56" s="224"/>
      <c r="U56" s="224"/>
      <c r="V56" s="224"/>
    </row>
    <row r="57" spans="1:26" hidden="1">
      <c r="A57" s="366"/>
      <c r="B57" s="373"/>
      <c r="C57" s="373"/>
      <c r="D57" s="373"/>
      <c r="E57" s="373"/>
      <c r="F57" s="373"/>
      <c r="G57" s="373"/>
      <c r="H57" s="373"/>
      <c r="Q57" s="37"/>
      <c r="S57" s="223"/>
      <c r="T57" s="224"/>
      <c r="U57" s="224"/>
      <c r="V57" s="224"/>
    </row>
    <row r="58" spans="1:26" hidden="1">
      <c r="A58" s="366"/>
      <c r="B58" s="373"/>
      <c r="C58" s="373"/>
      <c r="D58" s="373"/>
      <c r="E58" s="373"/>
      <c r="F58" s="373"/>
      <c r="G58" s="373"/>
      <c r="H58" s="373"/>
      <c r="Q58" s="37"/>
      <c r="S58" s="223"/>
      <c r="T58" s="224"/>
      <c r="U58" s="224"/>
      <c r="V58" s="224"/>
    </row>
    <row r="59" spans="1:26" hidden="1">
      <c r="A59" s="366"/>
      <c r="B59" s="373"/>
      <c r="C59" s="373"/>
      <c r="D59" s="373"/>
      <c r="E59" s="373"/>
      <c r="F59" s="373"/>
      <c r="G59" s="373"/>
      <c r="H59" s="373"/>
      <c r="Q59" s="37"/>
      <c r="S59" s="223"/>
      <c r="T59" s="224"/>
      <c r="U59" s="224"/>
      <c r="V59" s="224"/>
    </row>
    <row r="60" spans="1:26" hidden="1">
      <c r="A60" s="366"/>
      <c r="Q60" s="37"/>
      <c r="S60" s="223"/>
      <c r="T60" s="224"/>
      <c r="U60" s="224"/>
      <c r="V60" s="224"/>
    </row>
    <row r="61" spans="1:26" hidden="1">
      <c r="A61" s="366"/>
      <c r="Q61" s="37"/>
      <c r="S61" s="223"/>
      <c r="U61" s="224"/>
      <c r="V61" s="224"/>
    </row>
    <row r="62" spans="1:26" hidden="1">
      <c r="A62" s="366"/>
      <c r="Q62" s="37"/>
      <c r="S62" s="223"/>
      <c r="U62" s="224"/>
      <c r="V62" s="224"/>
    </row>
    <row r="63" spans="1:26" hidden="1">
      <c r="A63" s="366"/>
      <c r="Q63" s="37"/>
      <c r="S63" s="223"/>
      <c r="U63" s="224"/>
      <c r="V63" s="224"/>
    </row>
    <row r="64" spans="1:26" hidden="1">
      <c r="A64" s="366"/>
      <c r="Q64" s="37"/>
      <c r="S64" s="223"/>
      <c r="U64" s="224"/>
      <c r="V64" s="224"/>
    </row>
    <row r="65" spans="1:22" hidden="1">
      <c r="A65" s="366"/>
      <c r="Q65" s="37"/>
      <c r="S65" s="223"/>
      <c r="U65" s="224"/>
      <c r="V65" s="224"/>
    </row>
    <row r="66" spans="1:22" hidden="1">
      <c r="A66" s="366"/>
      <c r="Q66" s="37"/>
      <c r="S66" s="223"/>
      <c r="U66" s="224"/>
      <c r="V66" s="224"/>
    </row>
    <row r="67" spans="1:22" hidden="1">
      <c r="A67" s="366"/>
      <c r="Q67" s="37"/>
      <c r="S67" s="223"/>
      <c r="U67" s="224"/>
      <c r="V67" s="224"/>
    </row>
    <row r="68" spans="1:22" hidden="1">
      <c r="Q68" s="37"/>
      <c r="S68" s="223"/>
      <c r="U68" s="224"/>
      <c r="V68" s="224"/>
    </row>
    <row r="69" spans="1:22" hidden="1">
      <c r="Q69" s="37"/>
      <c r="S69" s="223"/>
      <c r="U69" s="224"/>
      <c r="V69" s="224"/>
    </row>
    <row r="70" spans="1:22" hidden="1">
      <c r="Q70" s="37"/>
      <c r="S70" s="223"/>
      <c r="U70" s="224"/>
      <c r="V70" s="224"/>
    </row>
    <row r="71" spans="1:22" hidden="1">
      <c r="Q71" s="37"/>
      <c r="S71" s="223"/>
      <c r="U71" s="224"/>
      <c r="V71" s="224"/>
    </row>
    <row r="72" spans="1:22" hidden="1">
      <c r="Q72" s="37"/>
      <c r="S72" s="223"/>
      <c r="U72" s="224"/>
      <c r="V72" s="224"/>
    </row>
    <row r="73" spans="1:22" hidden="1">
      <c r="Q73" s="37"/>
      <c r="S73" s="223"/>
      <c r="U73" s="224"/>
      <c r="V73" s="224"/>
    </row>
    <row r="74" spans="1:22" hidden="1">
      <c r="Q74" s="37"/>
      <c r="S74" s="223"/>
      <c r="U74" s="224"/>
      <c r="V74" s="224"/>
    </row>
    <row r="75" spans="1:22" hidden="1">
      <c r="Q75" s="37"/>
      <c r="S75" s="223"/>
      <c r="U75" s="224"/>
      <c r="V75" s="224"/>
    </row>
    <row r="76" spans="1:22" hidden="1">
      <c r="Q76" s="37"/>
      <c r="S76" s="223"/>
      <c r="U76" s="224"/>
      <c r="V76" s="224"/>
    </row>
    <row r="77" spans="1:22" hidden="1">
      <c r="Q77" s="37"/>
      <c r="S77" s="223"/>
      <c r="U77" s="224"/>
      <c r="V77" s="224"/>
    </row>
    <row r="78" spans="1:22" hidden="1">
      <c r="Q78" s="37"/>
      <c r="S78" s="223"/>
      <c r="U78" s="224"/>
      <c r="V78" s="224"/>
    </row>
    <row r="79" spans="1:22" hidden="1">
      <c r="Q79" s="37"/>
      <c r="S79" s="223"/>
      <c r="U79" s="224"/>
      <c r="V79" s="224"/>
    </row>
    <row r="80" spans="1:22" hidden="1">
      <c r="Q80" s="37"/>
      <c r="S80" s="223"/>
      <c r="U80" s="224"/>
      <c r="V80" s="224"/>
    </row>
    <row r="81" spans="7:22" hidden="1">
      <c r="Q81" s="37"/>
      <c r="S81" s="223"/>
      <c r="U81" s="224"/>
      <c r="V81" s="224"/>
    </row>
    <row r="82" spans="7:22" hidden="1">
      <c r="Q82" s="37"/>
      <c r="S82" s="223"/>
      <c r="U82" s="224"/>
      <c r="V82" s="224"/>
    </row>
    <row r="83" spans="7:22" hidden="1">
      <c r="Q83" s="37"/>
      <c r="S83" s="223"/>
      <c r="U83" s="224"/>
      <c r="V83" s="224"/>
    </row>
    <row r="84" spans="7:22" hidden="1">
      <c r="Q84" s="37"/>
      <c r="S84" s="223"/>
      <c r="U84" s="224"/>
      <c r="V84" s="224"/>
    </row>
    <row r="85" spans="7:22" hidden="1">
      <c r="G85" s="36"/>
      <c r="Q85" s="37"/>
      <c r="S85" s="223"/>
      <c r="U85" s="224"/>
      <c r="V85" s="224"/>
    </row>
    <row r="86" spans="7:22" hidden="1">
      <c r="G86" s="36"/>
      <c r="Q86" s="37"/>
      <c r="S86" s="223"/>
      <c r="U86" s="224"/>
      <c r="V86" s="224"/>
    </row>
    <row r="87" spans="7:22" hidden="1">
      <c r="G87" s="36"/>
      <c r="Q87" s="37"/>
      <c r="S87" s="223"/>
      <c r="U87" s="224"/>
      <c r="V87" s="224"/>
    </row>
    <row r="88" spans="7:22" hidden="1">
      <c r="G88" s="36"/>
      <c r="Q88" s="37"/>
      <c r="S88" s="223"/>
      <c r="U88" s="224"/>
      <c r="V88" s="224"/>
    </row>
    <row r="89" spans="7:22" hidden="1">
      <c r="G89" s="36"/>
      <c r="Q89" s="37"/>
      <c r="S89" s="223"/>
      <c r="U89" s="224"/>
      <c r="V89" s="224"/>
    </row>
    <row r="90" spans="7:22" hidden="1">
      <c r="G90" s="36"/>
      <c r="Q90" s="37"/>
      <c r="S90" s="223"/>
      <c r="U90" s="224"/>
      <c r="V90" s="224"/>
    </row>
    <row r="91" spans="7:22" hidden="1">
      <c r="G91" s="36"/>
      <c r="Q91" s="37"/>
      <c r="S91" s="223"/>
      <c r="U91" s="224"/>
      <c r="V91" s="224"/>
    </row>
    <row r="92" spans="7:22" hidden="1">
      <c r="G92" s="36"/>
      <c r="Q92" s="37"/>
      <c r="S92" s="223"/>
      <c r="U92" s="224"/>
      <c r="V92" s="224"/>
    </row>
    <row r="93" spans="7:22" hidden="1">
      <c r="G93" s="36"/>
      <c r="Q93" s="37"/>
      <c r="S93" s="223"/>
      <c r="U93" s="224"/>
      <c r="V93" s="224"/>
    </row>
    <row r="94" spans="7:22" hidden="1">
      <c r="G94" s="36"/>
      <c r="Q94" s="37"/>
      <c r="S94" s="223"/>
      <c r="U94" s="224"/>
      <c r="V94" s="224"/>
    </row>
    <row r="95" spans="7:22" hidden="1">
      <c r="Q95" s="37"/>
      <c r="S95" s="223"/>
      <c r="U95" s="224"/>
      <c r="V95" s="224"/>
    </row>
    <row r="96" spans="7:22" hidden="1">
      <c r="Q96" s="37"/>
      <c r="S96" s="223"/>
      <c r="U96" s="224"/>
      <c r="V96" s="224"/>
    </row>
    <row r="97" spans="17:22" hidden="1">
      <c r="Q97" s="37"/>
      <c r="S97" s="223"/>
      <c r="U97" s="224"/>
      <c r="V97" s="224"/>
    </row>
    <row r="98" spans="17:22" hidden="1">
      <c r="Q98" s="37"/>
      <c r="S98" s="223"/>
      <c r="U98" s="224"/>
      <c r="V98" s="224"/>
    </row>
    <row r="99" spans="17:22" hidden="1">
      <c r="Q99" s="37"/>
      <c r="S99" s="223"/>
      <c r="U99" s="224"/>
      <c r="V99" s="224"/>
    </row>
    <row r="100" spans="17:22" hidden="1">
      <c r="Q100" s="37"/>
      <c r="S100" s="223"/>
      <c r="U100" s="224"/>
      <c r="V100" s="224"/>
    </row>
    <row r="101" spans="17:22" hidden="1">
      <c r="Q101" s="37"/>
      <c r="S101" s="223"/>
      <c r="U101" s="224"/>
      <c r="V101" s="224"/>
    </row>
    <row r="102" spans="17:22" hidden="1">
      <c r="Q102" s="37"/>
      <c r="S102" s="223"/>
      <c r="U102" s="224"/>
      <c r="V102" s="224"/>
    </row>
    <row r="103" spans="17:22" hidden="1">
      <c r="Q103" s="37"/>
      <c r="S103" s="223"/>
      <c r="U103" s="224"/>
      <c r="V103" s="224"/>
    </row>
    <row r="104" spans="17:22" hidden="1">
      <c r="Q104" s="37"/>
      <c r="S104" s="223"/>
      <c r="U104" s="224"/>
      <c r="V104" s="224"/>
    </row>
    <row r="105" spans="17:22" hidden="1">
      <c r="Q105" s="37"/>
      <c r="S105" s="223"/>
      <c r="U105" s="224"/>
      <c r="V105" s="224"/>
    </row>
    <row r="106" spans="17:22" hidden="1">
      <c r="Q106" s="37"/>
      <c r="S106" s="223"/>
      <c r="U106" s="224"/>
      <c r="V106" s="224"/>
    </row>
    <row r="107" spans="17:22" hidden="1">
      <c r="Q107" s="37"/>
      <c r="S107" s="223"/>
      <c r="U107" s="224"/>
      <c r="V107" s="224"/>
    </row>
    <row r="108" spans="17:22" hidden="1">
      <c r="Q108" s="37"/>
      <c r="S108" s="223"/>
      <c r="U108" s="224"/>
      <c r="V108" s="224"/>
    </row>
    <row r="109" spans="17:22" hidden="1">
      <c r="Q109" s="37"/>
      <c r="S109" s="223"/>
      <c r="U109" s="224"/>
      <c r="V109" s="224"/>
    </row>
    <row r="110" spans="17:22" hidden="1">
      <c r="Q110" s="37"/>
      <c r="S110" s="223"/>
      <c r="U110" s="224"/>
      <c r="V110" s="224"/>
    </row>
    <row r="111" spans="17:22" hidden="1">
      <c r="Q111" s="37"/>
      <c r="S111" s="223"/>
      <c r="U111" s="224"/>
      <c r="V111" s="224"/>
    </row>
    <row r="112" spans="17:22" hidden="1">
      <c r="Q112" s="37"/>
      <c r="S112" s="223"/>
      <c r="U112" s="224"/>
      <c r="V112" s="224"/>
    </row>
    <row r="113" spans="17:22" hidden="1">
      <c r="Q113" s="37"/>
      <c r="S113" s="223"/>
      <c r="U113" s="224"/>
      <c r="V113" s="224"/>
    </row>
    <row r="114" spans="17:22" hidden="1">
      <c r="Q114" s="37"/>
      <c r="S114" s="223"/>
      <c r="U114" s="224"/>
      <c r="V114" s="224"/>
    </row>
    <row r="115" spans="17:22" hidden="1">
      <c r="Q115" s="37"/>
      <c r="S115" s="223"/>
      <c r="U115" s="224"/>
      <c r="V115" s="224"/>
    </row>
    <row r="116" spans="17:22" hidden="1">
      <c r="Q116" s="37"/>
      <c r="S116" s="223"/>
      <c r="U116" s="224"/>
      <c r="V116" s="224"/>
    </row>
    <row r="117" spans="17:22" hidden="1">
      <c r="Q117" s="37"/>
      <c r="S117" s="223"/>
      <c r="U117" s="224"/>
      <c r="V117" s="224"/>
    </row>
    <row r="118" spans="17:22" hidden="1">
      <c r="Q118" s="37"/>
      <c r="S118" s="223"/>
      <c r="U118" s="224"/>
      <c r="V118" s="224"/>
    </row>
    <row r="119" spans="17:22" hidden="1">
      <c r="Q119" s="37"/>
      <c r="S119" s="223"/>
      <c r="U119" s="224"/>
      <c r="V119" s="224"/>
    </row>
    <row r="120" spans="17:22" hidden="1">
      <c r="Q120" s="37"/>
      <c r="S120" s="223"/>
      <c r="U120" s="224"/>
      <c r="V120" s="224"/>
    </row>
    <row r="121" spans="17:22" hidden="1">
      <c r="Q121" s="37"/>
      <c r="S121" s="223"/>
      <c r="U121" s="224"/>
      <c r="V121" s="224"/>
    </row>
    <row r="122" spans="17:22" hidden="1">
      <c r="Q122" s="37"/>
      <c r="S122" s="223"/>
      <c r="U122" s="224"/>
      <c r="V122" s="224"/>
    </row>
    <row r="123" spans="17:22" hidden="1">
      <c r="Q123" s="37"/>
      <c r="S123" s="223"/>
      <c r="U123" s="224"/>
      <c r="V123" s="224"/>
    </row>
    <row r="124" spans="17:22" hidden="1">
      <c r="Q124" s="37"/>
      <c r="S124" s="223"/>
      <c r="U124" s="224"/>
      <c r="V124" s="224"/>
    </row>
    <row r="125" spans="17:22" hidden="1">
      <c r="Q125" s="37"/>
      <c r="S125" s="223"/>
      <c r="U125" s="224"/>
      <c r="V125" s="224"/>
    </row>
    <row r="126" spans="17:22" hidden="1">
      <c r="Q126" s="37"/>
      <c r="S126" s="223"/>
      <c r="U126" s="224"/>
      <c r="V126" s="224"/>
    </row>
    <row r="127" spans="17:22" hidden="1">
      <c r="Q127" s="37"/>
      <c r="S127" s="223"/>
      <c r="U127" s="224"/>
      <c r="V127" s="224"/>
    </row>
    <row r="128" spans="17:22" hidden="1">
      <c r="Q128" s="37"/>
      <c r="S128" s="223"/>
      <c r="U128" s="224"/>
      <c r="V128" s="224"/>
    </row>
    <row r="129" spans="17:22" hidden="1">
      <c r="Q129" s="37"/>
      <c r="S129" s="223"/>
      <c r="U129" s="224"/>
      <c r="V129" s="224"/>
    </row>
    <row r="130" spans="17:22" hidden="1">
      <c r="Q130" s="37"/>
      <c r="S130" s="223"/>
      <c r="U130" s="224"/>
      <c r="V130" s="224"/>
    </row>
    <row r="131" spans="17:22" hidden="1">
      <c r="Q131" s="37"/>
      <c r="S131" s="223"/>
      <c r="U131" s="224"/>
      <c r="V131" s="224"/>
    </row>
    <row r="132" spans="17:22" hidden="1">
      <c r="Q132" s="37"/>
      <c r="S132" s="223"/>
      <c r="U132" s="224"/>
      <c r="V132" s="224"/>
    </row>
    <row r="133" spans="17:22" hidden="1">
      <c r="Q133" s="37"/>
      <c r="S133" s="223"/>
      <c r="U133" s="224"/>
      <c r="V133" s="224"/>
    </row>
    <row r="134" spans="17:22" hidden="1">
      <c r="Q134" s="37"/>
      <c r="S134" s="223"/>
      <c r="U134" s="224"/>
      <c r="V134" s="224"/>
    </row>
    <row r="135" spans="17:22" hidden="1">
      <c r="Q135" s="37"/>
      <c r="S135" s="223"/>
      <c r="U135" s="224"/>
      <c r="V135" s="224"/>
    </row>
    <row r="136" spans="17:22" hidden="1">
      <c r="Q136" s="37"/>
      <c r="S136" s="223"/>
      <c r="U136" s="224"/>
      <c r="V136" s="224"/>
    </row>
    <row r="137" spans="17:22" hidden="1">
      <c r="Q137" s="37"/>
      <c r="S137" s="223"/>
      <c r="U137" s="224"/>
      <c r="V137" s="224"/>
    </row>
    <row r="138" spans="17:22" hidden="1">
      <c r="Q138" s="37"/>
      <c r="S138" s="223"/>
      <c r="U138" s="224"/>
      <c r="V138" s="224"/>
    </row>
    <row r="139" spans="17:22" hidden="1">
      <c r="Q139" s="37"/>
      <c r="S139" s="223"/>
      <c r="U139" s="224"/>
      <c r="V139" s="224"/>
    </row>
    <row r="140" spans="17:22" hidden="1">
      <c r="Q140" s="37"/>
      <c r="S140" s="223"/>
      <c r="U140" s="224"/>
      <c r="V140" s="224"/>
    </row>
    <row r="141" spans="17:22" hidden="1">
      <c r="Q141" s="37"/>
      <c r="S141" s="223"/>
      <c r="U141" s="224"/>
      <c r="V141" s="224"/>
    </row>
    <row r="142" spans="17:22" hidden="1">
      <c r="Q142" s="37"/>
      <c r="S142" s="223"/>
      <c r="U142" s="224"/>
      <c r="V142" s="224"/>
    </row>
    <row r="143" spans="17:22" hidden="1">
      <c r="Q143" s="37"/>
      <c r="S143" s="223"/>
      <c r="U143" s="224"/>
      <c r="V143" s="224"/>
    </row>
    <row r="144" spans="17:22" hidden="1">
      <c r="Q144" s="37"/>
      <c r="S144" s="223"/>
      <c r="U144" s="224"/>
      <c r="V144" s="224"/>
    </row>
    <row r="145" spans="17:22" hidden="1">
      <c r="Q145" s="37"/>
      <c r="S145" s="223"/>
      <c r="U145" s="224"/>
      <c r="V145" s="224"/>
    </row>
    <row r="146" spans="17:22" hidden="1">
      <c r="Q146" s="37"/>
      <c r="S146" s="223"/>
      <c r="U146" s="224"/>
      <c r="V146" s="224"/>
    </row>
    <row r="147" spans="17:22" hidden="1">
      <c r="Q147" s="37"/>
      <c r="S147" s="223"/>
      <c r="U147" s="224"/>
      <c r="V147" s="224"/>
    </row>
    <row r="148" spans="17:22" hidden="1">
      <c r="Q148" s="37"/>
      <c r="S148" s="223"/>
      <c r="U148" s="224"/>
      <c r="V148" s="224"/>
    </row>
    <row r="149" spans="17:22" hidden="1">
      <c r="Q149" s="37"/>
      <c r="S149" s="223"/>
      <c r="U149" s="224"/>
      <c r="V149" s="224"/>
    </row>
    <row r="150" spans="17:22" hidden="1">
      <c r="Q150" s="37"/>
      <c r="S150" s="223"/>
      <c r="U150" s="224"/>
      <c r="V150" s="224"/>
    </row>
    <row r="151" spans="17:22" hidden="1">
      <c r="Q151" s="37"/>
      <c r="S151" s="223"/>
      <c r="U151" s="224"/>
      <c r="V151" s="224"/>
    </row>
    <row r="152" spans="17:22" hidden="1">
      <c r="Q152" s="37"/>
      <c r="S152" s="223"/>
      <c r="U152" s="224"/>
      <c r="V152" s="224"/>
    </row>
    <row r="153" spans="17:22" hidden="1">
      <c r="Q153" s="37"/>
      <c r="S153" s="223"/>
      <c r="U153" s="224"/>
      <c r="V153" s="224"/>
    </row>
    <row r="154" spans="17:22" hidden="1">
      <c r="Q154" s="37"/>
      <c r="S154" s="223"/>
      <c r="U154" s="224"/>
      <c r="V154" s="224"/>
    </row>
    <row r="155" spans="17:22" hidden="1">
      <c r="Q155" s="37"/>
      <c r="S155" s="223"/>
      <c r="U155" s="224"/>
      <c r="V155" s="224"/>
    </row>
    <row r="156" spans="17:22" hidden="1">
      <c r="Q156" s="37"/>
      <c r="S156" s="223"/>
      <c r="U156" s="224"/>
      <c r="V156" s="224"/>
    </row>
    <row r="157" spans="17:22" hidden="1">
      <c r="Q157" s="37"/>
      <c r="S157" s="223"/>
      <c r="U157" s="224"/>
      <c r="V157" s="224"/>
    </row>
    <row r="158" spans="17:22" hidden="1">
      <c r="Q158" s="37"/>
      <c r="S158" s="223"/>
      <c r="U158" s="224"/>
      <c r="V158" s="224"/>
    </row>
    <row r="159" spans="17:22" hidden="1">
      <c r="Q159" s="37"/>
      <c r="S159" s="223"/>
      <c r="U159" s="224"/>
      <c r="V159" s="224"/>
    </row>
    <row r="160" spans="17:22" hidden="1">
      <c r="Q160" s="37"/>
      <c r="S160" s="223"/>
      <c r="U160" s="224"/>
      <c r="V160" s="224"/>
    </row>
    <row r="161" spans="17:22" hidden="1">
      <c r="Q161" s="37"/>
      <c r="S161" s="223"/>
      <c r="U161" s="224"/>
      <c r="V161" s="224"/>
    </row>
    <row r="162" spans="17:22" hidden="1">
      <c r="Q162" s="37"/>
      <c r="S162" s="223"/>
      <c r="U162" s="224"/>
      <c r="V162" s="224"/>
    </row>
    <row r="163" spans="17:22" hidden="1">
      <c r="Q163" s="37"/>
      <c r="S163" s="223"/>
      <c r="U163" s="224"/>
      <c r="V163" s="224"/>
    </row>
    <row r="164" spans="17:22" hidden="1">
      <c r="Q164" s="37"/>
      <c r="S164" s="223"/>
      <c r="U164" s="224"/>
      <c r="V164" s="224"/>
    </row>
    <row r="165" spans="17:22" hidden="1">
      <c r="Q165" s="37"/>
      <c r="S165" s="223"/>
      <c r="U165" s="224"/>
      <c r="V165" s="224"/>
    </row>
    <row r="166" spans="17:22" hidden="1">
      <c r="Q166" s="37"/>
      <c r="S166" s="223"/>
      <c r="U166" s="224"/>
      <c r="V166" s="224"/>
    </row>
    <row r="167" spans="17:22" hidden="1">
      <c r="Q167" s="37"/>
      <c r="S167" s="223"/>
      <c r="U167" s="224"/>
      <c r="V167" s="224"/>
    </row>
    <row r="168" spans="17:22" hidden="1">
      <c r="Q168" s="37"/>
      <c r="S168" s="223"/>
      <c r="U168" s="224"/>
      <c r="V168" s="224"/>
    </row>
    <row r="169" spans="17:22" hidden="1">
      <c r="Q169" s="37"/>
      <c r="S169" s="223"/>
      <c r="U169" s="224"/>
      <c r="V169" s="224"/>
    </row>
    <row r="170" spans="17:22" hidden="1">
      <c r="Q170" s="37"/>
      <c r="S170" s="223"/>
      <c r="U170" s="224"/>
      <c r="V170" s="224"/>
    </row>
    <row r="171" spans="17:22" hidden="1">
      <c r="Q171" s="37"/>
      <c r="S171" s="223"/>
      <c r="U171" s="224"/>
      <c r="V171" s="224"/>
    </row>
    <row r="172" spans="17:22" hidden="1">
      <c r="Q172" s="37"/>
      <c r="S172" s="223"/>
      <c r="U172" s="224"/>
      <c r="V172" s="224"/>
    </row>
    <row r="173" spans="17:22" hidden="1">
      <c r="Q173" s="37"/>
      <c r="S173" s="223"/>
      <c r="U173" s="224"/>
      <c r="V173" s="224"/>
    </row>
    <row r="174" spans="17:22" hidden="1">
      <c r="Q174" s="37"/>
      <c r="S174" s="223"/>
      <c r="U174" s="224"/>
      <c r="V174" s="224"/>
    </row>
    <row r="175" spans="17:22" hidden="1">
      <c r="Q175" s="37"/>
      <c r="S175" s="223"/>
      <c r="U175" s="224"/>
      <c r="V175" s="224"/>
    </row>
    <row r="176" spans="17:22" hidden="1">
      <c r="Q176" s="37"/>
      <c r="S176" s="223"/>
      <c r="U176" s="224"/>
      <c r="V176" s="224"/>
    </row>
    <row r="177" spans="17:22" hidden="1">
      <c r="Q177" s="37"/>
      <c r="S177" s="223"/>
      <c r="U177" s="224"/>
      <c r="V177" s="224"/>
    </row>
    <row r="178" spans="17:22" hidden="1">
      <c r="Q178" s="37"/>
      <c r="S178" s="223"/>
      <c r="U178" s="224"/>
      <c r="V178" s="224"/>
    </row>
    <row r="179" spans="17:22" hidden="1">
      <c r="Q179" s="37"/>
      <c r="S179" s="223"/>
      <c r="U179" s="224"/>
      <c r="V179" s="224"/>
    </row>
    <row r="180" spans="17:22" hidden="1">
      <c r="Q180" s="37"/>
      <c r="S180" s="223"/>
      <c r="U180" s="224"/>
      <c r="V180" s="224"/>
    </row>
    <row r="181" spans="17:22" hidden="1">
      <c r="Q181" s="37"/>
      <c r="S181" s="223"/>
      <c r="U181" s="224"/>
      <c r="V181" s="224"/>
    </row>
    <row r="182" spans="17:22" hidden="1">
      <c r="Q182" s="37"/>
      <c r="S182" s="223"/>
      <c r="U182" s="224"/>
      <c r="V182" s="224"/>
    </row>
    <row r="183" spans="17:22" hidden="1">
      <c r="Q183" s="37"/>
      <c r="S183" s="223"/>
      <c r="U183" s="224"/>
      <c r="V183" s="224"/>
    </row>
    <row r="184" spans="17:22" hidden="1">
      <c r="Q184" s="37"/>
      <c r="S184" s="223"/>
      <c r="U184" s="224"/>
      <c r="V184" s="224"/>
    </row>
    <row r="185" spans="17:22" hidden="1">
      <c r="Q185" s="37"/>
      <c r="S185" s="223"/>
      <c r="U185" s="224"/>
      <c r="V185" s="224"/>
    </row>
    <row r="186" spans="17:22" hidden="1">
      <c r="Q186" s="37"/>
      <c r="S186" s="223"/>
      <c r="U186" s="224"/>
      <c r="V186" s="224"/>
    </row>
    <row r="187" spans="17:22" hidden="1">
      <c r="Q187" s="37"/>
      <c r="S187" s="223"/>
      <c r="U187" s="224"/>
      <c r="V187" s="224"/>
    </row>
    <row r="188" spans="17:22" hidden="1">
      <c r="Q188" s="37"/>
      <c r="S188" s="223"/>
      <c r="U188" s="224"/>
      <c r="V188" s="224"/>
    </row>
    <row r="189" spans="17:22" hidden="1">
      <c r="Q189" s="37"/>
      <c r="S189" s="223"/>
      <c r="U189" s="224"/>
      <c r="V189" s="224"/>
    </row>
    <row r="190" spans="17:22" hidden="1">
      <c r="Q190" s="37"/>
      <c r="S190" s="223"/>
      <c r="U190" s="224"/>
      <c r="V190" s="224"/>
    </row>
    <row r="191" spans="17:22" hidden="1">
      <c r="Q191" s="37"/>
      <c r="S191" s="223"/>
      <c r="U191" s="224"/>
      <c r="V191" s="224"/>
    </row>
    <row r="192" spans="17:22" hidden="1">
      <c r="Q192" s="37"/>
      <c r="S192" s="223"/>
      <c r="U192" s="224"/>
      <c r="V192" s="224"/>
    </row>
    <row r="193" spans="17:22" hidden="1">
      <c r="Q193" s="37"/>
      <c r="S193" s="223"/>
      <c r="U193" s="224"/>
      <c r="V193" s="224"/>
    </row>
    <row r="194" spans="17:22" hidden="1">
      <c r="Q194" s="37"/>
      <c r="S194" s="223"/>
      <c r="U194" s="224"/>
      <c r="V194" s="224"/>
    </row>
    <row r="195" spans="17:22" hidden="1">
      <c r="Q195" s="37"/>
      <c r="S195" s="223"/>
      <c r="U195" s="224"/>
      <c r="V195" s="224"/>
    </row>
    <row r="196" spans="17:22" hidden="1">
      <c r="Q196" s="37"/>
      <c r="S196" s="223"/>
      <c r="U196" s="224"/>
      <c r="V196" s="224"/>
    </row>
    <row r="197" spans="17:22" hidden="1">
      <c r="Q197" s="37"/>
      <c r="S197" s="223"/>
      <c r="U197" s="224"/>
      <c r="V197" s="224"/>
    </row>
    <row r="198" spans="17:22" hidden="1">
      <c r="Q198" s="37"/>
      <c r="S198" s="223"/>
      <c r="U198" s="224"/>
      <c r="V198" s="224"/>
    </row>
    <row r="199" spans="17:22" hidden="1">
      <c r="Q199" s="37"/>
      <c r="S199" s="223"/>
      <c r="U199" s="224"/>
      <c r="V199" s="224"/>
    </row>
    <row r="200" spans="17:22" hidden="1">
      <c r="Q200" s="37"/>
      <c r="S200" s="223"/>
      <c r="U200" s="224"/>
      <c r="V200" s="224"/>
    </row>
    <row r="201" spans="17:22" hidden="1">
      <c r="Q201" s="37"/>
      <c r="S201" s="223"/>
      <c r="U201" s="224"/>
      <c r="V201" s="224"/>
    </row>
    <row r="202" spans="17:22" hidden="1">
      <c r="Q202" s="37"/>
      <c r="S202" s="223"/>
      <c r="U202" s="224"/>
      <c r="V202" s="224"/>
    </row>
    <row r="203" spans="17:22" hidden="1">
      <c r="Q203" s="37"/>
      <c r="S203" s="223"/>
      <c r="U203" s="224"/>
      <c r="V203" s="224"/>
    </row>
    <row r="204" spans="17:22" hidden="1">
      <c r="Q204" s="37"/>
      <c r="S204" s="223"/>
      <c r="U204" s="224"/>
      <c r="V204" s="224"/>
    </row>
    <row r="205" spans="17:22" hidden="1">
      <c r="Q205" s="37"/>
      <c r="S205" s="223"/>
      <c r="U205" s="224"/>
      <c r="V205" s="224"/>
    </row>
    <row r="206" spans="17:22" hidden="1">
      <c r="Q206" s="37"/>
      <c r="S206" s="223"/>
      <c r="U206" s="224"/>
      <c r="V206" s="224"/>
    </row>
    <row r="207" spans="17:22" hidden="1">
      <c r="Q207" s="37"/>
      <c r="S207" s="223"/>
      <c r="U207" s="224"/>
      <c r="V207" s="224"/>
    </row>
    <row r="208" spans="17:22" hidden="1">
      <c r="Q208" s="37"/>
      <c r="S208" s="223"/>
      <c r="U208" s="224"/>
      <c r="V208" s="224"/>
    </row>
    <row r="209" spans="17:22" hidden="1">
      <c r="Q209" s="37"/>
      <c r="S209" s="223"/>
      <c r="U209" s="224"/>
      <c r="V209" s="224"/>
    </row>
    <row r="210" spans="17:22" hidden="1">
      <c r="Q210" s="37"/>
      <c r="S210" s="223"/>
      <c r="U210" s="224"/>
      <c r="V210" s="224"/>
    </row>
    <row r="211" spans="17:22" hidden="1">
      <c r="Q211" s="37"/>
      <c r="S211" s="223"/>
      <c r="U211" s="224"/>
      <c r="V211" s="224"/>
    </row>
    <row r="212" spans="17:22" hidden="1">
      <c r="Q212" s="37"/>
      <c r="S212" s="223"/>
      <c r="U212" s="224"/>
      <c r="V212" s="224"/>
    </row>
    <row r="213" spans="17:22" hidden="1">
      <c r="Q213" s="37"/>
      <c r="S213" s="223"/>
      <c r="U213" s="224"/>
      <c r="V213" s="224"/>
    </row>
    <row r="214" spans="17:22" hidden="1">
      <c r="Q214" s="37"/>
      <c r="S214" s="223"/>
      <c r="U214" s="224"/>
      <c r="V214" s="224"/>
    </row>
    <row r="215" spans="17:22" hidden="1">
      <c r="Q215" s="37"/>
      <c r="S215" s="223"/>
      <c r="U215" s="224"/>
      <c r="V215" s="224"/>
    </row>
    <row r="216" spans="17:22" hidden="1">
      <c r="Q216" s="37"/>
      <c r="S216" s="223"/>
      <c r="U216" s="224"/>
      <c r="V216" s="224"/>
    </row>
    <row r="217" spans="17:22" hidden="1">
      <c r="Q217" s="37"/>
      <c r="S217" s="223"/>
      <c r="U217" s="224"/>
      <c r="V217" s="224"/>
    </row>
    <row r="218" spans="17:22" hidden="1">
      <c r="Q218" s="37"/>
      <c r="S218" s="223"/>
      <c r="U218" s="224"/>
      <c r="V218" s="224"/>
    </row>
    <row r="219" spans="17:22" hidden="1">
      <c r="Q219" s="37"/>
      <c r="S219" s="223"/>
      <c r="U219" s="224"/>
      <c r="V219" s="224"/>
    </row>
    <row r="220" spans="17:22" hidden="1">
      <c r="Q220" s="37"/>
      <c r="S220" s="223"/>
      <c r="U220" s="224"/>
      <c r="V220" s="224"/>
    </row>
    <row r="221" spans="17:22" hidden="1">
      <c r="Q221" s="37"/>
      <c r="S221" s="223"/>
      <c r="U221" s="224"/>
      <c r="V221" s="224"/>
    </row>
    <row r="222" spans="17:22" hidden="1">
      <c r="Q222" s="37"/>
      <c r="S222" s="223"/>
      <c r="U222" s="224"/>
      <c r="V222" s="224"/>
    </row>
    <row r="223" spans="17:22" hidden="1">
      <c r="Q223" s="37"/>
      <c r="S223" s="223"/>
      <c r="U223" s="224"/>
      <c r="V223" s="224"/>
    </row>
    <row r="224" spans="17:22" hidden="1">
      <c r="Q224" s="37"/>
      <c r="S224" s="223"/>
      <c r="U224" s="224"/>
      <c r="V224" s="224"/>
    </row>
    <row r="225" spans="17:22" hidden="1">
      <c r="Q225" s="37"/>
      <c r="S225" s="223"/>
      <c r="U225" s="224"/>
      <c r="V225" s="224"/>
    </row>
    <row r="226" spans="17:22" hidden="1">
      <c r="Q226" s="37"/>
      <c r="S226" s="223"/>
      <c r="U226" s="224"/>
      <c r="V226" s="224"/>
    </row>
    <row r="227" spans="17:22" hidden="1">
      <c r="Q227" s="37"/>
      <c r="S227" s="223"/>
      <c r="U227" s="224"/>
      <c r="V227" s="224"/>
    </row>
    <row r="228" spans="17:22" hidden="1">
      <c r="Q228" s="37"/>
      <c r="S228" s="223"/>
      <c r="U228" s="224"/>
      <c r="V228" s="224"/>
    </row>
    <row r="229" spans="17:22" hidden="1">
      <c r="Q229" s="37"/>
      <c r="S229" s="223"/>
      <c r="U229" s="224"/>
      <c r="V229" s="224"/>
    </row>
    <row r="230" spans="17:22" hidden="1">
      <c r="Q230" s="37"/>
      <c r="S230" s="223"/>
      <c r="U230" s="224"/>
      <c r="V230" s="224"/>
    </row>
    <row r="231" spans="17:22" hidden="1">
      <c r="Q231" s="37"/>
      <c r="S231" s="223"/>
      <c r="U231" s="224"/>
      <c r="V231" s="224"/>
    </row>
    <row r="232" spans="17:22" hidden="1">
      <c r="Q232" s="37"/>
      <c r="S232" s="223"/>
      <c r="U232" s="224"/>
      <c r="V232" s="224"/>
    </row>
    <row r="233" spans="17:22" hidden="1">
      <c r="Q233" s="37"/>
      <c r="S233" s="223"/>
      <c r="U233" s="224"/>
      <c r="V233" s="224"/>
    </row>
    <row r="234" spans="17:22" hidden="1">
      <c r="Q234" s="37"/>
      <c r="S234" s="223"/>
      <c r="U234" s="224"/>
      <c r="V234" s="224"/>
    </row>
    <row r="235" spans="17:22" hidden="1">
      <c r="Q235" s="37"/>
      <c r="S235" s="223"/>
      <c r="U235" s="224"/>
      <c r="V235" s="224"/>
    </row>
    <row r="236" spans="17:22" hidden="1">
      <c r="Q236" s="37"/>
      <c r="S236" s="223"/>
      <c r="U236" s="224"/>
      <c r="V236" s="224"/>
    </row>
    <row r="237" spans="17:22" hidden="1">
      <c r="Q237" s="37"/>
      <c r="S237" s="223"/>
      <c r="U237" s="224"/>
      <c r="V237" s="224"/>
    </row>
    <row r="238" spans="17:22" hidden="1">
      <c r="Q238" s="37"/>
      <c r="S238" s="223"/>
      <c r="U238" s="224"/>
      <c r="V238" s="224"/>
    </row>
    <row r="239" spans="17:22" hidden="1">
      <c r="Q239" s="37"/>
      <c r="S239" s="223"/>
      <c r="U239" s="224"/>
      <c r="V239" s="224"/>
    </row>
    <row r="240" spans="17:22" hidden="1">
      <c r="Q240" s="37"/>
      <c r="S240" s="223"/>
      <c r="U240" s="224"/>
      <c r="V240" s="224"/>
    </row>
    <row r="241" spans="17:23" hidden="1">
      <c r="Q241" s="37"/>
      <c r="S241" s="223"/>
      <c r="U241" s="224"/>
      <c r="V241" s="224"/>
    </row>
    <row r="242" spans="17:23" hidden="1">
      <c r="Q242" s="37"/>
      <c r="S242" s="223"/>
      <c r="U242" s="224"/>
      <c r="V242" s="224"/>
    </row>
    <row r="243" spans="17:23" hidden="1">
      <c r="Q243" s="37"/>
      <c r="S243" s="223"/>
      <c r="U243" s="224"/>
      <c r="V243" s="224"/>
    </row>
    <row r="244" spans="17:23" hidden="1">
      <c r="Q244" s="37"/>
      <c r="S244" s="223"/>
      <c r="U244" s="224"/>
      <c r="V244" s="224"/>
    </row>
    <row r="245" spans="17:23" hidden="1">
      <c r="Q245" s="37"/>
      <c r="S245" s="223"/>
      <c r="U245" s="224"/>
      <c r="V245" s="224"/>
    </row>
    <row r="246" spans="17:23" hidden="1">
      <c r="Q246" s="37"/>
      <c r="S246" s="223"/>
      <c r="U246" s="224"/>
      <c r="V246" s="224"/>
      <c r="W246" s="224"/>
    </row>
    <row r="247" spans="17:23" hidden="1">
      <c r="Q247" s="37"/>
      <c r="S247" s="223"/>
      <c r="U247" s="224"/>
      <c r="V247" s="224"/>
      <c r="W247" s="224"/>
    </row>
    <row r="248" spans="17:23" hidden="1">
      <c r="Q248" s="37"/>
      <c r="S248" s="223"/>
      <c r="U248" s="224"/>
      <c r="V248" s="224"/>
      <c r="W248" s="224"/>
    </row>
    <row r="249" spans="17:23" hidden="1">
      <c r="Q249" s="37"/>
      <c r="S249" s="223"/>
      <c r="U249" s="224"/>
      <c r="V249" s="224"/>
      <c r="W249" s="224"/>
    </row>
    <row r="250" spans="17:23" hidden="1">
      <c r="Q250" s="37"/>
      <c r="S250" s="223"/>
      <c r="U250" s="224"/>
      <c r="V250" s="224"/>
      <c r="W250" s="224"/>
    </row>
    <row r="251" spans="17:23" hidden="1">
      <c r="Q251" s="37"/>
      <c r="S251" s="223"/>
      <c r="U251" s="224"/>
      <c r="V251" s="224"/>
      <c r="W251" s="224"/>
    </row>
    <row r="252" spans="17:23" hidden="1">
      <c r="Q252" s="37"/>
      <c r="S252" s="223"/>
      <c r="U252" s="224"/>
      <c r="V252" s="224"/>
      <c r="W252" s="224"/>
    </row>
    <row r="253" spans="17:23" hidden="1">
      <c r="Q253" s="37"/>
      <c r="S253" s="223"/>
      <c r="U253" s="224"/>
      <c r="V253" s="224"/>
      <c r="W253" s="224"/>
    </row>
    <row r="254" spans="17:23" hidden="1">
      <c r="Q254" s="37"/>
      <c r="S254" s="223"/>
      <c r="U254" s="224"/>
      <c r="V254" s="224"/>
      <c r="W254" s="224"/>
    </row>
    <row r="255" spans="17:23" hidden="1">
      <c r="Q255" s="37"/>
      <c r="S255" s="223"/>
      <c r="U255" s="224"/>
      <c r="V255" s="224"/>
      <c r="W255" s="224"/>
    </row>
    <row r="256" spans="17:23" hidden="1">
      <c r="Q256" s="37"/>
      <c r="S256" s="223"/>
      <c r="U256" s="224"/>
      <c r="V256" s="224"/>
      <c r="W256" s="224"/>
    </row>
    <row r="257" spans="17:23" hidden="1">
      <c r="Q257" s="37"/>
      <c r="S257" s="223"/>
      <c r="U257" s="224"/>
      <c r="V257" s="224"/>
      <c r="W257" s="224"/>
    </row>
    <row r="258" spans="17:23" hidden="1">
      <c r="Q258" s="37"/>
      <c r="S258" s="223"/>
      <c r="U258" s="224"/>
      <c r="V258" s="224"/>
      <c r="W258" s="224"/>
    </row>
    <row r="259" spans="17:23" hidden="1">
      <c r="Q259" s="37"/>
      <c r="S259" s="223"/>
      <c r="U259" s="224"/>
      <c r="V259" s="224"/>
      <c r="W259" s="224"/>
    </row>
    <row r="260" spans="17:23" hidden="1">
      <c r="Q260" s="37"/>
      <c r="S260" s="223"/>
      <c r="U260" s="224"/>
      <c r="V260" s="224"/>
      <c r="W260" s="224"/>
    </row>
    <row r="261" spans="17:23" hidden="1">
      <c r="Q261" s="37"/>
      <c r="S261" s="223"/>
      <c r="U261" s="224"/>
      <c r="V261" s="224"/>
      <c r="W261" s="224"/>
    </row>
    <row r="262" spans="17:23" hidden="1">
      <c r="Q262" s="37"/>
      <c r="S262" s="223"/>
      <c r="U262" s="224"/>
      <c r="V262" s="224"/>
      <c r="W262" s="224"/>
    </row>
    <row r="263" spans="17:23" hidden="1">
      <c r="Q263" s="37"/>
      <c r="S263" s="223"/>
      <c r="U263" s="224"/>
      <c r="V263" s="224"/>
      <c r="W263" s="224"/>
    </row>
    <row r="264" spans="17:23" hidden="1">
      <c r="Q264" s="37"/>
      <c r="S264" s="223"/>
      <c r="U264" s="224"/>
      <c r="V264" s="224"/>
      <c r="W264" s="224"/>
    </row>
    <row r="265" spans="17:23" hidden="1">
      <c r="Q265" s="37"/>
      <c r="S265" s="223"/>
      <c r="U265" s="224"/>
      <c r="V265" s="224"/>
      <c r="W265" s="224"/>
    </row>
    <row r="266" spans="17:23" hidden="1">
      <c r="Q266" s="37"/>
      <c r="S266" s="223"/>
      <c r="U266" s="224"/>
      <c r="V266" s="224"/>
      <c r="W266" s="224"/>
    </row>
    <row r="267" spans="17:23" hidden="1">
      <c r="Q267" s="37"/>
      <c r="S267" s="223"/>
      <c r="U267" s="224"/>
      <c r="V267" s="224"/>
      <c r="W267" s="224"/>
    </row>
    <row r="268" spans="17:23" hidden="1">
      <c r="Q268" s="37"/>
      <c r="S268" s="223"/>
      <c r="U268" s="224"/>
      <c r="V268" s="224"/>
      <c r="W268" s="224"/>
    </row>
    <row r="269" spans="17:23" hidden="1">
      <c r="Q269" s="37"/>
      <c r="S269" s="223"/>
      <c r="U269" s="224"/>
      <c r="V269" s="224"/>
      <c r="W269" s="224"/>
    </row>
    <row r="270" spans="17:23" hidden="1">
      <c r="Q270" s="37"/>
      <c r="S270" s="223"/>
      <c r="U270" s="224"/>
      <c r="V270" s="224"/>
      <c r="W270" s="224"/>
    </row>
    <row r="271" spans="17:23" hidden="1">
      <c r="Q271" s="37"/>
      <c r="S271" s="223"/>
      <c r="U271" s="224"/>
      <c r="V271" s="224"/>
      <c r="W271" s="224"/>
    </row>
    <row r="272" spans="17:23" hidden="1">
      <c r="Q272" s="37"/>
      <c r="S272" s="223"/>
      <c r="U272" s="224"/>
      <c r="V272" s="224"/>
      <c r="W272" s="224"/>
    </row>
    <row r="273" spans="17:23" hidden="1">
      <c r="Q273" s="37"/>
      <c r="S273" s="223"/>
      <c r="U273" s="224"/>
      <c r="V273" s="224"/>
      <c r="W273" s="224"/>
    </row>
    <row r="274" spans="17:23" hidden="1">
      <c r="Q274" s="37"/>
      <c r="S274" s="223"/>
      <c r="U274" s="224"/>
      <c r="V274" s="224"/>
      <c r="W274" s="224"/>
    </row>
    <row r="275" spans="17:23" hidden="1">
      <c r="Q275" s="37"/>
      <c r="S275" s="223"/>
      <c r="U275" s="224"/>
      <c r="V275" s="224"/>
      <c r="W275" s="224"/>
    </row>
    <row r="276" spans="17:23" hidden="1">
      <c r="Q276" s="37"/>
      <c r="S276" s="223"/>
      <c r="U276" s="224"/>
      <c r="V276" s="224"/>
      <c r="W276" s="224"/>
    </row>
    <row r="277" spans="17:23" hidden="1">
      <c r="Q277" s="37"/>
      <c r="S277" s="223"/>
      <c r="U277" s="224"/>
      <c r="V277" s="224"/>
      <c r="W277" s="224"/>
    </row>
    <row r="278" spans="17:23" hidden="1">
      <c r="Q278" s="37"/>
      <c r="S278" s="223"/>
      <c r="U278" s="224"/>
      <c r="V278" s="224"/>
      <c r="W278" s="224"/>
    </row>
    <row r="279" spans="17:23" hidden="1">
      <c r="Q279" s="37"/>
      <c r="S279" s="223"/>
      <c r="U279" s="224"/>
      <c r="V279" s="224"/>
      <c r="W279" s="224"/>
    </row>
    <row r="280" spans="17:23" hidden="1">
      <c r="Q280" s="37"/>
      <c r="S280" s="223"/>
      <c r="U280" s="224"/>
      <c r="V280" s="224"/>
      <c r="W280" s="224"/>
    </row>
    <row r="281" spans="17:23" hidden="1">
      <c r="Q281" s="37"/>
      <c r="S281" s="223"/>
      <c r="U281" s="224"/>
      <c r="V281" s="224"/>
      <c r="W281" s="224"/>
    </row>
    <row r="282" spans="17:23" hidden="1">
      <c r="Q282" s="37"/>
      <c r="S282" s="223"/>
      <c r="U282" s="224"/>
      <c r="V282" s="224"/>
      <c r="W282" s="224"/>
    </row>
    <row r="283" spans="17:23" hidden="1">
      <c r="Q283" s="37"/>
      <c r="S283" s="223"/>
      <c r="U283" s="224"/>
      <c r="V283" s="224"/>
      <c r="W283" s="224"/>
    </row>
    <row r="284" spans="17:23" hidden="1">
      <c r="Q284" s="37"/>
      <c r="S284" s="223"/>
      <c r="U284" s="224"/>
      <c r="V284" s="224"/>
      <c r="W284" s="224"/>
    </row>
    <row r="285" spans="17:23" hidden="1">
      <c r="Q285" s="37"/>
      <c r="S285" s="223"/>
      <c r="U285" s="224"/>
      <c r="V285" s="224"/>
      <c r="W285" s="224"/>
    </row>
    <row r="286" spans="17:23" hidden="1">
      <c r="Q286" s="37"/>
      <c r="S286" s="223"/>
      <c r="U286" s="224"/>
      <c r="V286" s="224"/>
      <c r="W286" s="224"/>
    </row>
    <row r="287" spans="17:23" hidden="1">
      <c r="Q287" s="37"/>
      <c r="S287" s="223"/>
      <c r="U287" s="224"/>
      <c r="V287" s="224"/>
      <c r="W287" s="224"/>
    </row>
    <row r="288" spans="17:23" hidden="1">
      <c r="Q288" s="37"/>
      <c r="S288" s="223"/>
      <c r="U288" s="224"/>
      <c r="V288" s="224"/>
      <c r="W288" s="224"/>
    </row>
    <row r="289" spans="17:23" hidden="1">
      <c r="Q289" s="37"/>
      <c r="S289" s="223"/>
      <c r="U289" s="224"/>
      <c r="V289" s="224"/>
      <c r="W289" s="224"/>
    </row>
    <row r="290" spans="17:23" hidden="1">
      <c r="Q290" s="37"/>
      <c r="S290" s="223"/>
      <c r="U290" s="224"/>
      <c r="V290" s="224"/>
      <c r="W290" s="224"/>
    </row>
    <row r="291" spans="17:23" hidden="1">
      <c r="Q291" s="37"/>
      <c r="S291" s="223"/>
      <c r="U291" s="224"/>
      <c r="V291" s="224"/>
      <c r="W291" s="224"/>
    </row>
    <row r="292" spans="17:23" hidden="1">
      <c r="Q292" s="37"/>
      <c r="S292" s="223"/>
      <c r="U292" s="224"/>
      <c r="V292" s="224"/>
      <c r="W292" s="224"/>
    </row>
    <row r="293" spans="17:23" hidden="1">
      <c r="Q293" s="37"/>
      <c r="S293" s="223"/>
      <c r="U293" s="224"/>
      <c r="V293" s="224"/>
      <c r="W293" s="224"/>
    </row>
    <row r="294" spans="17:23" hidden="1">
      <c r="Q294" s="37"/>
      <c r="S294" s="223"/>
      <c r="U294" s="224"/>
      <c r="V294" s="224"/>
      <c r="W294" s="224"/>
    </row>
    <row r="295" spans="17:23" hidden="1">
      <c r="Q295" s="37"/>
      <c r="S295" s="223"/>
      <c r="U295" s="224"/>
      <c r="V295" s="224"/>
      <c r="W295" s="224"/>
    </row>
    <row r="296" spans="17:23" hidden="1">
      <c r="Q296" s="37"/>
      <c r="S296" s="223"/>
      <c r="U296" s="224"/>
      <c r="V296" s="224"/>
      <c r="W296" s="224"/>
    </row>
    <row r="297" spans="17:23" hidden="1">
      <c r="Q297" s="37"/>
      <c r="S297" s="223"/>
      <c r="U297" s="224"/>
      <c r="V297" s="224"/>
      <c r="W297" s="224"/>
    </row>
    <row r="298" spans="17:23" hidden="1">
      <c r="Q298" s="37"/>
      <c r="S298" s="223"/>
      <c r="U298" s="224"/>
      <c r="V298" s="224"/>
      <c r="W298" s="224"/>
    </row>
    <row r="299" spans="17:23" hidden="1">
      <c r="Q299" s="37"/>
      <c r="S299" s="223"/>
      <c r="U299" s="224"/>
      <c r="V299" s="224"/>
      <c r="W299" s="224"/>
    </row>
    <row r="300" spans="17:23" hidden="1">
      <c r="Q300" s="37"/>
      <c r="S300" s="223"/>
      <c r="U300" s="224"/>
      <c r="V300" s="224"/>
      <c r="W300" s="224"/>
    </row>
    <row r="301" spans="17:23" hidden="1">
      <c r="Q301" s="37"/>
      <c r="S301" s="223"/>
      <c r="U301" s="224"/>
      <c r="V301" s="224"/>
      <c r="W301" s="224"/>
    </row>
    <row r="302" spans="17:23" hidden="1">
      <c r="Q302" s="37"/>
      <c r="S302" s="223"/>
      <c r="U302" s="224"/>
      <c r="V302" s="224"/>
      <c r="W302" s="224"/>
    </row>
    <row r="303" spans="17:23" hidden="1">
      <c r="Q303" s="37"/>
      <c r="S303" s="223"/>
      <c r="U303" s="224"/>
      <c r="V303" s="224"/>
      <c r="W303" s="224"/>
    </row>
    <row r="304" spans="17:23" hidden="1">
      <c r="Q304" s="37"/>
      <c r="S304" s="223"/>
      <c r="U304" s="224"/>
      <c r="V304" s="224"/>
      <c r="W304" s="224"/>
    </row>
    <row r="305" spans="17:23" hidden="1">
      <c r="Q305" s="37"/>
      <c r="S305" s="223"/>
      <c r="U305" s="224"/>
      <c r="V305" s="224"/>
      <c r="W305" s="224"/>
    </row>
    <row r="306" spans="17:23" hidden="1">
      <c r="Q306" s="37"/>
      <c r="S306" s="223"/>
      <c r="U306" s="224"/>
      <c r="V306" s="224"/>
      <c r="W306" s="224"/>
    </row>
    <row r="307" spans="17:23" hidden="1">
      <c r="Q307" s="37"/>
      <c r="S307" s="223"/>
      <c r="U307" s="224"/>
      <c r="V307" s="224"/>
      <c r="W307" s="224"/>
    </row>
    <row r="308" spans="17:23" hidden="1">
      <c r="Q308" s="37"/>
      <c r="S308" s="223"/>
      <c r="U308" s="224"/>
      <c r="V308" s="224"/>
      <c r="W308" s="224"/>
    </row>
    <row r="309" spans="17:23" hidden="1">
      <c r="Q309" s="37"/>
      <c r="S309" s="223"/>
      <c r="U309" s="224"/>
      <c r="V309" s="224"/>
      <c r="W309" s="224"/>
    </row>
    <row r="310" spans="17:23" hidden="1">
      <c r="Q310" s="37"/>
      <c r="S310" s="223"/>
      <c r="U310" s="224"/>
      <c r="V310" s="224"/>
      <c r="W310" s="224"/>
    </row>
    <row r="311" spans="17:23" hidden="1">
      <c r="Q311" s="37"/>
      <c r="S311" s="223"/>
      <c r="U311" s="224"/>
      <c r="V311" s="224"/>
      <c r="W311" s="224"/>
    </row>
    <row r="312" spans="17:23" hidden="1">
      <c r="Q312" s="37"/>
      <c r="S312" s="223"/>
      <c r="U312" s="224"/>
      <c r="V312" s="224"/>
      <c r="W312" s="224"/>
    </row>
    <row r="313" spans="17:23" hidden="1">
      <c r="Q313" s="37"/>
      <c r="S313" s="223"/>
      <c r="U313" s="224"/>
      <c r="V313" s="224"/>
      <c r="W313" s="224"/>
    </row>
    <row r="314" spans="17:23" hidden="1">
      <c r="Q314" s="37"/>
      <c r="S314" s="223"/>
      <c r="U314" s="224"/>
      <c r="V314" s="224"/>
      <c r="W314" s="224"/>
    </row>
    <row r="315" spans="17:23" hidden="1">
      <c r="Q315" s="37"/>
      <c r="S315" s="223"/>
      <c r="U315" s="224"/>
      <c r="V315" s="224"/>
      <c r="W315" s="224"/>
    </row>
    <row r="316" spans="17:23" hidden="1">
      <c r="Q316" s="37"/>
      <c r="S316" s="223"/>
      <c r="U316" s="224"/>
      <c r="V316" s="224"/>
      <c r="W316" s="224"/>
    </row>
    <row r="317" spans="17:23" hidden="1">
      <c r="Q317" s="37"/>
      <c r="S317" s="223"/>
      <c r="U317" s="224"/>
      <c r="V317" s="224"/>
      <c r="W317" s="224"/>
    </row>
    <row r="318" spans="17:23" hidden="1">
      <c r="Q318" s="37"/>
      <c r="S318" s="223"/>
      <c r="U318" s="224"/>
      <c r="V318" s="224"/>
      <c r="W318" s="224"/>
    </row>
    <row r="319" spans="17:23" hidden="1">
      <c r="Q319" s="37"/>
      <c r="S319" s="223"/>
      <c r="U319" s="224"/>
      <c r="V319" s="224"/>
      <c r="W319" s="224"/>
    </row>
    <row r="320" spans="17:23" hidden="1">
      <c r="Q320" s="37"/>
      <c r="S320" s="223"/>
      <c r="U320" s="224"/>
      <c r="V320" s="224"/>
      <c r="W320" s="224"/>
    </row>
    <row r="321" spans="6:23" hidden="1">
      <c r="Q321" s="37"/>
      <c r="S321" s="223"/>
      <c r="U321" s="224"/>
      <c r="V321" s="224"/>
      <c r="W321" s="224"/>
    </row>
    <row r="322" spans="6:23" hidden="1">
      <c r="Q322" s="37"/>
      <c r="S322" s="223"/>
      <c r="U322" s="224"/>
      <c r="V322" s="224"/>
      <c r="W322" s="224"/>
    </row>
    <row r="323" spans="6:23" hidden="1">
      <c r="Q323" s="37"/>
      <c r="S323" s="223"/>
      <c r="U323" s="224"/>
      <c r="V323" s="224"/>
      <c r="W323" s="224"/>
    </row>
    <row r="324" spans="6:23" hidden="1">
      <c r="Q324" s="37"/>
      <c r="S324" s="223"/>
      <c r="U324" s="224"/>
      <c r="V324" s="224"/>
      <c r="W324" s="224"/>
    </row>
    <row r="325" spans="6:23" hidden="1">
      <c r="Q325" s="37"/>
      <c r="S325" s="223"/>
      <c r="U325" s="224"/>
      <c r="V325" s="224"/>
      <c r="W325" s="224"/>
    </row>
    <row r="326" spans="6:23" hidden="1">
      <c r="Q326" s="37"/>
      <c r="S326" s="223"/>
      <c r="U326" s="224"/>
      <c r="V326" s="224"/>
      <c r="W326" s="224"/>
    </row>
    <row r="327" spans="6:23" hidden="1">
      <c r="F327" s="36">
        <v>0.19</v>
      </c>
      <c r="Q327" s="37"/>
      <c r="S327" s="223"/>
      <c r="U327" s="224"/>
      <c r="V327" s="224"/>
      <c r="W327" s="224"/>
    </row>
    <row r="328" spans="6:23" hidden="1">
      <c r="Q328" s="37"/>
      <c r="S328" s="223"/>
      <c r="U328" s="224"/>
      <c r="V328" s="224"/>
      <c r="W328" s="224"/>
    </row>
    <row r="329" spans="6:23" hidden="1">
      <c r="Q329" s="37"/>
      <c r="S329" s="223"/>
      <c r="U329" s="224"/>
      <c r="V329" s="224"/>
      <c r="W329" s="224"/>
    </row>
    <row r="330" spans="6:23" hidden="1">
      <c r="Q330" s="37"/>
      <c r="S330" s="223"/>
      <c r="U330" s="224"/>
      <c r="V330" s="224"/>
      <c r="W330" s="224"/>
    </row>
    <row r="331" spans="6:23" hidden="1">
      <c r="Q331" s="37"/>
      <c r="S331" s="223"/>
      <c r="U331" s="224"/>
      <c r="V331" s="224"/>
      <c r="W331" s="224"/>
    </row>
    <row r="332" spans="6:23" hidden="1">
      <c r="Q332" s="37"/>
      <c r="S332" s="223"/>
      <c r="U332" s="224"/>
      <c r="V332" s="224"/>
      <c r="W332" s="224"/>
    </row>
    <row r="333" spans="6:23" hidden="1">
      <c r="Q333" s="37"/>
      <c r="S333" s="223"/>
      <c r="U333" s="224"/>
      <c r="V333" s="224"/>
      <c r="W333" s="224"/>
    </row>
    <row r="334" spans="6:23" hidden="1">
      <c r="Q334" s="37"/>
      <c r="S334" s="223"/>
      <c r="U334" s="224"/>
      <c r="V334" s="224"/>
      <c r="W334" s="224"/>
    </row>
    <row r="335" spans="6:23" hidden="1">
      <c r="Q335" s="37"/>
      <c r="S335" s="223"/>
      <c r="U335" s="224"/>
      <c r="V335" s="224"/>
      <c r="W335" s="224"/>
    </row>
    <row r="336" spans="6:23" hidden="1">
      <c r="Q336" s="37"/>
      <c r="S336" s="223"/>
      <c r="U336" s="224"/>
      <c r="V336" s="224"/>
      <c r="W336" s="224"/>
    </row>
    <row r="337" spans="17:23" hidden="1">
      <c r="Q337" s="37"/>
      <c r="S337" s="223"/>
      <c r="U337" s="224"/>
      <c r="V337" s="224"/>
      <c r="W337" s="224"/>
    </row>
    <row r="338" spans="17:23" hidden="1">
      <c r="Q338" s="37"/>
      <c r="S338" s="223"/>
      <c r="U338" s="224"/>
      <c r="V338" s="224"/>
      <c r="W338" s="224"/>
    </row>
    <row r="339" spans="17:23" hidden="1">
      <c r="Q339" s="37"/>
      <c r="S339" s="223"/>
      <c r="U339" s="224"/>
      <c r="V339" s="224"/>
      <c r="W339" s="224"/>
    </row>
    <row r="340" spans="17:23" hidden="1">
      <c r="Q340" s="37"/>
      <c r="S340" s="223"/>
      <c r="U340" s="224"/>
      <c r="V340" s="224"/>
      <c r="W340" s="224"/>
    </row>
    <row r="341" spans="17:23" hidden="1">
      <c r="Q341" s="37"/>
      <c r="S341" s="223"/>
      <c r="U341" s="224"/>
      <c r="V341" s="224"/>
      <c r="W341" s="224"/>
    </row>
    <row r="342" spans="17:23" hidden="1">
      <c r="Q342" s="37"/>
      <c r="S342" s="223"/>
      <c r="U342" s="224"/>
      <c r="V342" s="224"/>
      <c r="W342" s="224"/>
    </row>
    <row r="343" spans="17:23" hidden="1">
      <c r="Q343" s="37"/>
      <c r="S343" s="223"/>
      <c r="U343" s="224"/>
      <c r="V343" s="224"/>
      <c r="W343" s="224"/>
    </row>
    <row r="344" spans="17:23" hidden="1">
      <c r="Q344" s="37"/>
      <c r="S344" s="223"/>
      <c r="U344" s="224"/>
      <c r="V344" s="224"/>
      <c r="W344" s="224"/>
    </row>
    <row r="345" spans="17:23" hidden="1">
      <c r="Q345" s="37"/>
      <c r="S345" s="223"/>
      <c r="U345" s="224"/>
      <c r="V345" s="224"/>
      <c r="W345" s="224"/>
    </row>
    <row r="346" spans="17:23" hidden="1">
      <c r="Q346" s="37"/>
      <c r="S346" s="223"/>
      <c r="U346" s="224"/>
      <c r="V346" s="224"/>
      <c r="W346" s="224"/>
    </row>
    <row r="347" spans="17:23" hidden="1">
      <c r="Q347" s="37"/>
      <c r="S347" s="223"/>
      <c r="U347" s="224"/>
      <c r="V347" s="224"/>
      <c r="W347" s="224"/>
    </row>
    <row r="348" spans="17:23" hidden="1">
      <c r="Q348" s="37"/>
      <c r="S348" s="223"/>
      <c r="U348" s="224"/>
      <c r="V348" s="224"/>
      <c r="W348" s="224"/>
    </row>
    <row r="349" spans="17:23" hidden="1">
      <c r="Q349" s="37"/>
      <c r="S349" s="223"/>
      <c r="U349" s="224"/>
      <c r="V349" s="224"/>
      <c r="W349" s="224"/>
    </row>
    <row r="350" spans="17:23" hidden="1">
      <c r="Q350" s="37"/>
      <c r="S350" s="223"/>
      <c r="U350" s="224"/>
      <c r="V350" s="224"/>
      <c r="W350" s="224"/>
    </row>
    <row r="351" spans="17:23" hidden="1">
      <c r="Q351" s="37"/>
      <c r="S351" s="223"/>
      <c r="U351" s="224"/>
      <c r="V351" s="224"/>
      <c r="W351" s="224"/>
    </row>
    <row r="352" spans="17:23" hidden="1">
      <c r="Q352" s="37"/>
      <c r="S352" s="223"/>
      <c r="U352" s="224"/>
      <c r="V352" s="224"/>
      <c r="W352" s="224"/>
    </row>
    <row r="353" spans="17:23" hidden="1">
      <c r="Q353" s="37"/>
      <c r="S353" s="223"/>
      <c r="U353" s="224"/>
      <c r="V353" s="224"/>
      <c r="W353" s="224"/>
    </row>
    <row r="354" spans="17:23" hidden="1">
      <c r="Q354" s="37"/>
      <c r="S354" s="223"/>
      <c r="U354" s="224"/>
      <c r="V354" s="224"/>
      <c r="W354" s="224"/>
    </row>
    <row r="355" spans="17:23" hidden="1">
      <c r="Q355" s="37"/>
      <c r="S355" s="223"/>
      <c r="U355" s="224"/>
      <c r="V355" s="224"/>
      <c r="W355" s="224"/>
    </row>
    <row r="356" spans="17:23" hidden="1">
      <c r="Q356" s="37"/>
      <c r="S356" s="223"/>
      <c r="U356" s="224"/>
      <c r="V356" s="224"/>
      <c r="W356" s="224"/>
    </row>
    <row r="357" spans="17:23" hidden="1">
      <c r="Q357" s="37"/>
      <c r="S357" s="223"/>
      <c r="U357" s="224"/>
      <c r="V357" s="224"/>
      <c r="W357" s="224"/>
    </row>
    <row r="358" spans="17:23" hidden="1">
      <c r="Q358" s="37"/>
      <c r="S358" s="223"/>
      <c r="U358" s="224"/>
      <c r="V358" s="224"/>
      <c r="W358" s="224"/>
    </row>
    <row r="359" spans="17:23" hidden="1">
      <c r="Q359" s="37"/>
      <c r="S359" s="223"/>
      <c r="U359" s="224"/>
      <c r="V359" s="224"/>
      <c r="W359" s="224"/>
    </row>
    <row r="360" spans="17:23" hidden="1">
      <c r="Q360" s="37"/>
      <c r="S360" s="223"/>
      <c r="U360" s="224"/>
      <c r="V360" s="224"/>
      <c r="W360" s="224"/>
    </row>
    <row r="361" spans="17:23" hidden="1">
      <c r="Q361" s="37"/>
      <c r="S361" s="223"/>
      <c r="U361" s="224"/>
      <c r="V361" s="224"/>
      <c r="W361" s="224"/>
    </row>
    <row r="362" spans="17:23" hidden="1">
      <c r="Q362" s="37"/>
      <c r="S362" s="223"/>
      <c r="U362" s="224"/>
      <c r="V362" s="224"/>
      <c r="W362" s="224"/>
    </row>
    <row r="363" spans="17:23" hidden="1">
      <c r="Q363" s="37"/>
      <c r="S363" s="223"/>
      <c r="U363" s="224"/>
      <c r="V363" s="224"/>
      <c r="W363" s="224"/>
    </row>
    <row r="364" spans="17:23" hidden="1">
      <c r="Q364" s="37"/>
      <c r="S364" s="223"/>
      <c r="U364" s="224"/>
      <c r="V364" s="224"/>
      <c r="W364" s="224"/>
    </row>
    <row r="365" spans="17:23" hidden="1">
      <c r="Q365" s="37"/>
      <c r="S365" s="223"/>
      <c r="U365" s="224"/>
      <c r="V365" s="224"/>
      <c r="W365" s="224"/>
    </row>
    <row r="366" spans="17:23" hidden="1">
      <c r="Q366" s="37"/>
      <c r="S366" s="223"/>
      <c r="U366" s="224"/>
      <c r="V366" s="224"/>
      <c r="W366" s="224"/>
    </row>
    <row r="367" spans="17:23" hidden="1">
      <c r="Q367" s="37"/>
      <c r="S367" s="223"/>
      <c r="U367" s="224"/>
      <c r="V367" s="224"/>
      <c r="W367" s="224"/>
    </row>
    <row r="368" spans="17:23" hidden="1">
      <c r="Q368" s="37"/>
      <c r="S368" s="223"/>
      <c r="U368" s="224"/>
      <c r="V368" s="224"/>
      <c r="W368" s="224"/>
    </row>
    <row r="369" spans="17:23" hidden="1">
      <c r="Q369" s="37"/>
      <c r="S369" s="223"/>
      <c r="U369" s="224"/>
      <c r="V369" s="224"/>
      <c r="W369" s="224"/>
    </row>
    <row r="370" spans="17:23" hidden="1">
      <c r="Q370" s="37"/>
      <c r="S370" s="223"/>
      <c r="U370" s="224"/>
      <c r="V370" s="224"/>
      <c r="W370" s="224"/>
    </row>
    <row r="371" spans="17:23" hidden="1">
      <c r="Q371" s="37"/>
      <c r="S371" s="223"/>
      <c r="U371" s="224"/>
      <c r="V371" s="224"/>
      <c r="W371" s="224"/>
    </row>
    <row r="372" spans="17:23" hidden="1">
      <c r="Q372" s="37"/>
      <c r="S372" s="223"/>
      <c r="U372" s="224"/>
      <c r="V372" s="224"/>
      <c r="W372" s="224"/>
    </row>
    <row r="373" spans="17:23" hidden="1">
      <c r="Q373" s="37"/>
      <c r="S373" s="223"/>
      <c r="U373" s="224"/>
      <c r="V373" s="224"/>
      <c r="W373" s="224"/>
    </row>
    <row r="374" spans="17:23" hidden="1">
      <c r="Q374" s="37"/>
      <c r="S374" s="223"/>
      <c r="T374" s="224"/>
      <c r="U374" s="224"/>
      <c r="V374" s="224"/>
      <c r="W374" s="224"/>
    </row>
    <row r="375" spans="17:23" hidden="1">
      <c r="Q375" s="37"/>
      <c r="S375" s="223"/>
      <c r="T375" s="224"/>
      <c r="U375" s="224"/>
      <c r="V375" s="224"/>
      <c r="W375" s="224"/>
    </row>
    <row r="376" spans="17:23" hidden="1">
      <c r="Q376" s="37"/>
      <c r="S376" s="223"/>
      <c r="T376" s="224"/>
      <c r="U376" s="224"/>
      <c r="V376" s="224"/>
      <c r="W376" s="224"/>
    </row>
    <row r="377" spans="17:23" hidden="1">
      <c r="Q377" s="37"/>
      <c r="S377" s="223"/>
      <c r="T377" s="224"/>
      <c r="U377" s="224"/>
      <c r="V377" s="224"/>
      <c r="W377" s="224"/>
    </row>
    <row r="378" spans="17:23" hidden="1">
      <c r="Q378" s="37"/>
      <c r="S378" s="223"/>
      <c r="T378" s="224"/>
      <c r="U378" s="224"/>
      <c r="V378" s="224"/>
      <c r="W378" s="224"/>
    </row>
    <row r="379" spans="17:23" hidden="1">
      <c r="Q379" s="37"/>
      <c r="S379" s="223"/>
      <c r="T379" s="224"/>
      <c r="U379" s="224"/>
      <c r="V379" s="224"/>
      <c r="W379" s="224"/>
    </row>
    <row r="380" spans="17:23" hidden="1">
      <c r="Q380" s="37"/>
      <c r="S380" s="223"/>
      <c r="T380" s="224"/>
      <c r="U380" s="224"/>
      <c r="V380" s="224"/>
      <c r="W380" s="224"/>
    </row>
    <row r="381" spans="17:23" hidden="1">
      <c r="Q381" s="37"/>
      <c r="S381" s="223"/>
      <c r="T381" s="224"/>
      <c r="U381" s="224"/>
      <c r="V381" s="224"/>
      <c r="W381" s="224"/>
    </row>
    <row r="382" spans="17:23" hidden="1">
      <c r="Q382" s="37"/>
      <c r="S382" s="223"/>
      <c r="T382" s="224"/>
      <c r="U382" s="224"/>
      <c r="V382" s="224"/>
      <c r="W382" s="224"/>
    </row>
    <row r="383" spans="17:23" hidden="1">
      <c r="Q383" s="37"/>
      <c r="S383" s="223"/>
      <c r="T383" s="224"/>
      <c r="U383" s="224"/>
      <c r="V383" s="224"/>
      <c r="W383" s="224"/>
    </row>
    <row r="384" spans="17:23" hidden="1">
      <c r="Q384" s="37"/>
      <c r="S384" s="223"/>
      <c r="T384" s="224"/>
      <c r="U384" s="224"/>
      <c r="V384" s="224"/>
      <c r="W384" s="224"/>
    </row>
    <row r="385" spans="17:23" hidden="1">
      <c r="Q385" s="37"/>
      <c r="S385" s="223"/>
      <c r="T385" s="224"/>
      <c r="U385" s="224"/>
      <c r="V385" s="224"/>
      <c r="W385" s="224"/>
    </row>
    <row r="386" spans="17:23" hidden="1">
      <c r="Q386" s="37"/>
      <c r="S386" s="223"/>
      <c r="T386" s="224"/>
      <c r="U386" s="224"/>
      <c r="V386" s="224"/>
      <c r="W386" s="224"/>
    </row>
    <row r="387" spans="17:23" hidden="1">
      <c r="Q387" s="37"/>
      <c r="S387" s="223"/>
      <c r="T387" s="224"/>
      <c r="U387" s="224"/>
      <c r="V387" s="224"/>
      <c r="W387" s="224"/>
    </row>
    <row r="388" spans="17:23" hidden="1">
      <c r="Q388" s="37"/>
      <c r="S388" s="223"/>
      <c r="T388" s="224"/>
      <c r="U388" s="224"/>
      <c r="V388" s="224"/>
      <c r="W388" s="224"/>
    </row>
    <row r="389" spans="17:23" hidden="1">
      <c r="Q389" s="37"/>
      <c r="S389" s="223"/>
      <c r="T389" s="224"/>
      <c r="U389" s="224"/>
      <c r="V389" s="224"/>
      <c r="W389" s="224"/>
    </row>
    <row r="390" spans="17:23" hidden="1">
      <c r="Q390" s="37"/>
      <c r="S390" s="223"/>
      <c r="T390" s="224"/>
      <c r="U390" s="224"/>
      <c r="V390" s="224"/>
      <c r="W390" s="224"/>
    </row>
    <row r="391" spans="17:23" hidden="1">
      <c r="Q391" s="37"/>
      <c r="S391" s="223"/>
      <c r="T391" s="224"/>
      <c r="U391" s="224"/>
      <c r="V391" s="224"/>
      <c r="W391" s="224"/>
    </row>
    <row r="392" spans="17:23" hidden="1">
      <c r="Q392" s="37"/>
      <c r="S392" s="223"/>
      <c r="T392" s="224"/>
      <c r="U392" s="224"/>
      <c r="V392" s="224"/>
      <c r="W392" s="224"/>
    </row>
    <row r="393" spans="17:23" hidden="1">
      <c r="Q393" s="37"/>
      <c r="S393" s="223"/>
      <c r="T393" s="224"/>
      <c r="U393" s="224"/>
      <c r="V393" s="224"/>
      <c r="W393" s="224"/>
    </row>
    <row r="394" spans="17:23" hidden="1">
      <c r="Q394" s="37"/>
      <c r="S394" s="223"/>
      <c r="T394" s="224"/>
      <c r="U394" s="224"/>
      <c r="V394" s="224"/>
      <c r="W394" s="224"/>
    </row>
    <row r="395" spans="17:23" hidden="1">
      <c r="Q395" s="37"/>
      <c r="S395" s="223"/>
      <c r="T395" s="224"/>
      <c r="U395" s="224"/>
      <c r="V395" s="224"/>
      <c r="W395" s="224"/>
    </row>
    <row r="396" spans="17:23" hidden="1">
      <c r="Q396" s="37"/>
      <c r="S396" s="223"/>
      <c r="T396" s="224"/>
      <c r="U396" s="224"/>
      <c r="V396" s="224"/>
      <c r="W396" s="224"/>
    </row>
    <row r="397" spans="17:23" hidden="1">
      <c r="Q397" s="37"/>
      <c r="S397" s="223"/>
      <c r="T397" s="224"/>
      <c r="U397" s="224"/>
      <c r="V397" s="224"/>
      <c r="W397" s="224"/>
    </row>
    <row r="398" spans="17:23" hidden="1">
      <c r="Q398" s="37"/>
      <c r="S398" s="223"/>
      <c r="T398" s="224"/>
      <c r="U398" s="224"/>
      <c r="V398" s="224"/>
      <c r="W398" s="224"/>
    </row>
    <row r="399" spans="17:23" hidden="1">
      <c r="Q399" s="37"/>
      <c r="S399" s="223"/>
      <c r="T399" s="224"/>
      <c r="U399" s="224"/>
      <c r="V399" s="224"/>
      <c r="W399" s="224"/>
    </row>
    <row r="400" spans="17:23" hidden="1">
      <c r="Q400" s="37"/>
      <c r="S400" s="223"/>
      <c r="T400" s="224"/>
      <c r="U400" s="224"/>
      <c r="V400" s="224"/>
      <c r="W400" s="224"/>
    </row>
    <row r="401" spans="17:23" hidden="1">
      <c r="Q401" s="37"/>
      <c r="S401" s="223"/>
      <c r="T401" s="224"/>
      <c r="U401" s="224"/>
      <c r="V401" s="224"/>
      <c r="W401" s="224"/>
    </row>
    <row r="402" spans="17:23" hidden="1">
      <c r="Q402" s="37"/>
      <c r="S402" s="223"/>
      <c r="T402" s="224"/>
      <c r="U402" s="224"/>
      <c r="V402" s="224"/>
      <c r="W402" s="224"/>
    </row>
    <row r="403" spans="17:23" hidden="1">
      <c r="Q403" s="37"/>
      <c r="S403" s="223"/>
      <c r="T403" s="224"/>
      <c r="U403" s="224"/>
      <c r="V403" s="224"/>
      <c r="W403" s="224"/>
    </row>
    <row r="404" spans="17:23" hidden="1">
      <c r="Q404" s="37"/>
      <c r="S404" s="223"/>
      <c r="T404" s="224"/>
      <c r="U404" s="224"/>
      <c r="V404" s="224"/>
      <c r="W404" s="224"/>
    </row>
    <row r="405" spans="17:23" hidden="1">
      <c r="Q405" s="37"/>
      <c r="S405" s="223"/>
      <c r="T405" s="224"/>
      <c r="U405" s="224"/>
      <c r="V405" s="224"/>
      <c r="W405" s="224"/>
    </row>
    <row r="406" spans="17:23" hidden="1">
      <c r="Q406" s="37"/>
      <c r="S406" s="223"/>
      <c r="T406" s="224"/>
      <c r="U406" s="224"/>
      <c r="V406" s="224"/>
      <c r="W406" s="224"/>
    </row>
    <row r="407" spans="17:23" hidden="1">
      <c r="Q407" s="37"/>
      <c r="S407" s="223"/>
      <c r="T407" s="224"/>
      <c r="U407" s="224"/>
      <c r="V407" s="224"/>
      <c r="W407" s="224"/>
    </row>
    <row r="408" spans="17:23" hidden="1">
      <c r="S408" s="223"/>
      <c r="T408" s="224"/>
      <c r="U408" s="224"/>
      <c r="V408" s="224"/>
      <c r="W408" s="224"/>
    </row>
    <row r="409" spans="17:23" hidden="1">
      <c r="S409" s="223"/>
      <c r="T409" s="224"/>
      <c r="U409" s="224"/>
      <c r="V409" s="224"/>
      <c r="W409" s="224"/>
    </row>
    <row r="410" spans="17:23" hidden="1">
      <c r="S410" s="223"/>
      <c r="T410" s="224"/>
      <c r="U410" s="224"/>
      <c r="V410" s="224"/>
      <c r="W410" s="224"/>
    </row>
    <row r="411" spans="17:23" hidden="1">
      <c r="S411" s="223"/>
      <c r="T411" s="224"/>
      <c r="U411" s="224"/>
      <c r="V411" s="224"/>
      <c r="W411" s="224"/>
    </row>
    <row r="412" spans="17:23" hidden="1">
      <c r="S412" s="223"/>
      <c r="T412" s="224"/>
      <c r="U412" s="224"/>
      <c r="V412" s="224"/>
      <c r="W412" s="224"/>
    </row>
    <row r="413" spans="17:23" hidden="1">
      <c r="S413" s="223"/>
      <c r="T413" s="224"/>
      <c r="U413" s="224"/>
      <c r="V413" s="224"/>
      <c r="W413" s="224"/>
    </row>
    <row r="414" spans="17:23" hidden="1">
      <c r="S414" s="223"/>
      <c r="T414" s="224"/>
      <c r="U414" s="224"/>
      <c r="V414" s="224"/>
      <c r="W414" s="224"/>
    </row>
    <row r="415" spans="17:23" hidden="1">
      <c r="S415" s="223"/>
      <c r="T415" s="224"/>
      <c r="U415" s="224"/>
      <c r="V415" s="224"/>
      <c r="W415" s="224"/>
    </row>
    <row r="416" spans="17:23" hidden="1">
      <c r="S416" s="223"/>
      <c r="T416" s="224"/>
      <c r="U416" s="224"/>
      <c r="V416" s="224"/>
      <c r="W416" s="224"/>
    </row>
    <row r="417" spans="19:23" hidden="1">
      <c r="S417" s="223"/>
      <c r="T417" s="224"/>
      <c r="U417" s="224"/>
      <c r="V417" s="224"/>
      <c r="W417" s="224"/>
    </row>
    <row r="418" spans="19:23" hidden="1">
      <c r="T418" s="224"/>
      <c r="U418" s="224"/>
      <c r="V418" s="224"/>
      <c r="W418" s="224"/>
    </row>
    <row r="419" spans="19:23" hidden="1">
      <c r="W419" s="224"/>
    </row>
    <row r="420" spans="19:23" hidden="1">
      <c r="W420" s="224"/>
    </row>
    <row r="421" spans="19:23" hidden="1">
      <c r="W421" s="224"/>
    </row>
    <row r="422" spans="19:23" hidden="1">
      <c r="W422" s="224"/>
    </row>
    <row r="423" spans="19:23" hidden="1">
      <c r="W423" s="224"/>
    </row>
    <row r="424" spans="19:23" hidden="1">
      <c r="W424" s="224"/>
    </row>
    <row r="425" spans="19:23" hidden="1">
      <c r="W425" s="224"/>
    </row>
    <row r="426" spans="19:23" hidden="1">
      <c r="W426" s="224"/>
    </row>
    <row r="427" spans="19:23" hidden="1">
      <c r="W427" s="224"/>
    </row>
    <row r="428" spans="19:23" hidden="1">
      <c r="W428" s="224"/>
    </row>
    <row r="429" spans="19:23" hidden="1">
      <c r="W429" s="224"/>
    </row>
    <row r="430" spans="19:23" hidden="1">
      <c r="W430" s="224"/>
    </row>
    <row r="431" spans="19:23" hidden="1">
      <c r="W431" s="224"/>
    </row>
    <row r="432" spans="19:23" hidden="1">
      <c r="W432" s="224"/>
    </row>
    <row r="433" spans="23:23" hidden="1">
      <c r="W433" s="224"/>
    </row>
    <row r="434" spans="23:23" hidden="1">
      <c r="W434" s="224"/>
    </row>
    <row r="435" spans="23:23" hidden="1">
      <c r="W435" s="224"/>
    </row>
    <row r="436" spans="23:23" hidden="1">
      <c r="W436" s="224"/>
    </row>
    <row r="437" spans="23:23" hidden="1">
      <c r="W437" s="224"/>
    </row>
    <row r="438" spans="23:23" hidden="1">
      <c r="W438" s="224"/>
    </row>
    <row r="439" spans="23:23" hidden="1">
      <c r="W439" s="224"/>
    </row>
    <row r="440" spans="23:23" hidden="1">
      <c r="W440" s="224"/>
    </row>
    <row r="441" spans="23:23" hidden="1">
      <c r="W441" s="224"/>
    </row>
    <row r="442" spans="23:23" hidden="1">
      <c r="W442" s="224"/>
    </row>
    <row r="443" spans="23:23" hidden="1">
      <c r="W443" s="224"/>
    </row>
    <row r="444" spans="23:23" hidden="1">
      <c r="W444" s="224"/>
    </row>
    <row r="445" spans="23:23" hidden="1">
      <c r="W445" s="224"/>
    </row>
    <row r="446" spans="23:23" hidden="1">
      <c r="W446" s="224"/>
    </row>
    <row r="447" spans="23:23" hidden="1">
      <c r="W447" s="224"/>
    </row>
    <row r="448" spans="23:23" hidden="1">
      <c r="W448" s="224"/>
    </row>
    <row r="449" spans="5:23" hidden="1">
      <c r="W449" s="224"/>
    </row>
    <row r="450" spans="5:23" hidden="1">
      <c r="W450" s="224"/>
    </row>
    <row r="451" spans="5:23" hidden="1">
      <c r="W451" s="224"/>
    </row>
    <row r="452" spans="5:23" hidden="1">
      <c r="W452" s="224"/>
    </row>
    <row r="453" spans="5:23" hidden="1">
      <c r="W453" s="224"/>
    </row>
    <row r="454" spans="5:23" hidden="1">
      <c r="W454" s="224"/>
    </row>
    <row r="455" spans="5:23" hidden="1">
      <c r="W455" s="224"/>
    </row>
    <row r="456" spans="5:23" hidden="1">
      <c r="W456" s="224"/>
    </row>
    <row r="457" spans="5:23" hidden="1">
      <c r="W457" s="224"/>
    </row>
    <row r="458" spans="5:23" hidden="1">
      <c r="E458" s="224"/>
      <c r="W458" s="224"/>
    </row>
    <row r="459" spans="5:23" hidden="1">
      <c r="W459" s="224"/>
    </row>
    <row r="460" spans="5:23" hidden="1">
      <c r="W460" s="224"/>
    </row>
    <row r="461" spans="5:23" hidden="1">
      <c r="W461" s="224"/>
    </row>
    <row r="462" spans="5:23" hidden="1">
      <c r="W462" s="224"/>
    </row>
    <row r="463" spans="5:23" hidden="1">
      <c r="W463" s="224"/>
    </row>
    <row r="464" spans="5:23" hidden="1">
      <c r="W464" s="224"/>
    </row>
    <row r="465" spans="23:23" hidden="1">
      <c r="W465" s="224"/>
    </row>
    <row r="466" spans="23:23" hidden="1">
      <c r="W466" s="224"/>
    </row>
    <row r="467" spans="23:23" hidden="1">
      <c r="W467" s="224"/>
    </row>
    <row r="468" spans="23:23" hidden="1">
      <c r="W468" s="224"/>
    </row>
    <row r="469" spans="23:23" hidden="1">
      <c r="W469" s="224"/>
    </row>
    <row r="470" spans="23:23" hidden="1">
      <c r="W470" s="224"/>
    </row>
    <row r="471" spans="23:23" hidden="1">
      <c r="W471" s="224"/>
    </row>
    <row r="472" spans="23:23" hidden="1">
      <c r="W472" s="224"/>
    </row>
    <row r="473" spans="23:23" hidden="1">
      <c r="W473" s="224"/>
    </row>
    <row r="474" spans="23:23" hidden="1">
      <c r="W474" s="224"/>
    </row>
    <row r="475" spans="23:23" hidden="1">
      <c r="W475" s="224"/>
    </row>
    <row r="476" spans="23:23" hidden="1">
      <c r="W476" s="224"/>
    </row>
    <row r="477" spans="23:23" hidden="1">
      <c r="W477" s="224"/>
    </row>
    <row r="478" spans="23:23" hidden="1">
      <c r="W478" s="224"/>
    </row>
    <row r="479" spans="23:23" hidden="1">
      <c r="W479" s="224"/>
    </row>
    <row r="480" spans="23:23" hidden="1">
      <c r="W480" s="224"/>
    </row>
    <row r="481" spans="23:23" hidden="1">
      <c r="W481" s="224"/>
    </row>
    <row r="482" spans="23:23" hidden="1">
      <c r="W482" s="224"/>
    </row>
    <row r="483" spans="23:23" hidden="1">
      <c r="W483" s="224"/>
    </row>
    <row r="484" spans="23:23" hidden="1">
      <c r="W484" s="224"/>
    </row>
    <row r="485" spans="23:23" hidden="1">
      <c r="W485" s="224"/>
    </row>
    <row r="486" spans="23:23" hidden="1">
      <c r="W486" s="224"/>
    </row>
    <row r="487" spans="23:23" hidden="1">
      <c r="W487" s="224"/>
    </row>
    <row r="488" spans="23:23" hidden="1">
      <c r="W488" s="224"/>
    </row>
    <row r="489" spans="23:23" hidden="1">
      <c r="W489" s="224"/>
    </row>
    <row r="490" spans="23:23" hidden="1">
      <c r="W490" s="224"/>
    </row>
    <row r="491" spans="23:23" hidden="1">
      <c r="W491" s="224"/>
    </row>
    <row r="492" spans="23:23" hidden="1">
      <c r="W492" s="224"/>
    </row>
    <row r="493" spans="23:23" hidden="1">
      <c r="W493" s="224"/>
    </row>
    <row r="494" spans="23:23" hidden="1">
      <c r="W494" s="224"/>
    </row>
    <row r="495" spans="23:23" hidden="1">
      <c r="W495" s="224"/>
    </row>
    <row r="496" spans="23:23" hidden="1">
      <c r="W496" s="224"/>
    </row>
    <row r="497" spans="23:23" hidden="1">
      <c r="W497" s="224"/>
    </row>
    <row r="498" spans="23:23" hidden="1">
      <c r="W498" s="224"/>
    </row>
    <row r="499" spans="23:23" hidden="1">
      <c r="W499" s="224"/>
    </row>
    <row r="500" spans="23:23" hidden="1">
      <c r="W500" s="224"/>
    </row>
    <row r="501" spans="23:23" hidden="1">
      <c r="W501" s="224"/>
    </row>
    <row r="502" spans="23:23" hidden="1">
      <c r="W502" s="224"/>
    </row>
    <row r="503" spans="23:23" hidden="1">
      <c r="W503" s="224"/>
    </row>
    <row r="504" spans="23:23" hidden="1">
      <c r="W504" s="224"/>
    </row>
    <row r="505" spans="23:23" hidden="1">
      <c r="W505" s="224"/>
    </row>
    <row r="506" spans="23:23" hidden="1">
      <c r="W506" s="224"/>
    </row>
    <row r="507" spans="23:23" hidden="1">
      <c r="W507" s="224"/>
    </row>
    <row r="508" spans="23:23" hidden="1">
      <c r="W508" s="224"/>
    </row>
    <row r="509" spans="23:23" hidden="1">
      <c r="W509" s="224"/>
    </row>
    <row r="510" spans="23:23" hidden="1">
      <c r="W510" s="224"/>
    </row>
    <row r="511" spans="23:23" hidden="1">
      <c r="W511" s="224"/>
    </row>
    <row r="512" spans="23:23" hidden="1">
      <c r="W512" s="224"/>
    </row>
    <row r="513" spans="23:23" hidden="1">
      <c r="W513" s="224"/>
    </row>
    <row r="514" spans="23:23" hidden="1">
      <c r="W514" s="224"/>
    </row>
    <row r="515" spans="23:23" hidden="1">
      <c r="W515" s="224"/>
    </row>
    <row r="516" spans="23:23" hidden="1">
      <c r="W516" s="224"/>
    </row>
    <row r="517" spans="23:23" hidden="1">
      <c r="W517" s="224"/>
    </row>
    <row r="518" spans="23:23" hidden="1">
      <c r="W518" s="224"/>
    </row>
    <row r="519" spans="23:23" hidden="1">
      <c r="W519" s="224"/>
    </row>
    <row r="520" spans="23:23" hidden="1">
      <c r="W520" s="224"/>
    </row>
    <row r="521" spans="23:23" hidden="1">
      <c r="W521" s="224"/>
    </row>
    <row r="522" spans="23:23" hidden="1">
      <c r="W522" s="224"/>
    </row>
    <row r="523" spans="23:23" hidden="1">
      <c r="W523" s="224"/>
    </row>
    <row r="524" spans="23:23" hidden="1">
      <c r="W524" s="224"/>
    </row>
    <row r="525" spans="23:23" hidden="1">
      <c r="W525" s="224"/>
    </row>
    <row r="526" spans="23:23" hidden="1">
      <c r="W526" s="224"/>
    </row>
    <row r="527" spans="23:23" hidden="1">
      <c r="W527" s="224"/>
    </row>
    <row r="528" spans="23:23" hidden="1">
      <c r="W528" s="224"/>
    </row>
    <row r="529" spans="23:23" hidden="1">
      <c r="W529" s="224"/>
    </row>
    <row r="530" spans="23:23" hidden="1">
      <c r="W530" s="224"/>
    </row>
    <row r="531" spans="23:23" hidden="1">
      <c r="W531" s="224"/>
    </row>
    <row r="532" spans="23:23" hidden="1">
      <c r="W532" s="224"/>
    </row>
    <row r="533" spans="23:23" hidden="1">
      <c r="W533" s="224"/>
    </row>
    <row r="534" spans="23:23" hidden="1">
      <c r="W534" s="224"/>
    </row>
    <row r="535" spans="23:23" hidden="1">
      <c r="W535" s="224"/>
    </row>
    <row r="536" spans="23:23" hidden="1">
      <c r="W536" s="224"/>
    </row>
    <row r="537" spans="23:23" hidden="1">
      <c r="W537" s="224"/>
    </row>
    <row r="538" spans="23:23" hidden="1">
      <c r="W538" s="224"/>
    </row>
    <row r="539" spans="23:23" hidden="1">
      <c r="W539" s="224"/>
    </row>
    <row r="540" spans="23:23" hidden="1">
      <c r="W540" s="224"/>
    </row>
    <row r="541" spans="23:23" hidden="1">
      <c r="W541" s="224"/>
    </row>
    <row r="542" spans="23:23" hidden="1">
      <c r="W542" s="224"/>
    </row>
    <row r="543" spans="23:23" hidden="1">
      <c r="W543" s="224"/>
    </row>
    <row r="544" spans="23:23" hidden="1">
      <c r="W544" s="224"/>
    </row>
    <row r="545" spans="23:23" hidden="1">
      <c r="W545" s="224"/>
    </row>
    <row r="546" spans="23:23" hidden="1">
      <c r="W546" s="224"/>
    </row>
    <row r="547" spans="23:23" hidden="1">
      <c r="W547" s="224"/>
    </row>
    <row r="548" spans="23:23" hidden="1">
      <c r="W548" s="224"/>
    </row>
    <row r="549" spans="23:23" hidden="1">
      <c r="W549" s="224"/>
    </row>
    <row r="550" spans="23:23" hidden="1">
      <c r="W550" s="224"/>
    </row>
    <row r="551" spans="23:23" hidden="1">
      <c r="W551" s="224"/>
    </row>
    <row r="552" spans="23:23" hidden="1">
      <c r="W552" s="224"/>
    </row>
    <row r="553" spans="23:23" hidden="1">
      <c r="W553" s="224"/>
    </row>
    <row r="554" spans="23:23" hidden="1">
      <c r="W554" s="224"/>
    </row>
    <row r="555" spans="23:23" hidden="1">
      <c r="W555" s="224"/>
    </row>
    <row r="556" spans="23:23" hidden="1">
      <c r="W556" s="224"/>
    </row>
    <row r="557" spans="23:23" hidden="1">
      <c r="W557" s="224"/>
    </row>
    <row r="558" spans="23:23" hidden="1">
      <c r="W558" s="224"/>
    </row>
    <row r="559" spans="23:23" hidden="1">
      <c r="W559" s="224"/>
    </row>
    <row r="560" spans="23:23" hidden="1">
      <c r="W560" s="224"/>
    </row>
    <row r="561" spans="23:23" hidden="1">
      <c r="W561" s="224"/>
    </row>
    <row r="562" spans="23:23" hidden="1">
      <c r="W562" s="224"/>
    </row>
    <row r="563" spans="23:23" hidden="1">
      <c r="W563" s="224"/>
    </row>
    <row r="564" spans="23:23" hidden="1">
      <c r="W564" s="224"/>
    </row>
    <row r="565" spans="23:23" hidden="1">
      <c r="W565" s="224"/>
    </row>
    <row r="566" spans="23:23" hidden="1">
      <c r="W566" s="224"/>
    </row>
    <row r="567" spans="23:23" hidden="1">
      <c r="W567" s="224"/>
    </row>
    <row r="568" spans="23:23" hidden="1">
      <c r="W568" s="224"/>
    </row>
    <row r="569" spans="23:23" hidden="1">
      <c r="W569" s="224"/>
    </row>
    <row r="570" spans="23:23" hidden="1">
      <c r="W570" s="224"/>
    </row>
    <row r="571" spans="23:23" hidden="1">
      <c r="W571" s="224"/>
    </row>
    <row r="572" spans="23:23" hidden="1">
      <c r="W572" s="224"/>
    </row>
    <row r="573" spans="23:23" hidden="1">
      <c r="W573" s="224"/>
    </row>
    <row r="574" spans="23:23" hidden="1">
      <c r="W574" s="224"/>
    </row>
    <row r="575" spans="23:23" hidden="1">
      <c r="W575" s="224"/>
    </row>
    <row r="576" spans="23:23" hidden="1">
      <c r="W576" s="224"/>
    </row>
    <row r="577" spans="23:23" hidden="1">
      <c r="W577" s="224"/>
    </row>
    <row r="578" spans="23:23" hidden="1">
      <c r="W578" s="224"/>
    </row>
    <row r="579" spans="23:23" hidden="1">
      <c r="W579" s="224"/>
    </row>
    <row r="580" spans="23:23" hidden="1">
      <c r="W580" s="224"/>
    </row>
    <row r="581" spans="23:23" hidden="1">
      <c r="W581" s="224"/>
    </row>
    <row r="582" spans="23:23" hidden="1">
      <c r="W582" s="224"/>
    </row>
    <row r="583" spans="23:23" hidden="1">
      <c r="W583" s="224"/>
    </row>
    <row r="584" spans="23:23" hidden="1">
      <c r="W584" s="224"/>
    </row>
    <row r="585" spans="23:23" hidden="1">
      <c r="W585" s="224"/>
    </row>
    <row r="586" spans="23:23" hidden="1">
      <c r="W586" s="224"/>
    </row>
    <row r="587" spans="23:23" hidden="1">
      <c r="W587" s="224"/>
    </row>
    <row r="588" spans="23:23" hidden="1">
      <c r="W588" s="224"/>
    </row>
    <row r="589" spans="23:23" hidden="1">
      <c r="W589" s="224"/>
    </row>
    <row r="590" spans="23:23" hidden="1">
      <c r="W590" s="224"/>
    </row>
    <row r="591" spans="23:23" hidden="1">
      <c r="W591" s="224"/>
    </row>
    <row r="592" spans="23:23" hidden="1">
      <c r="W592" s="224"/>
    </row>
    <row r="593" spans="23:23" hidden="1">
      <c r="W593" s="224"/>
    </row>
    <row r="594" spans="23:23" hidden="1">
      <c r="W594" s="224"/>
    </row>
    <row r="595" spans="23:23" hidden="1">
      <c r="W595" s="224"/>
    </row>
    <row r="596" spans="23:23" hidden="1">
      <c r="W596" s="224"/>
    </row>
    <row r="597" spans="23:23" hidden="1">
      <c r="W597" s="224"/>
    </row>
    <row r="598" spans="23:23" hidden="1">
      <c r="W598" s="224"/>
    </row>
    <row r="599" spans="23:23" hidden="1">
      <c r="W599" s="224"/>
    </row>
    <row r="600" spans="23:23" hidden="1">
      <c r="W600" s="224"/>
    </row>
    <row r="601" spans="23:23" hidden="1">
      <c r="W601" s="224"/>
    </row>
    <row r="602" spans="23:23" hidden="1">
      <c r="W602" s="224"/>
    </row>
    <row r="603" spans="23:23" hidden="1">
      <c r="W603" s="224"/>
    </row>
    <row r="604" spans="23:23" hidden="1">
      <c r="W604" s="224"/>
    </row>
    <row r="605" spans="23:23" hidden="1">
      <c r="W605" s="224"/>
    </row>
    <row r="606" spans="23:23" hidden="1">
      <c r="W606" s="224"/>
    </row>
    <row r="607" spans="23:23" hidden="1">
      <c r="W607" s="224"/>
    </row>
    <row r="608" spans="23:23" hidden="1">
      <c r="W608" s="224"/>
    </row>
    <row r="609" spans="23:23" hidden="1">
      <c r="W609" s="224"/>
    </row>
    <row r="610" spans="23:23" hidden="1">
      <c r="W610" s="224"/>
    </row>
    <row r="611" spans="23:23" hidden="1">
      <c r="W611" s="224"/>
    </row>
    <row r="612" spans="23:23" hidden="1">
      <c r="W612" s="224"/>
    </row>
    <row r="613" spans="23:23" hidden="1">
      <c r="W613" s="224"/>
    </row>
    <row r="614" spans="23:23" hidden="1">
      <c r="W614" s="224"/>
    </row>
    <row r="615" spans="23:23" hidden="1">
      <c r="W615" s="224"/>
    </row>
    <row r="616" spans="23:23" hidden="1">
      <c r="W616" s="224"/>
    </row>
    <row r="617" spans="23:23" hidden="1">
      <c r="W617" s="224"/>
    </row>
    <row r="618" spans="23:23" hidden="1">
      <c r="W618" s="224"/>
    </row>
    <row r="619" spans="23:23" hidden="1">
      <c r="W619" s="224"/>
    </row>
    <row r="620" spans="23:23" hidden="1">
      <c r="W620" s="224"/>
    </row>
    <row r="621" spans="23:23" hidden="1">
      <c r="W621" s="224"/>
    </row>
    <row r="622" spans="23:23" hidden="1">
      <c r="W622" s="224"/>
    </row>
    <row r="623" spans="23:23" hidden="1">
      <c r="W623" s="224"/>
    </row>
    <row r="624" spans="23:23" hidden="1">
      <c r="W624" s="224"/>
    </row>
    <row r="625" spans="23:23" hidden="1">
      <c r="W625" s="224"/>
    </row>
    <row r="626" spans="23:23" hidden="1">
      <c r="W626" s="224"/>
    </row>
    <row r="627" spans="23:23" hidden="1">
      <c r="W627" s="224"/>
    </row>
    <row r="628" spans="23:23" hidden="1">
      <c r="W628" s="224"/>
    </row>
    <row r="629" spans="23:23" hidden="1">
      <c r="W629" s="224"/>
    </row>
    <row r="630" spans="23:23" hidden="1">
      <c r="W630" s="224"/>
    </row>
    <row r="631" spans="23:23" hidden="1">
      <c r="W631" s="224"/>
    </row>
    <row r="632" spans="23:23" hidden="1">
      <c r="W632" s="224"/>
    </row>
    <row r="633" spans="23:23" hidden="1">
      <c r="W633" s="224"/>
    </row>
    <row r="634" spans="23:23" hidden="1">
      <c r="W634" s="224"/>
    </row>
    <row r="635" spans="23:23" hidden="1">
      <c r="W635" s="224"/>
    </row>
    <row r="636" spans="23:23" hidden="1">
      <c r="W636" s="224"/>
    </row>
    <row r="637" spans="23:23" hidden="1">
      <c r="W637" s="224"/>
    </row>
    <row r="638" spans="23:23" hidden="1">
      <c r="W638" s="224"/>
    </row>
    <row r="639" spans="23:23" hidden="1">
      <c r="W639" s="224"/>
    </row>
    <row r="640" spans="23:23" hidden="1">
      <c r="W640" s="224"/>
    </row>
    <row r="641" spans="23:23" hidden="1">
      <c r="W641" s="224"/>
    </row>
    <row r="642" spans="23:23" hidden="1">
      <c r="W642" s="224"/>
    </row>
    <row r="643" spans="23:23" hidden="1">
      <c r="W643" s="224"/>
    </row>
    <row r="644" spans="23:23" hidden="1">
      <c r="W644" s="224"/>
    </row>
    <row r="645" spans="23:23" hidden="1">
      <c r="W645" s="224"/>
    </row>
    <row r="646" spans="23:23" hidden="1">
      <c r="W646" s="224"/>
    </row>
    <row r="647" spans="23:23" hidden="1">
      <c r="W647" s="224"/>
    </row>
    <row r="648" spans="23:23" hidden="1">
      <c r="W648" s="224"/>
    </row>
    <row r="649" spans="23:23" hidden="1">
      <c r="W649" s="224"/>
    </row>
    <row r="650" spans="23:23" hidden="1">
      <c r="W650" s="224"/>
    </row>
    <row r="651" spans="23:23" hidden="1">
      <c r="W651" s="224"/>
    </row>
    <row r="652" spans="23:23" hidden="1">
      <c r="W652" s="224"/>
    </row>
    <row r="653" spans="23:23" hidden="1">
      <c r="W653" s="224"/>
    </row>
    <row r="654" spans="23:23" hidden="1">
      <c r="W654" s="224"/>
    </row>
    <row r="655" spans="23:23" hidden="1">
      <c r="W655" s="224"/>
    </row>
    <row r="656" spans="23:23" hidden="1">
      <c r="W656" s="224"/>
    </row>
    <row r="657" spans="23:23" hidden="1">
      <c r="W657" s="224"/>
    </row>
    <row r="658" spans="23:23" hidden="1">
      <c r="W658" s="224"/>
    </row>
    <row r="659" spans="23:23" hidden="1">
      <c r="W659" s="224"/>
    </row>
    <row r="660" spans="23:23" hidden="1">
      <c r="W660" s="224"/>
    </row>
    <row r="661" spans="23:23" hidden="1">
      <c r="W661" s="224"/>
    </row>
    <row r="662" spans="23:23" hidden="1">
      <c r="W662" s="224"/>
    </row>
    <row r="663" spans="23:23" hidden="1">
      <c r="W663" s="224"/>
    </row>
    <row r="664" spans="23:23" hidden="1">
      <c r="W664" s="224"/>
    </row>
    <row r="665" spans="23:23" hidden="1">
      <c r="W665" s="224"/>
    </row>
    <row r="666" spans="23:23" hidden="1">
      <c r="W666" s="224"/>
    </row>
    <row r="667" spans="23:23" hidden="1">
      <c r="W667" s="224"/>
    </row>
    <row r="668" spans="23:23" hidden="1">
      <c r="W668" s="224"/>
    </row>
    <row r="669" spans="23:23" hidden="1">
      <c r="W669" s="224"/>
    </row>
    <row r="670" spans="23:23" hidden="1">
      <c r="W670" s="224"/>
    </row>
    <row r="671" spans="23:23" hidden="1">
      <c r="W671" s="224"/>
    </row>
    <row r="672" spans="23:23" hidden="1">
      <c r="W672" s="224"/>
    </row>
    <row r="673" spans="23:23" hidden="1">
      <c r="W673" s="224"/>
    </row>
    <row r="674" spans="23:23" hidden="1">
      <c r="W674" s="224"/>
    </row>
    <row r="675" spans="23:23" hidden="1">
      <c r="W675" s="224"/>
    </row>
    <row r="676" spans="23:23" hidden="1">
      <c r="W676" s="224"/>
    </row>
    <row r="677" spans="23:23" hidden="1">
      <c r="W677" s="224"/>
    </row>
    <row r="678" spans="23:23" hidden="1">
      <c r="W678" s="224"/>
    </row>
    <row r="679" spans="23:23" hidden="1">
      <c r="W679" s="224"/>
    </row>
    <row r="680" spans="23:23" hidden="1">
      <c r="W680" s="224"/>
    </row>
    <row r="681" spans="23:23" hidden="1">
      <c r="W681" s="224"/>
    </row>
    <row r="682" spans="23:23" hidden="1">
      <c r="W682" s="224"/>
    </row>
    <row r="683" spans="23:23" hidden="1">
      <c r="W683" s="224"/>
    </row>
    <row r="684" spans="23:23" hidden="1">
      <c r="W684" s="224"/>
    </row>
    <row r="685" spans="23:23" hidden="1">
      <c r="W685" s="224"/>
    </row>
    <row r="686" spans="23:23" hidden="1">
      <c r="W686" s="224"/>
    </row>
    <row r="687" spans="23:23" hidden="1">
      <c r="W687" s="224"/>
    </row>
    <row r="688" spans="23:23" hidden="1">
      <c r="W688" s="224"/>
    </row>
    <row r="689" spans="23:23" hidden="1">
      <c r="W689" s="224"/>
    </row>
    <row r="690" spans="23:23" hidden="1">
      <c r="W690" s="224"/>
    </row>
    <row r="691" spans="23:23" hidden="1">
      <c r="W691" s="224"/>
    </row>
    <row r="692" spans="23:23" hidden="1">
      <c r="W692" s="224"/>
    </row>
    <row r="693" spans="23:23" hidden="1">
      <c r="W693" s="224"/>
    </row>
    <row r="694" spans="23:23" hidden="1">
      <c r="W694" s="224"/>
    </row>
    <row r="695" spans="23:23" hidden="1">
      <c r="W695" s="224"/>
    </row>
    <row r="696" spans="23:23" hidden="1">
      <c r="W696" s="224"/>
    </row>
    <row r="697" spans="23:23" hidden="1">
      <c r="W697" s="224"/>
    </row>
    <row r="698" spans="23:23" hidden="1">
      <c r="W698" s="224"/>
    </row>
    <row r="699" spans="23:23" hidden="1">
      <c r="W699" s="224"/>
    </row>
    <row r="700" spans="23:23" hidden="1">
      <c r="W700" s="224"/>
    </row>
    <row r="701" spans="23:23" hidden="1">
      <c r="W701" s="224"/>
    </row>
    <row r="702" spans="23:23" hidden="1">
      <c r="W702" s="224"/>
    </row>
    <row r="703" spans="23:23" hidden="1">
      <c r="W703" s="224"/>
    </row>
    <row r="704" spans="23:23" hidden="1">
      <c r="W704" s="224"/>
    </row>
    <row r="705" spans="23:23" hidden="1">
      <c r="W705" s="224"/>
    </row>
    <row r="706" spans="23:23" hidden="1">
      <c r="W706" s="224"/>
    </row>
    <row r="707" spans="23:23" hidden="1">
      <c r="W707" s="224"/>
    </row>
    <row r="708" spans="23:23" hidden="1">
      <c r="W708" s="224"/>
    </row>
    <row r="709" spans="23:23" hidden="1">
      <c r="W709" s="224"/>
    </row>
    <row r="710" spans="23:23" hidden="1">
      <c r="W710" s="224"/>
    </row>
    <row r="711" spans="23:23" hidden="1">
      <c r="W711" s="224"/>
    </row>
    <row r="712" spans="23:23" hidden="1">
      <c r="W712" s="224"/>
    </row>
    <row r="713" spans="23:23" hidden="1">
      <c r="W713" s="224"/>
    </row>
    <row r="714" spans="23:23" hidden="1">
      <c r="W714" s="224"/>
    </row>
    <row r="715" spans="23:23" hidden="1">
      <c r="W715" s="224"/>
    </row>
    <row r="716" spans="23:23" hidden="1">
      <c r="W716" s="224"/>
    </row>
    <row r="717" spans="23:23" hidden="1">
      <c r="W717" s="224"/>
    </row>
    <row r="718" spans="23:23" hidden="1">
      <c r="W718" s="224"/>
    </row>
    <row r="719" spans="23:23" hidden="1">
      <c r="W719" s="224"/>
    </row>
    <row r="720" spans="23:23" hidden="1">
      <c r="W720" s="224"/>
    </row>
    <row r="721" spans="23:23" hidden="1">
      <c r="W721" s="224"/>
    </row>
    <row r="722" spans="23:23" hidden="1">
      <c r="W722" s="224"/>
    </row>
    <row r="723" spans="23:23" hidden="1">
      <c r="W723" s="224"/>
    </row>
    <row r="724" spans="23:23" hidden="1">
      <c r="W724" s="224"/>
    </row>
    <row r="725" spans="23:23" hidden="1">
      <c r="W725" s="224"/>
    </row>
    <row r="726" spans="23:23" hidden="1">
      <c r="W726" s="224"/>
    </row>
    <row r="727" spans="23:23" hidden="1">
      <c r="W727" s="224"/>
    </row>
    <row r="728" spans="23:23" hidden="1">
      <c r="W728" s="224"/>
    </row>
    <row r="729" spans="23:23" hidden="1">
      <c r="W729" s="224"/>
    </row>
    <row r="730" spans="23:23" hidden="1">
      <c r="W730" s="224"/>
    </row>
    <row r="731" spans="23:23" hidden="1">
      <c r="W731" s="224"/>
    </row>
    <row r="732" spans="23:23" hidden="1">
      <c r="W732" s="224"/>
    </row>
    <row r="733" spans="23:23" hidden="1">
      <c r="W733" s="224"/>
    </row>
    <row r="734" spans="23:23" hidden="1">
      <c r="W734" s="224"/>
    </row>
    <row r="735" spans="23:23" hidden="1">
      <c r="W735" s="224"/>
    </row>
    <row r="736" spans="23:23" hidden="1">
      <c r="W736" s="224"/>
    </row>
    <row r="737" spans="23:23" hidden="1">
      <c r="W737" s="224"/>
    </row>
    <row r="738" spans="23:23" hidden="1">
      <c r="W738" s="224"/>
    </row>
    <row r="739" spans="23:23" hidden="1">
      <c r="W739" s="224"/>
    </row>
    <row r="740" spans="23:23" hidden="1">
      <c r="W740" s="224"/>
    </row>
    <row r="741" spans="23:23" hidden="1">
      <c r="W741" s="224"/>
    </row>
    <row r="742" spans="23:23" hidden="1">
      <c r="W742" s="224"/>
    </row>
    <row r="743" spans="23:23" hidden="1">
      <c r="W743" s="224"/>
    </row>
    <row r="744" spans="23:23" hidden="1">
      <c r="W744" s="224"/>
    </row>
    <row r="745" spans="23:23" hidden="1">
      <c r="W745" s="224"/>
    </row>
    <row r="746" spans="23:23" hidden="1">
      <c r="W746" s="224"/>
    </row>
    <row r="747" spans="23:23" hidden="1">
      <c r="W747" s="224"/>
    </row>
    <row r="748" spans="23:23" hidden="1">
      <c r="W748" s="224"/>
    </row>
    <row r="749" spans="23:23" hidden="1">
      <c r="W749" s="224"/>
    </row>
    <row r="750" spans="23:23" hidden="1">
      <c r="W750" s="224"/>
    </row>
    <row r="751" spans="23:23" hidden="1">
      <c r="W751" s="224"/>
    </row>
    <row r="752" spans="23:23" hidden="1">
      <c r="W752" s="224"/>
    </row>
    <row r="753" spans="23:23" hidden="1">
      <c r="W753" s="224"/>
    </row>
    <row r="754" spans="23:23" hidden="1">
      <c r="W754" s="224"/>
    </row>
    <row r="755" spans="23:23" hidden="1">
      <c r="W755" s="224"/>
    </row>
    <row r="756" spans="23:23" hidden="1">
      <c r="W756" s="224"/>
    </row>
    <row r="757" spans="23:23" hidden="1">
      <c r="W757" s="224"/>
    </row>
    <row r="758" spans="23:23" hidden="1">
      <c r="W758" s="224"/>
    </row>
    <row r="759" spans="23:23" hidden="1">
      <c r="W759" s="224"/>
    </row>
    <row r="760" spans="23:23" hidden="1">
      <c r="W760" s="224"/>
    </row>
    <row r="761" spans="23:23" hidden="1">
      <c r="W761" s="224"/>
    </row>
    <row r="762" spans="23:23" hidden="1">
      <c r="W762" s="224"/>
    </row>
    <row r="763" spans="23:23" hidden="1">
      <c r="W763" s="224"/>
    </row>
    <row r="764" spans="23:23" hidden="1">
      <c r="W764" s="224"/>
    </row>
    <row r="765" spans="23:23" hidden="1">
      <c r="W765" s="224"/>
    </row>
    <row r="766" spans="23:23" hidden="1">
      <c r="W766" s="224"/>
    </row>
    <row r="767" spans="23:23" hidden="1">
      <c r="W767" s="224"/>
    </row>
    <row r="768" spans="23:23" hidden="1">
      <c r="W768" s="224"/>
    </row>
    <row r="1048576" ht="1" hidden="1" customHeight="1"/>
  </sheetData>
  <sheetProtection algorithmName="SHA-512" hashValue="cNPNWjoirOoRZLYSJMi5iNFV9304TX/mLD3qi/MAtJ8GYgaVBVPqdBjaLSLMOBszPXVa6rgv8XpRHGmf1gMi4Q==" saltValue="k4FAEkQds7X2G8iWkpVxbg==" spinCount="100000" sheet="1" objects="1" scenarios="1"/>
  <mergeCells count="18">
    <mergeCell ref="K42:M43"/>
    <mergeCell ref="O42:O43"/>
    <mergeCell ref="P43:R44"/>
    <mergeCell ref="P46:R46"/>
    <mergeCell ref="B5:D6"/>
    <mergeCell ref="F5:F6"/>
    <mergeCell ref="B35:F35"/>
    <mergeCell ref="Q7:Q9"/>
    <mergeCell ref="R7:R9"/>
    <mergeCell ref="K5:R6"/>
    <mergeCell ref="B3:I4"/>
    <mergeCell ref="B2:I2"/>
    <mergeCell ref="A56:A67"/>
    <mergeCell ref="B24:D25"/>
    <mergeCell ref="B39:D40"/>
    <mergeCell ref="F24:F25"/>
    <mergeCell ref="F39:F40"/>
    <mergeCell ref="B55:H59"/>
  </mergeCells>
  <phoneticPr fontId="12" type="noConversion"/>
  <dataValidations xWindow="1839" yWindow="1215" count="3">
    <dataValidation type="list" allowBlank="1" showInputMessage="1" showErrorMessage="1" sqref="H9" xr:uid="{602B73B4-D210-48C2-8516-1051C88E4536}">
      <formula1>SoilName</formula1>
    </dataValidation>
    <dataValidation type="list" allowBlank="1" showInputMessage="1" showErrorMessage="1" sqref="H28" xr:uid="{3F57A245-E179-4798-BA83-34500D1F436C}">
      <formula1>PFASname</formula1>
    </dataValidation>
    <dataValidation type="list" allowBlank="1" showInputMessage="1" showErrorMessage="1" sqref="K8" xr:uid="{97DEF5F3-8164-4713-A045-72D83A687432}">
      <formula1>"Piecewise Linear Interpolation, Piecewise Constant Interpolation"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50" r:id="rId4" name="Button 18">
              <controlPr defaultSize="0" print="0" autoFill="0" autoPict="0" macro="[0]!M0_calculate_aL" altText="        Estimate αL">
                <anchor moveWithCells="1" sizeWithCells="1">
                  <from>
                    <xdr:col>6</xdr:col>
                    <xdr:colOff>177800</xdr:colOff>
                    <xdr:row>18</xdr:row>
                    <xdr:rowOff>12700</xdr:rowOff>
                  </from>
                  <to>
                    <xdr:col>8</xdr:col>
                    <xdr:colOff>63500</xdr:colOff>
                    <xdr:row>18</xdr:row>
                    <xdr:rowOff>190500</xdr:rowOff>
                  </to>
                </anchor>
              </controlPr>
            </control>
          </mc:Choice>
        </mc:AlternateContent>
        <mc:AlternateContent xmlns:mc="http://schemas.openxmlformats.org/markup-compatibility/2006">
          <mc:Choice Requires="x14">
            <control shapeId="44051" r:id="rId5" name="Button 19">
              <controlPr defaultSize="0" print="0" autoFill="0" autoPict="0" macro="[0]!M0_estimate_SF" altText="      Estimate SF">
                <anchor moveWithCells="1" sizeWithCells="1">
                  <from>
                    <xdr:col>6</xdr:col>
                    <xdr:colOff>177800</xdr:colOff>
                    <xdr:row>20</xdr:row>
                    <xdr:rowOff>25400</xdr:rowOff>
                  </from>
                  <to>
                    <xdr:col>8</xdr:col>
                    <xdr:colOff>63500</xdr:colOff>
                    <xdr:row>20</xdr:row>
                    <xdr:rowOff>203200</xdr:rowOff>
                  </to>
                </anchor>
              </controlPr>
            </control>
          </mc:Choice>
        </mc:AlternateContent>
        <mc:AlternateContent xmlns:mc="http://schemas.openxmlformats.org/markup-compatibility/2006">
          <mc:Choice Requires="x14">
            <control shapeId="44052" r:id="rId6" name="Button 20">
              <controlPr defaultSize="0" print="0" autoFill="0" autoPict="0" macro="[0]!M0_Compute_Theta_1201" altText="Estimate  θ">
                <anchor moveWithCells="1" sizeWithCells="1">
                  <from>
                    <xdr:col>6</xdr:col>
                    <xdr:colOff>177800</xdr:colOff>
                    <xdr:row>19</xdr:row>
                    <xdr:rowOff>25400</xdr:rowOff>
                  </from>
                  <to>
                    <xdr:col>8</xdr:col>
                    <xdr:colOff>63500</xdr:colOff>
                    <xdr:row>19</xdr:row>
                    <xdr:rowOff>203200</xdr:rowOff>
                  </to>
                </anchor>
              </controlPr>
            </control>
          </mc:Choice>
        </mc:AlternateContent>
        <mc:AlternateContent xmlns:mc="http://schemas.openxmlformats.org/markup-compatibility/2006">
          <mc:Choice Requires="x14">
            <control shapeId="44053" r:id="rId7" name="Button 21">
              <controlPr defaultSize="0" print="0" autoFill="0" autoPict="0" macro="[0]!M0_EstimateAaw_1201">
                <anchor moveWithCells="1" sizeWithCells="1">
                  <from>
                    <xdr:col>6</xdr:col>
                    <xdr:colOff>177800</xdr:colOff>
                    <xdr:row>21</xdr:row>
                    <xdr:rowOff>25400</xdr:rowOff>
                  </from>
                  <to>
                    <xdr:col>8</xdr:col>
                    <xdr:colOff>63500</xdr:colOff>
                    <xdr:row>21</xdr:row>
                    <xdr:rowOff>203200</xdr:rowOff>
                  </to>
                </anchor>
              </controlPr>
            </control>
          </mc:Choice>
        </mc:AlternateContent>
        <mc:AlternateContent xmlns:mc="http://schemas.openxmlformats.org/markup-compatibility/2006">
          <mc:Choice Requires="x14">
            <control shapeId="44054" r:id="rId8" name="Button 22">
              <controlPr defaultSize="0" print="0" autoFill="0" autoPict="0" macro="[0]!M0_Estimate_Kd_1201">
                <anchor moveWithCells="1" sizeWithCells="1">
                  <from>
                    <xdr:col>6</xdr:col>
                    <xdr:colOff>177800</xdr:colOff>
                    <xdr:row>32</xdr:row>
                    <xdr:rowOff>25400</xdr:rowOff>
                  </from>
                  <to>
                    <xdr:col>8</xdr:col>
                    <xdr:colOff>101600</xdr:colOff>
                    <xdr:row>32</xdr:row>
                    <xdr:rowOff>203200</xdr:rowOff>
                  </to>
                </anchor>
              </controlPr>
            </control>
          </mc:Choice>
        </mc:AlternateContent>
        <mc:AlternateContent xmlns:mc="http://schemas.openxmlformats.org/markup-compatibility/2006">
          <mc:Choice Requires="x14">
            <control shapeId="44055" r:id="rId9" name="Button 23">
              <controlPr defaultSize="0" print="0" autoFill="0" autoPict="0" macro="[0]!M0_Estimate_Kaw_1201">
                <anchor moveWithCells="1" sizeWithCells="1">
                  <from>
                    <xdr:col>6</xdr:col>
                    <xdr:colOff>177800</xdr:colOff>
                    <xdr:row>33</xdr:row>
                    <xdr:rowOff>25400</xdr:rowOff>
                  </from>
                  <to>
                    <xdr:col>8</xdr:col>
                    <xdr:colOff>101600</xdr:colOff>
                    <xdr:row>33</xdr:row>
                    <xdr:rowOff>203200</xdr:rowOff>
                  </to>
                </anchor>
              </controlPr>
            </control>
          </mc:Choice>
        </mc:AlternateContent>
        <mc:AlternateContent xmlns:mc="http://schemas.openxmlformats.org/markup-compatibility/2006">
          <mc:Choice Requires="x14">
            <control shapeId="44056" r:id="rId10" name="Button 24">
              <controlPr defaultSize="0" print="0" autoFill="0" autoPict="0" macro="[0]!M0_DF_Calculation_1201">
                <anchor moveWithCells="1" sizeWithCells="1">
                  <from>
                    <xdr:col>6</xdr:col>
                    <xdr:colOff>177800</xdr:colOff>
                    <xdr:row>44</xdr:row>
                    <xdr:rowOff>25400</xdr:rowOff>
                  </from>
                  <to>
                    <xdr:col>8</xdr:col>
                    <xdr:colOff>101600</xdr:colOff>
                    <xdr:row>45</xdr:row>
                    <xdr:rowOff>12700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5E042-721B-4AB6-809E-75486931C8BC}">
  <sheetPr codeName="Sheet6">
    <tabColor theme="8" tint="0.39997558519241921"/>
  </sheetPr>
  <dimension ref="A1:AV25"/>
  <sheetViews>
    <sheetView showGridLines="0" showRowColHeaders="0" zoomScaleNormal="100" workbookViewId="0">
      <selection activeCell="J16" sqref="J16"/>
    </sheetView>
  </sheetViews>
  <sheetFormatPr baseColWidth="10" defaultColWidth="0" defaultRowHeight="15" zeroHeight="1"/>
  <cols>
    <col min="1" max="1" width="0.33203125" style="50" customWidth="1"/>
    <col min="2" max="2" width="9.1640625" style="50" customWidth="1"/>
    <col min="3" max="3" width="66.33203125" style="50" customWidth="1"/>
    <col min="4" max="4" width="13.83203125" style="50" customWidth="1"/>
    <col min="5" max="5" width="12.33203125" style="50" customWidth="1"/>
    <col min="6" max="6" width="13.6640625" style="50" customWidth="1"/>
    <col min="7" max="7" width="5.33203125" style="50" customWidth="1"/>
    <col min="8" max="8" width="6" style="50" customWidth="1"/>
    <col min="9" max="9" width="73" style="50" customWidth="1"/>
    <col min="10" max="10" width="18" style="50" customWidth="1"/>
    <col min="11" max="11" width="14.1640625" style="50" customWidth="1"/>
    <col min="12" max="12" width="18.33203125" style="50" customWidth="1"/>
    <col min="13" max="13" width="6.33203125" style="50" customWidth="1"/>
    <col min="14" max="14" width="6.1640625" style="50" customWidth="1"/>
    <col min="15" max="15" width="8.33203125" style="50" hidden="1" customWidth="1"/>
    <col min="16" max="16" width="4.1640625" style="50" hidden="1" customWidth="1"/>
    <col min="17" max="48" width="0" style="50" hidden="1" customWidth="1"/>
    <col min="49" max="16384" width="9" style="50" hidden="1"/>
  </cols>
  <sheetData>
    <row r="1" spans="1:16" ht="56" customHeight="1">
      <c r="A1" s="396" t="s">
        <v>143</v>
      </c>
      <c r="B1" s="396"/>
      <c r="C1" s="396"/>
      <c r="D1" s="396"/>
      <c r="E1" s="396"/>
      <c r="F1" s="396"/>
      <c r="G1" s="39"/>
      <c r="H1" s="39"/>
      <c r="I1" s="39"/>
      <c r="J1" s="39"/>
      <c r="K1" s="39"/>
      <c r="L1" s="39"/>
    </row>
    <row r="2" spans="1:16" ht="51.75" customHeight="1" thickBot="1">
      <c r="A2" s="183"/>
      <c r="B2" s="183"/>
      <c r="C2" s="183"/>
      <c r="D2" s="183"/>
      <c r="E2" s="183"/>
      <c r="F2" s="183"/>
      <c r="G2" s="39"/>
      <c r="H2" s="39"/>
      <c r="I2" s="39"/>
      <c r="J2" s="39"/>
      <c r="K2" s="39"/>
      <c r="L2" s="39"/>
    </row>
    <row r="3" spans="1:16" ht="45" customHeight="1" thickBot="1">
      <c r="B3" s="393" t="s">
        <v>144</v>
      </c>
      <c r="C3" s="394"/>
      <c r="D3" s="394"/>
      <c r="E3" s="394"/>
      <c r="F3" s="395"/>
      <c r="G3" s="129"/>
      <c r="H3" s="129"/>
      <c r="I3" s="393" t="s">
        <v>145</v>
      </c>
      <c r="J3" s="394"/>
      <c r="K3" s="394"/>
      <c r="L3" s="91" t="s">
        <v>146</v>
      </c>
      <c r="M3" s="129"/>
      <c r="N3" s="129"/>
      <c r="O3" s="129"/>
      <c r="P3" s="129"/>
    </row>
    <row r="4" spans="1:16" ht="35" customHeight="1">
      <c r="B4" s="145"/>
      <c r="C4" s="85" t="s">
        <v>147</v>
      </c>
      <c r="D4" s="127"/>
      <c r="E4" s="127"/>
      <c r="F4" s="128"/>
      <c r="I4" s="90" t="s">
        <v>148</v>
      </c>
      <c r="J4" s="84" t="s">
        <v>149</v>
      </c>
      <c r="K4" s="85" t="s">
        <v>150</v>
      </c>
      <c r="L4" s="147">
        <v>6.9204432994557328</v>
      </c>
    </row>
    <row r="5" spans="1:16" ht="35" customHeight="1">
      <c r="B5" s="51"/>
      <c r="C5" s="146" t="s">
        <v>274</v>
      </c>
      <c r="F5" s="52"/>
      <c r="I5" s="89" t="s">
        <v>151</v>
      </c>
      <c r="J5" s="86" t="s">
        <v>152</v>
      </c>
      <c r="K5" s="60" t="s">
        <v>150</v>
      </c>
      <c r="L5" s="148">
        <v>1.5188594271257696</v>
      </c>
    </row>
    <row r="6" spans="1:16" ht="35" customHeight="1">
      <c r="B6" s="51"/>
      <c r="F6" s="52"/>
      <c r="I6" s="89" t="s">
        <v>153</v>
      </c>
      <c r="J6" s="86" t="s">
        <v>154</v>
      </c>
      <c r="K6" s="60" t="s">
        <v>150</v>
      </c>
      <c r="L6" s="148">
        <v>0.42377366331976862</v>
      </c>
    </row>
    <row r="7" spans="1:16" ht="40" customHeight="1">
      <c r="B7" s="51"/>
      <c r="F7" s="52"/>
      <c r="I7" s="51"/>
      <c r="L7" s="52"/>
    </row>
    <row r="8" spans="1:16" ht="38" customHeight="1" thickBot="1">
      <c r="B8" s="51"/>
      <c r="F8" s="52"/>
      <c r="I8" s="51"/>
      <c r="L8" s="52"/>
    </row>
    <row r="9" spans="1:16" ht="38" customHeight="1" thickBot="1">
      <c r="B9" s="51"/>
      <c r="F9" s="52"/>
      <c r="I9" s="397" t="s">
        <v>155</v>
      </c>
      <c r="J9" s="398"/>
      <c r="K9" s="398"/>
      <c r="L9" s="399"/>
    </row>
    <row r="10" spans="1:16" ht="35" customHeight="1">
      <c r="B10" s="51"/>
      <c r="F10" s="52"/>
      <c r="I10" s="90" t="s">
        <v>156</v>
      </c>
      <c r="J10" s="84" t="s">
        <v>157</v>
      </c>
      <c r="K10" s="85" t="s">
        <v>138</v>
      </c>
      <c r="L10" s="337">
        <v>12.669766523701293</v>
      </c>
    </row>
    <row r="11" spans="1:16" ht="35" customHeight="1">
      <c r="B11" s="51"/>
      <c r="F11" s="52"/>
      <c r="I11" s="89" t="s">
        <v>158</v>
      </c>
      <c r="J11" s="86" t="s">
        <v>159</v>
      </c>
      <c r="K11" s="60" t="s">
        <v>138</v>
      </c>
      <c r="L11" s="161">
        <v>3.9029158725382063</v>
      </c>
    </row>
    <row r="12" spans="1:16" ht="35" customHeight="1">
      <c r="B12" s="51"/>
      <c r="F12" s="52"/>
      <c r="I12" s="89" t="s">
        <v>160</v>
      </c>
      <c r="J12" s="86" t="s">
        <v>161</v>
      </c>
      <c r="K12" s="60" t="s">
        <v>138</v>
      </c>
      <c r="L12" s="161">
        <v>17.5726823962395</v>
      </c>
    </row>
    <row r="13" spans="1:16" ht="35" customHeight="1">
      <c r="B13" s="51"/>
      <c r="F13" s="52"/>
      <c r="I13" s="89" t="s">
        <v>162</v>
      </c>
      <c r="J13" s="86" t="s">
        <v>163</v>
      </c>
      <c r="K13" s="60" t="s">
        <v>138</v>
      </c>
      <c r="L13" s="161">
        <v>4.5563421972181519</v>
      </c>
    </row>
    <row r="14" spans="1:16" ht="35" customHeight="1">
      <c r="B14" s="51"/>
      <c r="F14" s="52"/>
      <c r="I14" s="89" t="s">
        <v>164</v>
      </c>
      <c r="J14" s="86" t="s">
        <v>137</v>
      </c>
      <c r="K14" s="60" t="s">
        <v>138</v>
      </c>
      <c r="L14" s="161">
        <v>151.02462144651173</v>
      </c>
    </row>
    <row r="15" spans="1:16" ht="35" customHeight="1">
      <c r="B15" s="51"/>
      <c r="F15" s="52"/>
      <c r="I15" s="144" t="s">
        <v>165</v>
      </c>
      <c r="J15" s="86" t="s">
        <v>166</v>
      </c>
      <c r="K15" s="60" t="s">
        <v>131</v>
      </c>
      <c r="L15" s="161">
        <v>44.523318059672704</v>
      </c>
    </row>
    <row r="16" spans="1:16" ht="45" customHeight="1" thickBot="1">
      <c r="B16" s="53"/>
      <c r="C16" s="54"/>
      <c r="D16" s="54"/>
      <c r="E16" s="54"/>
      <c r="F16" s="55"/>
      <c r="I16" s="141" t="s">
        <v>167</v>
      </c>
      <c r="J16" s="142" t="s">
        <v>168</v>
      </c>
      <c r="K16" s="143" t="s">
        <v>169</v>
      </c>
      <c r="L16" s="338">
        <v>66</v>
      </c>
    </row>
    <row r="17" spans="9:48" ht="38" customHeight="1">
      <c r="Y17" s="56"/>
      <c r="Z17" s="56"/>
      <c r="AA17" s="56"/>
      <c r="AB17" s="56"/>
      <c r="AC17" s="56"/>
      <c r="AD17" s="56"/>
      <c r="AE17" s="56"/>
      <c r="AF17" s="56"/>
      <c r="AG17" s="56"/>
      <c r="AH17" s="56"/>
      <c r="AI17" s="56"/>
      <c r="AJ17" s="56"/>
      <c r="AK17" s="56"/>
      <c r="AL17" s="56"/>
      <c r="AM17" s="56"/>
      <c r="AN17" s="56"/>
      <c r="AO17" s="56"/>
      <c r="AP17" s="56"/>
      <c r="AQ17" s="56"/>
      <c r="AR17" s="56"/>
      <c r="AS17" s="56"/>
      <c r="AT17" s="56"/>
      <c r="AU17" s="56"/>
      <c r="AV17" s="56"/>
    </row>
    <row r="19" spans="9:48" ht="18" hidden="1">
      <c r="I19" s="137"/>
      <c r="Y19" s="56"/>
      <c r="Z19" s="56"/>
      <c r="AA19" s="56"/>
      <c r="AB19" s="56"/>
      <c r="AC19" s="56"/>
      <c r="AD19" s="56"/>
      <c r="AE19" s="56"/>
      <c r="AF19" s="56"/>
      <c r="AG19" s="56"/>
      <c r="AH19" s="56"/>
      <c r="AI19" s="56"/>
      <c r="AJ19" s="56"/>
      <c r="AK19" s="56"/>
      <c r="AL19" s="56"/>
      <c r="AM19" s="56"/>
      <c r="AN19" s="56"/>
      <c r="AO19" s="56"/>
      <c r="AP19" s="56"/>
      <c r="AQ19" s="56"/>
      <c r="AR19" s="56"/>
      <c r="AS19" s="56"/>
      <c r="AT19" s="56"/>
      <c r="AU19" s="56"/>
      <c r="AV19" s="56"/>
    </row>
    <row r="23" spans="9:48" ht="18" hidden="1">
      <c r="I23" s="57"/>
      <c r="J23" s="86"/>
      <c r="K23" s="60"/>
      <c r="L23" s="130"/>
    </row>
    <row r="24" spans="9:48" ht="18" hidden="1">
      <c r="I24" s="57"/>
      <c r="J24" s="86"/>
      <c r="K24" s="60"/>
      <c r="L24" s="130"/>
    </row>
    <row r="25" spans="9:48" ht="18" hidden="1">
      <c r="I25" s="57"/>
      <c r="J25" s="86"/>
      <c r="K25" s="60"/>
      <c r="L25" s="60"/>
    </row>
  </sheetData>
  <sheetProtection algorithmName="SHA-512" hashValue="k0H3ZjwnWOl33OZXGczNT4Q1KcBRNCumMZnZoiVp7XcMqhyLzEEhgAXH8+D5gmqiYiHLBgnxC0d9Rjg1g83G6w==" saltValue="sDqWDW7Hne43gKznjOAfUw==" spinCount="100000" sheet="1" objects="1" scenarios="1"/>
  <mergeCells count="4">
    <mergeCell ref="I3:K3"/>
    <mergeCell ref="B3:F3"/>
    <mergeCell ref="A1:F1"/>
    <mergeCell ref="I9:L9"/>
  </mergeCells>
  <phoneticPr fontId="12" type="noConversion"/>
  <dataValidations count="1">
    <dataValidation type="list" allowBlank="1" showInputMessage="1" showErrorMessage="1" sqref="C5" xr:uid="{4308E4C2-7E0E-45F1-9749-1FD9D232465F}">
      <formula1>"Vadose-zone mass discharge rate, Mass remaining in the vadose zone, PFAS concentration in a receptor well"</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60" r:id="rId4" name="Button 14">
              <controlPr defaultSize="0" print="0" autoFill="0" autoPict="0" macro="[0]!M0_SaveMultipleCSVs">
                <anchor moveWithCells="1" sizeWithCells="1">
                  <from>
                    <xdr:col>3</xdr:col>
                    <xdr:colOff>647700</xdr:colOff>
                    <xdr:row>4</xdr:row>
                    <xdr:rowOff>0</xdr:rowOff>
                  </from>
                  <to>
                    <xdr:col>5</xdr:col>
                    <xdr:colOff>508000</xdr:colOff>
                    <xdr:row>4</xdr:row>
                    <xdr:rowOff>444500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E7750C-F6CE-49D0-8943-D3DFEC659535}">
  <sheetPr codeName="Sheet10">
    <tabColor theme="8" tint="0.39997558519241921"/>
  </sheetPr>
  <dimension ref="A1:XFC230"/>
  <sheetViews>
    <sheetView zoomScaleNormal="100" workbookViewId="0">
      <selection activeCell="E93" sqref="E93"/>
    </sheetView>
  </sheetViews>
  <sheetFormatPr baseColWidth="10" defaultColWidth="0" defaultRowHeight="20" customHeight="1"/>
  <cols>
    <col min="1" max="1" width="21.6640625" style="350" customWidth="1"/>
    <col min="2" max="2" width="47.1640625" style="59" customWidth="1"/>
    <col min="3" max="3" width="44.6640625" style="59" customWidth="1"/>
    <col min="4" max="4" width="55.33203125" style="59" customWidth="1"/>
    <col min="5" max="5" width="52.83203125" style="59" customWidth="1"/>
    <col min="6" max="6" width="54.33203125" style="336" customWidth="1"/>
    <col min="7" max="14" width="12.6640625" style="50" hidden="1"/>
    <col min="15" max="41" width="12.33203125" style="50" hidden="1"/>
    <col min="42" max="16383" width="9" style="50" hidden="1"/>
    <col min="16384" max="16384" width="1" style="50" customWidth="1"/>
  </cols>
  <sheetData>
    <row r="1" spans="1:8" ht="48.5" customHeight="1">
      <c r="A1" s="400" t="s">
        <v>170</v>
      </c>
      <c r="B1" s="400"/>
      <c r="C1" s="400"/>
      <c r="D1" s="400"/>
      <c r="E1" s="400"/>
      <c r="F1" s="400"/>
    </row>
    <row r="2" spans="1:8" s="37" customFormat="1" ht="52.25" customHeight="1">
      <c r="A2" s="184" t="s">
        <v>171</v>
      </c>
      <c r="B2" s="184" t="s">
        <v>172</v>
      </c>
      <c r="C2" s="184" t="s">
        <v>173</v>
      </c>
      <c r="D2" s="184" t="s">
        <v>174</v>
      </c>
      <c r="E2" s="184" t="s">
        <v>175</v>
      </c>
      <c r="F2" s="184" t="s">
        <v>176</v>
      </c>
      <c r="G2" s="57"/>
      <c r="H2" s="57"/>
    </row>
    <row r="3" spans="1:8" s="58" customFormat="1" ht="20" customHeight="1">
      <c r="A3" s="184">
        <v>1</v>
      </c>
      <c r="B3" s="185">
        <v>0.28386812142561479</v>
      </c>
      <c r="C3" s="185">
        <v>1.1555118032206134E-3</v>
      </c>
      <c r="D3" s="185">
        <v>183946.54268379841</v>
      </c>
      <c r="E3" s="185">
        <v>190587928.45731619</v>
      </c>
      <c r="F3" s="345">
        <v>99.903577745575006</v>
      </c>
    </row>
    <row r="4" spans="1:8" s="58" customFormat="1" ht="20" customHeight="1">
      <c r="A4" s="184">
        <v>2</v>
      </c>
      <c r="B4" s="185">
        <v>0.30140082673039825</v>
      </c>
      <c r="C4" s="185">
        <v>1.4232460455742245E-3</v>
      </c>
      <c r="D4" s="185">
        <v>195307.73572129806</v>
      </c>
      <c r="E4" s="185">
        <v>190398301.31811365</v>
      </c>
      <c r="F4" s="345">
        <v>99.804177800377374</v>
      </c>
    </row>
    <row r="5" spans="1:8" s="58" customFormat="1" ht="20" customHeight="1">
      <c r="A5" s="184">
        <v>3</v>
      </c>
      <c r="B5" s="185">
        <v>0.32673649710527669</v>
      </c>
      <c r="C5" s="185">
        <v>1.6560460810755076E-3</v>
      </c>
      <c r="D5" s="185">
        <v>211725.25012421934</v>
      </c>
      <c r="E5" s="185">
        <v>190194784.8251909</v>
      </c>
      <c r="F5" s="345">
        <v>99.697497246484005</v>
      </c>
    </row>
    <row r="6" spans="1:8" s="58" customFormat="1" ht="20" customHeight="1">
      <c r="A6" s="350">
        <v>4</v>
      </c>
      <c r="B6" s="185">
        <v>0.35371060416582079</v>
      </c>
      <c r="C6" s="185">
        <v>1.8719036317650165E-3</v>
      </c>
      <c r="D6" s="185">
        <v>229204.47149945187</v>
      </c>
      <c r="E6" s="185">
        <v>189974319.96437907</v>
      </c>
      <c r="F6" s="345">
        <v>99.581932590629023</v>
      </c>
    </row>
    <row r="7" spans="1:8" s="58" customFormat="1" ht="20" customHeight="1">
      <c r="A7" s="184">
        <v>5</v>
      </c>
      <c r="B7" s="185">
        <v>0.38119085715699119</v>
      </c>
      <c r="C7" s="185">
        <v>2.077804285835632E-3</v>
      </c>
      <c r="D7" s="185">
        <v>247011.6754377303</v>
      </c>
      <c r="E7" s="185">
        <v>189736211.89091048</v>
      </c>
      <c r="F7" s="345">
        <v>99.45711960471661</v>
      </c>
    </row>
    <row r="8" spans="1:8" s="58" customFormat="1" ht="20" customHeight="1">
      <c r="A8" s="184">
        <v>6</v>
      </c>
      <c r="B8" s="185">
        <v>0.40928351951867736</v>
      </c>
      <c r="C8" s="185">
        <v>2.2784078623885669E-3</v>
      </c>
      <c r="D8" s="185">
        <v>265215.72064810293</v>
      </c>
      <c r="E8" s="185">
        <v>189480098.19286755</v>
      </c>
      <c r="F8" s="345">
        <v>99.322868317390885</v>
      </c>
    </row>
    <row r="9" spans="1:8" s="58" customFormat="1" ht="20" customHeight="1">
      <c r="A9" s="184">
        <v>7</v>
      </c>
      <c r="B9" s="185">
        <v>0.43921500322548584</v>
      </c>
      <c r="C9" s="185">
        <v>2.4799933729435023E-3</v>
      </c>
      <c r="D9" s="185">
        <v>284611.32209011482</v>
      </c>
      <c r="E9" s="185">
        <v>189205184.67149845</v>
      </c>
      <c r="F9" s="345">
        <v>99.178762420560389</v>
      </c>
    </row>
    <row r="10" spans="1:8" ht="20" customHeight="1">
      <c r="A10" s="350">
        <v>8</v>
      </c>
      <c r="B10" s="59">
        <v>0.47347470241422696</v>
      </c>
      <c r="C10" s="59">
        <v>2.6931290838261021E-3</v>
      </c>
      <c r="D10" s="59">
        <v>306811.60716441914</v>
      </c>
      <c r="E10" s="59">
        <v>188909473.20687118</v>
      </c>
      <c r="F10" s="346">
        <v>99.023754527165579</v>
      </c>
    </row>
    <row r="11" spans="1:8" ht="20" customHeight="1">
      <c r="A11" s="350">
        <v>9</v>
      </c>
      <c r="B11" s="59">
        <v>0.51568342260464717</v>
      </c>
      <c r="C11" s="59">
        <v>2.933746341119699E-3</v>
      </c>
      <c r="D11" s="59">
        <v>334162.85784781142</v>
      </c>
      <c r="E11" s="59">
        <v>188588985.97436506</v>
      </c>
      <c r="F11" s="346">
        <v>98.855759516105323</v>
      </c>
    </row>
    <row r="12" spans="1:8" ht="20" customHeight="1">
      <c r="A12" s="350">
        <v>10</v>
      </c>
      <c r="B12" s="59">
        <v>0.57030845523310902</v>
      </c>
      <c r="C12" s="59">
        <v>3.2229092468001345E-3</v>
      </c>
      <c r="D12" s="59">
        <v>369559.87899105466</v>
      </c>
      <c r="E12" s="59">
        <v>188237124.60594562</v>
      </c>
      <c r="F12" s="346">
        <v>98.671318613367731</v>
      </c>
    </row>
    <row r="13" spans="1:8" ht="20" customHeight="1">
      <c r="A13" s="350">
        <v>11</v>
      </c>
      <c r="B13" s="59">
        <v>0.64243553257443842</v>
      </c>
      <c r="C13" s="59">
        <v>3.5861143733433775E-3</v>
      </c>
      <c r="D13" s="59">
        <v>416298.22510823613</v>
      </c>
      <c r="E13" s="59">
        <v>187844195.55389598</v>
      </c>
      <c r="F13" s="346">
        <v>98.465350594208914</v>
      </c>
    </row>
    <row r="14" spans="1:8" ht="20" customHeight="1">
      <c r="A14" s="350">
        <v>12</v>
      </c>
      <c r="B14" s="59">
        <v>0.73767254146710326</v>
      </c>
      <c r="C14" s="59">
        <v>4.0527461782253081E-3</v>
      </c>
      <c r="D14" s="59">
        <v>478011.80687068298</v>
      </c>
      <c r="E14" s="59">
        <v>187397040.53790653</v>
      </c>
      <c r="F14" s="346">
        <v>98.230958068586645</v>
      </c>
    </row>
    <row r="15" spans="1:8" ht="20" customHeight="1">
      <c r="A15" s="350">
        <v>13</v>
      </c>
      <c r="B15" s="59">
        <v>0.86211514540275225</v>
      </c>
      <c r="C15" s="59">
        <v>4.6557798370257973E-3</v>
      </c>
      <c r="D15" s="59">
        <v>558650.61422098347</v>
      </c>
      <c r="E15" s="59">
        <v>186878709.32736069</v>
      </c>
      <c r="F15" s="346">
        <v>97.959255958123109</v>
      </c>
    </row>
    <row r="16" spans="1:8" ht="20" customHeight="1">
      <c r="A16" s="350">
        <v>14</v>
      </c>
      <c r="B16" s="59">
        <v>1.022227495636526</v>
      </c>
      <c r="C16" s="59">
        <v>5.4313461873029441E-3</v>
      </c>
      <c r="D16" s="59">
        <v>662403.41717246885</v>
      </c>
      <c r="E16" s="59">
        <v>186268182.31166396</v>
      </c>
      <c r="F16" s="346">
        <v>97.639226071276994</v>
      </c>
    </row>
    <row r="17" spans="1:6" ht="20" customHeight="1">
      <c r="A17" s="350">
        <v>15</v>
      </c>
      <c r="B17" s="59">
        <v>1.2245066927840604</v>
      </c>
      <c r="C17" s="59">
        <v>6.417583251372678E-3</v>
      </c>
      <c r="D17" s="59">
        <v>793480.33692407119</v>
      </c>
      <c r="E17" s="59">
        <v>185540240.4346157</v>
      </c>
      <c r="F17" s="346">
        <v>97.257648924725245</v>
      </c>
    </row>
    <row r="18" spans="1:6" ht="20" customHeight="1">
      <c r="A18" s="350">
        <v>16</v>
      </c>
      <c r="B18" s="59">
        <v>1.474891092797793</v>
      </c>
      <c r="C18" s="59">
        <v>7.6523664645973604E-3</v>
      </c>
      <c r="D18" s="59">
        <v>955729.42813297</v>
      </c>
      <c r="E18" s="59">
        <v>184665635.55208719</v>
      </c>
      <c r="F18" s="346">
        <v>96.799193042521168</v>
      </c>
    </row>
    <row r="19" spans="1:6" ht="20" customHeight="1">
      <c r="A19" s="350">
        <v>17</v>
      </c>
      <c r="B19" s="59">
        <v>1.7779868934453134</v>
      </c>
      <c r="C19" s="59">
        <v>9.1699221574562048E-3</v>
      </c>
      <c r="D19" s="59">
        <v>1152135.5069525631</v>
      </c>
      <c r="E19" s="59">
        <v>183611703.08454442</v>
      </c>
      <c r="F19" s="346">
        <v>96.246736100142854</v>
      </c>
    </row>
    <row r="20" spans="1:6" ht="20" customHeight="1">
      <c r="A20" s="350">
        <v>18</v>
      </c>
      <c r="B20" s="59">
        <v>2.1362683055115723</v>
      </c>
      <c r="C20" s="59">
        <v>1.0996767357453301E-2</v>
      </c>
      <c r="D20" s="59">
        <v>1384301.8619714989</v>
      </c>
      <c r="E20" s="59">
        <v>182343484.40008238</v>
      </c>
      <c r="F20" s="346">
        <v>95.581953262283747</v>
      </c>
    </row>
    <row r="21" spans="1:6" ht="20" customHeight="1">
      <c r="A21" s="350">
        <v>19</v>
      </c>
      <c r="B21" s="59">
        <v>2.5494252844088185</v>
      </c>
      <c r="C21" s="59">
        <v>1.3147693250334219E-2</v>
      </c>
      <c r="D21" s="59">
        <v>1652027.5842969145</v>
      </c>
      <c r="E21" s="59">
        <v>180825319.67694816</v>
      </c>
      <c r="F21" s="346">
        <v>94.786152139537421</v>
      </c>
    </row>
    <row r="22" spans="1:6" ht="20" customHeight="1">
      <c r="A22" s="350">
        <v>20</v>
      </c>
      <c r="B22" s="59">
        <v>3.0139942871520606</v>
      </c>
      <c r="C22" s="59">
        <v>1.5622541172078569E-2</v>
      </c>
      <c r="D22" s="59">
        <v>1953068.2980745353</v>
      </c>
      <c r="E22" s="59">
        <v>179022771.73576245</v>
      </c>
      <c r="F22" s="346">
        <v>93.841281234858371</v>
      </c>
    </row>
    <row r="23" spans="1:6" ht="20" customHeight="1">
      <c r="A23" s="350">
        <v>21</v>
      </c>
      <c r="B23" s="59">
        <v>3.5233371676868535</v>
      </c>
      <c r="C23" s="59">
        <v>1.8404342193086079E-2</v>
      </c>
      <c r="D23" s="59">
        <v>2283122.4846610813</v>
      </c>
      <c r="E23" s="59">
        <v>176904676.34439462</v>
      </c>
      <c r="F23" s="346">
        <v>92.731004685252799</v>
      </c>
    </row>
    <row r="24" spans="1:6" ht="20" customHeight="1">
      <c r="A24" s="350">
        <v>22</v>
      </c>
      <c r="B24" s="59">
        <v>4.0679594581273282</v>
      </c>
      <c r="C24" s="59">
        <v>2.1459099325086252E-2</v>
      </c>
      <c r="D24" s="59">
        <v>2636037.7288665092</v>
      </c>
      <c r="E24" s="59">
        <v>174445096.23763084</v>
      </c>
      <c r="F24" s="346">
        <v>91.4417265320849</v>
      </c>
    </row>
    <row r="25" spans="1:6" ht="20" customHeight="1">
      <c r="A25" s="350">
        <v>23</v>
      </c>
      <c r="B25" s="59">
        <v>4.6361020208444872</v>
      </c>
      <c r="C25" s="59">
        <v>2.4737186811088142E-2</v>
      </c>
      <c r="D25" s="59">
        <v>3004194.1095072278</v>
      </c>
      <c r="E25" s="59">
        <v>171624980.31844398</v>
      </c>
      <c r="F25" s="346">
        <v>89.963460451622652</v>
      </c>
    </row>
    <row r="26" spans="1:6" ht="20" customHeight="1">
      <c r="A26" s="350">
        <v>24</v>
      </c>
      <c r="B26" s="59">
        <v>5.2145080779166122</v>
      </c>
      <c r="C26" s="59">
        <v>2.817609739142167E-2</v>
      </c>
      <c r="D26" s="59">
        <v>3379001.2344899648</v>
      </c>
      <c r="E26" s="59">
        <v>168433382.64644536</v>
      </c>
      <c r="F26" s="346">
        <v>88.290468732063033</v>
      </c>
    </row>
    <row r="27" spans="1:6" ht="20" customHeight="1">
      <c r="A27" s="350">
        <v>25</v>
      </c>
      <c r="B27" s="59">
        <v>5.7892602510329771</v>
      </c>
      <c r="C27" s="59">
        <v>3.1704120669350605E-2</v>
      </c>
      <c r="D27" s="59">
        <v>3751440.6426693695</v>
      </c>
      <c r="E27" s="59">
        <v>164868161.70786572</v>
      </c>
      <c r="F27" s="346">
        <v>86.421628821263994</v>
      </c>
    </row>
    <row r="28" spans="1:6" ht="20" customHeight="1">
      <c r="A28" s="350">
        <v>26</v>
      </c>
      <c r="B28" s="59">
        <v>6.3465934390051739</v>
      </c>
      <c r="C28" s="59">
        <v>3.5244485478295312E-2</v>
      </c>
      <c r="D28" s="59">
        <v>4112592.548475353</v>
      </c>
      <c r="E28" s="59">
        <v>160936145.11229336</v>
      </c>
      <c r="F28" s="346">
        <v>84.360519658515358</v>
      </c>
    </row>
    <row r="29" spans="1:6" ht="20" customHeight="1">
      <c r="A29" s="350">
        <v>27</v>
      </c>
      <c r="B29" s="59">
        <v>6.8736114005148581</v>
      </c>
      <c r="C29" s="59">
        <v>3.8719527568601718E-2</v>
      </c>
      <c r="D29" s="59">
        <v>4454100.1875336282</v>
      </c>
      <c r="E29" s="59">
        <v>156652798.74428886</v>
      </c>
      <c r="F29" s="346">
        <v>82.115248248353623</v>
      </c>
    </row>
    <row r="30" spans="1:6" ht="20" customHeight="1">
      <c r="A30" s="350">
        <v>28</v>
      </c>
      <c r="B30" s="59">
        <v>7.3588608155869926</v>
      </c>
      <c r="C30" s="59">
        <v>4.2054523650990203E-2</v>
      </c>
      <c r="D30" s="59">
        <v>4768541.8085003719</v>
      </c>
      <c r="E30" s="59">
        <v>152041477.74627185</v>
      </c>
      <c r="F30" s="346">
        <v>79.698057036065634</v>
      </c>
    </row>
    <row r="31" spans="1:6" ht="20" customHeight="1">
      <c r="A31" s="350">
        <v>29</v>
      </c>
      <c r="B31" s="59">
        <v>7.7927412659366775</v>
      </c>
      <c r="C31" s="59">
        <v>4.5180936967281711E-2</v>
      </c>
      <c r="D31" s="59">
        <v>5049696.3403269676</v>
      </c>
      <c r="E31" s="59">
        <v>147132358.67185819</v>
      </c>
      <c r="F31" s="346">
        <v>77.124764157116033</v>
      </c>
    </row>
    <row r="32" spans="1:6" ht="20" customHeight="1">
      <c r="A32" s="350">
        <v>30</v>
      </c>
      <c r="B32" s="59">
        <v>8.1677499763860446</v>
      </c>
      <c r="C32" s="59">
        <v>4.803892656421356E-2</v>
      </c>
      <c r="D32" s="59">
        <v>5292701.9846981578</v>
      </c>
      <c r="E32" s="59">
        <v>141961159.50934562</v>
      </c>
      <c r="F32" s="346">
        <v>74.414092491016106</v>
      </c>
    </row>
    <row r="33" spans="1:6" ht="20" customHeight="1">
      <c r="A33" s="350">
        <v>31</v>
      </c>
      <c r="B33" s="59">
        <v>8.4785750341328789</v>
      </c>
      <c r="C33" s="59">
        <v>5.0579067815828258E-2</v>
      </c>
      <c r="D33" s="59">
        <v>5494116.6221181061</v>
      </c>
      <c r="E33" s="59">
        <v>136567750.2059375</v>
      </c>
      <c r="F33" s="346">
        <v>71.586941317181854</v>
      </c>
    </row>
    <row r="34" spans="1:6" ht="20" customHeight="1">
      <c r="A34" s="350">
        <v>32</v>
      </c>
      <c r="B34" s="59">
        <v>8.722060137818417</v>
      </c>
      <c r="C34" s="59">
        <v>5.2763307632800037E-2</v>
      </c>
      <c r="D34" s="59">
        <v>5651894.9693063349</v>
      </c>
      <c r="E34" s="59">
        <v>130994744.41022527</v>
      </c>
      <c r="F34" s="346">
        <v>68.665648125660695</v>
      </c>
    </row>
    <row r="35" spans="1:6" ht="20" customHeight="1">
      <c r="A35" s="350">
        <v>33</v>
      </c>
      <c r="B35" s="59">
        <v>8.8970684560403956</v>
      </c>
      <c r="C35" s="59">
        <v>5.4565231650715078E-2</v>
      </c>
      <c r="D35" s="59">
        <v>5765300.3595141778</v>
      </c>
      <c r="E35" s="59">
        <v>125286146.74581501</v>
      </c>
      <c r="F35" s="346">
        <v>65.673279536522358</v>
      </c>
    </row>
    <row r="36" spans="1:6" ht="20" customHeight="1">
      <c r="A36" s="350">
        <v>34</v>
      </c>
      <c r="B36" s="59">
        <v>9.0042739638233851</v>
      </c>
      <c r="C36" s="59">
        <v>5.5969753550257621E-2</v>
      </c>
      <c r="D36" s="59">
        <v>5834769.5285575539</v>
      </c>
      <c r="E36" s="59">
        <v>119486111.80177915</v>
      </c>
      <c r="F36" s="346">
        <v>62.632980779676849</v>
      </c>
    </row>
    <row r="37" spans="1:6" ht="20" customHeight="1">
      <c r="A37" s="350">
        <v>35</v>
      </c>
      <c r="B37" s="59">
        <v>9.0459067993627134</v>
      </c>
      <c r="C37" s="59">
        <v>5.6972351660194868E-2</v>
      </c>
      <c r="D37" s="59">
        <v>5861747.6059870385</v>
      </c>
      <c r="E37" s="59">
        <v>113637853.23450686</v>
      </c>
      <c r="F37" s="346">
        <v>59.567403861028708</v>
      </c>
    </row>
    <row r="38" spans="1:6" ht="20" customHeight="1">
      <c r="A38" s="350">
        <v>36</v>
      </c>
      <c r="B38" s="59">
        <v>9.0254757536933941</v>
      </c>
      <c r="C38" s="59">
        <v>5.7577979149619346E-2</v>
      </c>
      <c r="D38" s="59">
        <v>5848508.2883933196</v>
      </c>
      <c r="E38" s="59">
        <v>107782725.28731668</v>
      </c>
      <c r="F38" s="346">
        <v>56.498226107656947</v>
      </c>
    </row>
    <row r="39" spans="1:6" ht="20" customHeight="1">
      <c r="A39" s="350">
        <v>37</v>
      </c>
      <c r="B39" s="59">
        <v>8.9474867926947041</v>
      </c>
      <c r="C39" s="59">
        <v>5.7799765519567003E-2</v>
      </c>
      <c r="D39" s="59">
        <v>5797971.4416661682</v>
      </c>
      <c r="E39" s="59">
        <v>101959485.42228694</v>
      </c>
      <c r="F39" s="346">
        <v>53.445763649535316</v>
      </c>
    </row>
    <row r="40" spans="1:6" ht="20" customHeight="1">
      <c r="A40" s="350">
        <v>38</v>
      </c>
      <c r="B40" s="59">
        <v>8.8171721220679906</v>
      </c>
      <c r="C40" s="59">
        <v>5.7657612423261013E-2</v>
      </c>
      <c r="D40" s="59">
        <v>5713527.5351000577</v>
      </c>
      <c r="E40" s="59">
        <v>96203735.933903828</v>
      </c>
      <c r="F40" s="346">
        <v>50.428678721066099</v>
      </c>
    </row>
    <row r="41" spans="1:6" ht="20" customHeight="1">
      <c r="A41" s="350">
        <v>39</v>
      </c>
      <c r="B41" s="59">
        <v>8.6402401528685644</v>
      </c>
      <c r="C41" s="59">
        <v>5.7176769083167892E-2</v>
      </c>
      <c r="D41" s="59">
        <v>5598875.6190588297</v>
      </c>
      <c r="E41" s="59">
        <v>90547534.356824383</v>
      </c>
      <c r="F41" s="346">
        <v>47.463775442173741</v>
      </c>
    </row>
    <row r="42" spans="1:6" ht="20" customHeight="1">
      <c r="A42" s="350">
        <v>40</v>
      </c>
      <c r="B42" s="59">
        <v>8.4226530546424048</v>
      </c>
      <c r="C42" s="59">
        <v>5.6386454007989521E-2</v>
      </c>
      <c r="D42" s="59">
        <v>5457879.1794082792</v>
      </c>
      <c r="E42" s="59">
        <v>85019156.957590833</v>
      </c>
      <c r="F42" s="346">
        <v>44.565875843905623</v>
      </c>
    </row>
    <row r="43" spans="1:6" ht="20" customHeight="1">
      <c r="A43" s="350">
        <v>41</v>
      </c>
      <c r="B43" s="59">
        <v>8.1704355153370614</v>
      </c>
      <c r="C43" s="59">
        <v>5.5318571934226832E-2</v>
      </c>
      <c r="D43" s="59">
        <v>5294442.213938416</v>
      </c>
      <c r="E43" s="59">
        <v>79642996.260917485</v>
      </c>
      <c r="F43" s="346">
        <v>41.747766153117425</v>
      </c>
    </row>
    <row r="44" spans="1:6" ht="20" customHeight="1">
      <c r="A44" s="350">
        <v>42</v>
      </c>
      <c r="B44" s="59">
        <v>7.8895158914808299</v>
      </c>
      <c r="C44" s="59">
        <v>5.4006558929158593E-2</v>
      </c>
      <c r="D44" s="59">
        <v>5112406.2976795789</v>
      </c>
      <c r="E44" s="59">
        <v>74439572.005108491</v>
      </c>
      <c r="F44" s="346">
        <v>39.020202535152784</v>
      </c>
    </row>
    <row r="45" spans="1:6" ht="20" customHeight="1">
      <c r="A45" s="350">
        <v>43</v>
      </c>
      <c r="B45" s="59">
        <v>7.5855990985896415</v>
      </c>
      <c r="C45" s="59">
        <v>5.2484374932980069E-2</v>
      </c>
      <c r="D45" s="59">
        <v>4915468.2158860881</v>
      </c>
      <c r="E45" s="59">
        <v>69425634.748325661</v>
      </c>
      <c r="F45" s="346">
        <v>36.391965402827672</v>
      </c>
    </row>
    <row r="46" spans="1:6" ht="20" customHeight="1">
      <c r="A46" s="350">
        <v>44</v>
      </c>
      <c r="B46" s="59">
        <v>7.2640692951862542</v>
      </c>
      <c r="C46" s="59">
        <v>5.0785651878695263E-2</v>
      </c>
      <c r="D46" s="59">
        <v>4707116.9032806931</v>
      </c>
      <c r="E46" s="59">
        <v>64614342.188742265</v>
      </c>
      <c r="F46" s="346">
        <v>33.869951841036453</v>
      </c>
    </row>
    <row r="47" spans="1:6" ht="20" customHeight="1">
      <c r="A47" s="350">
        <v>45</v>
      </c>
      <c r="B47" s="59">
        <v>6.9299195720836284</v>
      </c>
      <c r="C47" s="59">
        <v>4.8942996859863121E-2</v>
      </c>
      <c r="D47" s="59">
        <v>4490587.8827101914</v>
      </c>
      <c r="E47" s="59">
        <v>60015489.795746818</v>
      </c>
      <c r="F47" s="346">
        <v>31.459296500465182</v>
      </c>
    </row>
    <row r="48" spans="1:6" ht="20" customHeight="1">
      <c r="A48" s="350">
        <v>46</v>
      </c>
      <c r="B48" s="59">
        <v>6.5877053852611436</v>
      </c>
      <c r="C48" s="59">
        <v>4.6987443416196616E-2</v>
      </c>
      <c r="D48" s="59">
        <v>4268833.0896492209</v>
      </c>
      <c r="E48" s="59">
        <v>55635779.309567124</v>
      </c>
      <c r="F48" s="346">
        <v>29.163512341411501</v>
      </c>
    </row>
    <row r="49" spans="1:6" ht="20" customHeight="1">
      <c r="A49" s="350">
        <v>47</v>
      </c>
      <c r="B49" s="59">
        <v>6.2415182831339902</v>
      </c>
      <c r="C49" s="59">
        <v>4.4948039588033763E-2</v>
      </c>
      <c r="D49" s="59">
        <v>4044503.847470826</v>
      </c>
      <c r="E49" s="59">
        <v>51479110.841007113</v>
      </c>
      <c r="F49" s="346">
        <v>26.984643748459835</v>
      </c>
    </row>
    <row r="50" spans="1:6" ht="20" customHeight="1">
      <c r="A50" s="350">
        <v>48</v>
      </c>
      <c r="B50" s="59">
        <v>5.894976503200092</v>
      </c>
      <c r="C50" s="59">
        <v>4.2851558630417202E-2</v>
      </c>
      <c r="D50" s="59">
        <v>3819944.7740736604</v>
      </c>
      <c r="E50" s="59">
        <v>47546886.530234873</v>
      </c>
      <c r="F50" s="346">
        <v>24.923425704252722</v>
      </c>
    </row>
    <row r="51" spans="1:6" ht="20" customHeight="1">
      <c r="A51" s="350">
        <v>49</v>
      </c>
      <c r="B51" s="59">
        <v>5.5512291856350746</v>
      </c>
      <c r="C51" s="59">
        <v>4.0722316852669603E-2</v>
      </c>
      <c r="D51" s="59">
        <v>3597196.5122915288</v>
      </c>
      <c r="E51" s="59">
        <v>43838315.887052268</v>
      </c>
      <c r="F51" s="346">
        <v>22.979443844671689</v>
      </c>
    </row>
    <row r="52" spans="1:6" ht="20" customHeight="1">
      <c r="A52" s="350">
        <v>50</v>
      </c>
      <c r="B52" s="59">
        <v>5.2129712204452714</v>
      </c>
      <c r="C52" s="59">
        <v>3.8582082657902667E-2</v>
      </c>
      <c r="D52" s="59">
        <v>3378005.350848536</v>
      </c>
      <c r="E52" s="59">
        <v>40350714.955482244</v>
      </c>
      <c r="F52" s="346">
        <v>21.151291276810191</v>
      </c>
    </row>
    <row r="53" spans="1:6" ht="20" customHeight="1">
      <c r="A53" s="350">
        <v>51</v>
      </c>
      <c r="B53" s="59">
        <v>4.882466069190265</v>
      </c>
      <c r="C53" s="59">
        <v>3.6450061230431458E-2</v>
      </c>
      <c r="D53" s="59">
        <v>3163838.0128352917</v>
      </c>
      <c r="E53" s="59">
        <v>37079793.273640335</v>
      </c>
      <c r="F53" s="346">
        <v>19.436718999401947</v>
      </c>
    </row>
    <row r="54" spans="1:6" ht="20" customHeight="1">
      <c r="A54" s="350">
        <v>52</v>
      </c>
      <c r="B54" s="59">
        <v>4.5615742507539059</v>
      </c>
      <c r="C54" s="59">
        <v>3.4342940228649463E-2</v>
      </c>
      <c r="D54" s="59">
        <v>2955900.1144885309</v>
      </c>
      <c r="E54" s="59">
        <v>34019924.209978431</v>
      </c>
      <c r="F54" s="346">
        <v>17.832777609371629</v>
      </c>
    </row>
    <row r="55" spans="1:6" ht="20" customHeight="1">
      <c r="A55" s="350">
        <v>53</v>
      </c>
      <c r="B55" s="59">
        <v>4.2517855302773393</v>
      </c>
      <c r="C55" s="59">
        <v>3.2274983097916252E-2</v>
      </c>
      <c r="D55" s="59">
        <v>2755157.0236197161</v>
      </c>
      <c r="E55" s="59">
        <v>31164395.640924305</v>
      </c>
      <c r="F55" s="346">
        <v>16.335948703614882</v>
      </c>
    </row>
    <row r="56" spans="1:6" ht="20" customHeight="1">
      <c r="A56" s="350">
        <v>54</v>
      </c>
      <c r="B56" s="59">
        <v>3.9542531852431386</v>
      </c>
      <c r="C56" s="59">
        <v>3.0258158072189453E-2</v>
      </c>
      <c r="D56" s="59">
        <v>2562356.0640375544</v>
      </c>
      <c r="E56" s="59">
        <v>28505639.097095668</v>
      </c>
      <c r="F56" s="346">
        <v>14.94226499430048</v>
      </c>
    </row>
    <row r="57" spans="1:6" ht="20" customHeight="1">
      <c r="A57" s="350">
        <v>55</v>
      </c>
      <c r="B57" s="59">
        <v>3.6698290324678826</v>
      </c>
      <c r="C57" s="59">
        <v>2.8302292468818126E-2</v>
      </c>
      <c r="D57" s="59">
        <v>2378049.2130391877</v>
      </c>
      <c r="E57" s="59">
        <v>26035436.458557308</v>
      </c>
      <c r="F57" s="346">
        <v>13.647418655688796</v>
      </c>
    </row>
    <row r="58" spans="1:6" ht="20" customHeight="1">
      <c r="A58" s="350">
        <v>56</v>
      </c>
      <c r="B58" s="59">
        <v>3.39909817840481</v>
      </c>
      <c r="C58" s="59">
        <v>2.6415243412354777E-2</v>
      </c>
      <c r="D58" s="59">
        <v>2202615.619606317</v>
      </c>
      <c r="E58" s="59">
        <v>23745104.04223457</v>
      </c>
      <c r="F58" s="346">
        <v>12.446857820228779</v>
      </c>
    </row>
    <row r="59" spans="1:6" ht="20" customHeight="1">
      <c r="A59" s="350">
        <v>57</v>
      </c>
      <c r="B59" s="59">
        <v>3.1424126999200541</v>
      </c>
      <c r="C59" s="59">
        <v>2.4603077589789968E-2</v>
      </c>
      <c r="D59" s="59">
        <v>2036283.4295481953</v>
      </c>
      <c r="E59" s="59">
        <v>21625654.51765731</v>
      </c>
      <c r="F59" s="346">
        <v>11.335871452569886</v>
      </c>
    </row>
    <row r="60" spans="1:6" ht="20" customHeight="1">
      <c r="A60" s="350">
        <v>58</v>
      </c>
      <c r="B60" s="59">
        <v>2.899923673180492</v>
      </c>
      <c r="C60" s="59">
        <v>2.2870254000977152E-2</v>
      </c>
      <c r="D60" s="59">
        <v>1879150.5402209591</v>
      </c>
      <c r="E60" s="59">
        <v>19667937.53277272</v>
      </c>
      <c r="F60" s="346">
        <v>10.309663063684162</v>
      </c>
    </row>
    <row r="61" spans="1:6" ht="20" customHeight="1">
      <c r="A61" s="350">
        <v>59</v>
      </c>
      <c r="B61" s="59">
        <v>2.6716111457061791</v>
      </c>
      <c r="C61" s="59">
        <v>2.1219804900032668E-2</v>
      </c>
      <c r="D61" s="59">
        <v>1731204.0224176042</v>
      </c>
      <c r="E61" s="59">
        <v>17862760.251453429</v>
      </c>
      <c r="F61" s="346">
        <v>9.3634138949745225</v>
      </c>
    </row>
    <row r="62" spans="1:6" ht="20" customHeight="1">
      <c r="A62" s="350">
        <v>60</v>
      </c>
      <c r="B62" s="59">
        <v>2.4573117932789041</v>
      </c>
      <c r="C62" s="59">
        <v>1.9653511214328932E-2</v>
      </c>
      <c r="D62" s="59">
        <v>1592338.0420447299</v>
      </c>
      <c r="E62" s="59">
        <v>16200989.219222248</v>
      </c>
      <c r="F62" s="346">
        <v>8.4923363148903608</v>
      </c>
    </row>
    <row r="63" spans="1:6" ht="20" customHeight="1">
      <c r="A63" s="350">
        <v>61</v>
      </c>
      <c r="B63" s="59">
        <v>2.2567441221666744</v>
      </c>
      <c r="C63" s="59">
        <v>1.8172069674687447E-2</v>
      </c>
      <c r="D63" s="59">
        <v>1462370.1911640051</v>
      </c>
      <c r="E63" s="59">
        <v>14673635.10261789</v>
      </c>
      <c r="F63" s="346">
        <v>7.6917182381406528</v>
      </c>
    </row>
    <row r="64" spans="1:6" ht="20" customHeight="1">
      <c r="A64" s="350">
        <v>62</v>
      </c>
      <c r="B64" s="59">
        <v>2.0695311712199018</v>
      </c>
      <c r="C64" s="59">
        <v>1.6775249697364499E-2</v>
      </c>
      <c r="D64" s="59">
        <v>1341056.1989504965</v>
      </c>
      <c r="E64" s="59">
        <v>13271921.907560647</v>
      </c>
      <c r="F64" s="346">
        <v>6.9569594090117564</v>
      </c>
    </row>
    <row r="65" spans="1:6" ht="20" customHeight="1">
      <c r="A65" s="350">
        <v>63</v>
      </c>
      <c r="B65" s="59">
        <v>1.8952207410823383</v>
      </c>
      <c r="C65" s="59">
        <v>1.5462038733686371E-2</v>
      </c>
      <c r="D65" s="59">
        <v>1228103.0402213552</v>
      </c>
      <c r="E65" s="59">
        <v>11987342.287974715</v>
      </c>
      <c r="F65" s="346">
        <v>6.2836003933885509</v>
      </c>
    </row>
    <row r="66" spans="1:6" ht="20" customHeight="1">
      <c r="A66" s="350">
        <v>64</v>
      </c>
      <c r="B66" s="59">
        <v>1.733303232197408</v>
      </c>
      <c r="C66" s="59">
        <v>1.4230775357722292E-2</v>
      </c>
      <c r="D66" s="59">
        <v>1123180.4944639204</v>
      </c>
      <c r="E66" s="59">
        <v>10811700.520632088</v>
      </c>
      <c r="F66" s="346">
        <v>5.667345105578109</v>
      </c>
    </row>
    <row r="67" spans="1:6" ht="20" customHeight="1">
      <c r="A67" s="350">
        <v>65</v>
      </c>
      <c r="B67" s="59">
        <v>1.5832272124393891</v>
      </c>
      <c r="C67" s="59">
        <v>1.3079269808688281E-2</v>
      </c>
      <c r="D67" s="59">
        <v>1025931.2336607242</v>
      </c>
      <c r="E67" s="59">
        <v>9737144.6565697789</v>
      </c>
      <c r="F67" s="346">
        <v>5.1040776616415702</v>
      </c>
    </row>
    <row r="68" spans="1:6" ht="20" customHeight="1">
      <c r="A68" s="350">
        <v>66</v>
      </c>
      <c r="B68" s="59">
        <v>1.4444128617496483</v>
      </c>
      <c r="C68" s="59">
        <v>1.2004912055857936E-2</v>
      </c>
      <c r="D68" s="59">
        <v>935979.53441377205</v>
      </c>
      <c r="E68" s="59">
        <v>8756189.2725325227</v>
      </c>
      <c r="F68" s="346">
        <v>4.5898743053883191</v>
      </c>
    </row>
    <row r="69" spans="1:6" ht="20" customHeight="1">
      <c r="A69" s="350">
        <v>67</v>
      </c>
      <c r="B69" s="59">
        <v>1.316263457510086</v>
      </c>
      <c r="C69" s="59">
        <v>1.1004767722509842E-2</v>
      </c>
      <c r="D69" s="59">
        <v>852938.72046653577</v>
      </c>
      <c r="E69" s="59">
        <v>7861730.1450923681</v>
      </c>
      <c r="F69" s="346">
        <v>4.1210111003481869</v>
      </c>
    </row>
    <row r="70" spans="1:6" ht="20" customHeight="1">
      <c r="A70" s="350">
        <v>68</v>
      </c>
      <c r="B70" s="59">
        <v>1.1981750726331177</v>
      </c>
      <c r="C70" s="59">
        <v>1.0075662404135967E-2</v>
      </c>
      <c r="D70" s="59">
        <v>776417.44706626039</v>
      </c>
      <c r="E70" s="59">
        <v>7047052.0613259673</v>
      </c>
      <c r="F70" s="346">
        <v>3.6939680240213435</v>
      </c>
    </row>
    <row r="71" spans="1:6" ht="20" customHeight="1">
      <c r="A71" s="350">
        <v>69</v>
      </c>
      <c r="B71" s="59">
        <v>1.0895446602903407</v>
      </c>
      <c r="C71" s="59">
        <v>9.2142550561534198E-3</v>
      </c>
      <c r="D71" s="59">
        <v>706024.93986814085</v>
      </c>
      <c r="E71" s="59">
        <v>6305830.8678587675</v>
      </c>
      <c r="F71" s="346">
        <v>3.3054300419591551</v>
      </c>
    </row>
    <row r="72" spans="1:6" ht="20" customHeight="1">
      <c r="A72" s="350">
        <v>70</v>
      </c>
      <c r="B72" s="59">
        <v>0.98977669636288235</v>
      </c>
      <c r="C72" s="59">
        <v>8.4171012180114836E-3</v>
      </c>
      <c r="D72" s="59">
        <v>641375.29924314783</v>
      </c>
      <c r="E72" s="59">
        <v>5632130.7483031154</v>
      </c>
      <c r="F72" s="346">
        <v>2.9522856806345881</v>
      </c>
    </row>
    <row r="73" spans="1:6" ht="20" customHeight="1">
      <c r="A73" s="350">
        <v>71</v>
      </c>
      <c r="B73" s="59">
        <v>0.89828854434533667</v>
      </c>
      <c r="C73" s="59">
        <v>7.6807068930360139E-3</v>
      </c>
      <c r="D73" s="59">
        <v>582090.97673577827</v>
      </c>
      <c r="E73" s="59">
        <v>5020397.6103136539</v>
      </c>
      <c r="F73" s="346">
        <v>2.6316235610273546</v>
      </c>
    </row>
    <row r="74" spans="1:6" ht="20" customHeight="1">
      <c r="A74" s="350">
        <v>72</v>
      </c>
      <c r="B74" s="59">
        <v>0.81451469861457892</v>
      </c>
      <c r="C74" s="59">
        <v>7.0015739246203704E-3</v>
      </c>
      <c r="D74" s="59">
        <v>527805.52470224723</v>
      </c>
      <c r="E74" s="59">
        <v>4465449.3595946431</v>
      </c>
      <c r="F74" s="346">
        <v>2.3407273003919697</v>
      </c>
    </row>
    <row r="75" spans="1:6" ht="20" customHeight="1">
      <c r="A75" s="350">
        <v>73</v>
      </c>
      <c r="B75" s="59">
        <v>0.73791005152873912</v>
      </c>
      <c r="C75" s="59">
        <v>6.3762377063607623E-3</v>
      </c>
      <c r="D75" s="59">
        <v>478165.71339062304</v>
      </c>
      <c r="E75" s="59">
        <v>3962463.7405481935</v>
      </c>
      <c r="F75" s="346">
        <v>2.077069138492345</v>
      </c>
    </row>
    <row r="76" spans="1:6" ht="20" customHeight="1">
      <c r="A76" s="350">
        <v>74</v>
      </c>
      <c r="B76" s="59">
        <v>0.66795231842203595</v>
      </c>
      <c r="C76" s="59">
        <v>5.8012980423122586E-3</v>
      </c>
      <c r="D76" s="59">
        <v>432833.1023374793</v>
      </c>
      <c r="E76" s="59">
        <v>3506964.3326841295</v>
      </c>
      <c r="F76" s="346">
        <v>1.8383025971119324</v>
      </c>
    </row>
    <row r="77" spans="1:6" ht="20" customHeight="1">
      <c r="A77" s="350">
        <v>75</v>
      </c>
      <c r="B77" s="59">
        <v>0.6041437427329519</v>
      </c>
      <c r="C77" s="59">
        <v>5.2734439386197957E-3</v>
      </c>
      <c r="D77" s="59">
        <v>391485.14529095287</v>
      </c>
      <c r="E77" s="59">
        <v>3094805.2088699043</v>
      </c>
      <c r="F77" s="346">
        <v>1.6222544381187765</v>
      </c>
    </row>
    <row r="78" spans="1:6" ht="20" customHeight="1">
      <c r="A78" s="350">
        <v>76</v>
      </c>
      <c r="B78" s="59">
        <v>0.54601219164879666</v>
      </c>
      <c r="C78" s="59">
        <v>4.7894730634203009E-3</v>
      </c>
      <c r="D78" s="59">
        <v>353815.90018842026</v>
      </c>
      <c r="E78" s="59">
        <v>2722154.6861302257</v>
      </c>
      <c r="F78" s="346">
        <v>1.4269161458575723</v>
      </c>
    </row>
    <row r="79" spans="1:6" ht="20" customHeight="1">
      <c r="A79" s="350">
        <v>77</v>
      </c>
      <c r="B79" s="59">
        <v>0.49311174106774308</v>
      </c>
      <c r="C79" s="59">
        <v>4.3463065614165108E-3</v>
      </c>
      <c r="D79" s="59">
        <v>319536.40821189753</v>
      </c>
      <c r="E79" s="59">
        <v>2385478.5319300592</v>
      </c>
      <c r="F79" s="346">
        <v>1.2504351241135829</v>
      </c>
    </row>
    <row r="80" spans="1:6" ht="20" customHeight="1">
      <c r="A80" s="350">
        <v>78</v>
      </c>
      <c r="B80" s="59">
        <v>0.4450228375866126</v>
      </c>
      <c r="C80" s="59">
        <v>3.9409998555473818E-3</v>
      </c>
      <c r="D80" s="59">
        <v>288374.79875612498</v>
      </c>
      <c r="E80" s="59">
        <v>2081522.9284460545</v>
      </c>
      <c r="F80" s="346">
        <v>1.091105766217402</v>
      </c>
    </row>
    <row r="81" spans="1:6" ht="20" customHeight="1">
      <c r="A81" s="350">
        <v>79</v>
      </c>
      <c r="B81" s="59">
        <v>0.40135211476594335</v>
      </c>
      <c r="C81" s="59">
        <v>3.5707500128035856E-3</v>
      </c>
      <c r="D81" s="59">
        <v>260076.17036833131</v>
      </c>
      <c r="E81" s="59">
        <v>1807297.4438838363</v>
      </c>
      <c r="F81" s="346">
        <v>0.94736052884306776</v>
      </c>
    </row>
    <row r="82" spans="1:6" ht="20" customHeight="1">
      <c r="A82" s="350">
        <v>80</v>
      </c>
      <c r="B82" s="59">
        <v>0.36173193119756164</v>
      </c>
      <c r="C82" s="59">
        <v>3.2329001960738979E-3</v>
      </c>
      <c r="D82" s="59">
        <v>234402.29141601996</v>
      </c>
      <c r="E82" s="59">
        <v>1560058.2129916549</v>
      </c>
      <c r="F82" s="346">
        <v>0.81776111546403518</v>
      </c>
    </row>
    <row r="83" spans="1:6" ht="20" customHeight="1">
      <c r="A83" s="350">
        <v>81</v>
      </c>
      <c r="B83" s="59">
        <v>0.32581968895503055</v>
      </c>
      <c r="C83" s="59">
        <v>2.9249416701658303E-3</v>
      </c>
      <c r="D83" s="59">
        <v>211131.1584428598</v>
      </c>
      <c r="E83" s="59">
        <v>1337291.4880622029</v>
      </c>
      <c r="F83" s="346">
        <v>0.70098985401396452</v>
      </c>
    </row>
    <row r="84" spans="1:6" ht="20" customHeight="1">
      <c r="A84" s="350">
        <v>82</v>
      </c>
      <c r="B84" s="59">
        <v>0.29329698286270522</v>
      </c>
      <c r="C84" s="59">
        <v>2.6445137787018758E-3</v>
      </c>
      <c r="D84" s="59">
        <v>190056.444895033</v>
      </c>
      <c r="E84" s="59">
        <v>1136697.686393261</v>
      </c>
      <c r="F84" s="346">
        <v>0.5958413347844177</v>
      </c>
    </row>
    <row r="85" spans="1:6" ht="20" customHeight="1">
      <c r="A85" s="350">
        <v>83</v>
      </c>
      <c r="B85" s="59">
        <v>0.2638686236687699</v>
      </c>
      <c r="C85" s="59">
        <v>2.3894022600597165E-3</v>
      </c>
      <c r="D85" s="59">
        <v>170986.86813736291</v>
      </c>
      <c r="E85" s="59">
        <v>956176.02987706661</v>
      </c>
      <c r="F85" s="346">
        <v>0.50121435870830888</v>
      </c>
    </row>
    <row r="86" spans="1:6" ht="20" customHeight="1">
      <c r="A86" s="350">
        <v>84</v>
      </c>
      <c r="B86" s="59">
        <v>0.23726157162742417</v>
      </c>
      <c r="C86" s="59">
        <v>2.1575362252911389E-3</v>
      </c>
      <c r="D86" s="59">
        <v>153745.49841457087</v>
      </c>
      <c r="E86" s="59">
        <v>793809.84660109878</v>
      </c>
      <c r="F86" s="346">
        <v>0.41610423266065755</v>
      </c>
    </row>
    <row r="87" spans="1:6" ht="20" customHeight="1">
      <c r="A87" s="350">
        <v>85</v>
      </c>
      <c r="B87" s="59">
        <v>0.21322381114872932</v>
      </c>
      <c r="C87" s="59">
        <v>1.9469840792384705E-3</v>
      </c>
      <c r="D87" s="59">
        <v>138169.02962437659</v>
      </c>
      <c r="E87" s="59">
        <v>647852.58258163929</v>
      </c>
      <c r="F87" s="346">
        <v>0.33959543700120326</v>
      </c>
    </row>
    <row r="88" spans="1:6" ht="20" customHeight="1">
      <c r="A88" s="350">
        <v>86</v>
      </c>
      <c r="B88" s="59">
        <v>0.19152319201631629</v>
      </c>
      <c r="C88" s="59">
        <v>1.7559486279522343E-3</v>
      </c>
      <c r="D88" s="59">
        <v>124107.02842657297</v>
      </c>
      <c r="E88" s="59">
        <v>516714.55355617404</v>
      </c>
      <c r="F88" s="346">
        <v>0.27085468104571181</v>
      </c>
    </row>
    <row r="89" spans="1:6" ht="20" customHeight="1">
      <c r="A89" s="350">
        <v>87</v>
      </c>
      <c r="B89" s="59">
        <v>0.17194625815299147</v>
      </c>
      <c r="C89" s="59">
        <v>1.5827615809795859E-3</v>
      </c>
      <c r="D89" s="59">
        <v>111421.17528313848</v>
      </c>
      <c r="E89" s="59">
        <v>398950.45170131326</v>
      </c>
      <c r="F89" s="346">
        <v>0.2091243542588829</v>
      </c>
    </row>
    <row r="90" spans="1:6" ht="20" customHeight="1">
      <c r="A90" s="350">
        <v>88</v>
      </c>
      <c r="B90" s="59">
        <v>0.15429708097928577</v>
      </c>
      <c r="C90" s="59">
        <v>1.4258776260413952E-3</v>
      </c>
      <c r="D90" s="59">
        <v>99984.508474577189</v>
      </c>
      <c r="E90" s="59">
        <v>293247.60982245207</v>
      </c>
      <c r="F90" s="346">
        <v>0.15371637450355408</v>
      </c>
    </row>
    <row r="91" spans="1:6" ht="20" customHeight="1">
      <c r="A91" s="350">
        <v>89</v>
      </c>
      <c r="B91" s="59">
        <v>0.13839611100711727</v>
      </c>
      <c r="C91" s="59">
        <v>1.2838682258964572E-3</v>
      </c>
      <c r="D91" s="59">
        <v>89680.679932612009</v>
      </c>
      <c r="E91" s="59">
        <v>198415.01561886072</v>
      </c>
      <c r="F91" s="346">
        <v>0.10400642946915561</v>
      </c>
    </row>
    <row r="92" spans="1:6" ht="20" customHeight="1">
      <c r="A92" s="350">
        <v>90</v>
      </c>
      <c r="B92" s="59">
        <v>0.12407905838733994</v>
      </c>
      <c r="C92" s="59">
        <v>1.1554152626122554E-3</v>
      </c>
      <c r="D92" s="59">
        <v>80403.229834996295</v>
      </c>
      <c r="E92" s="59">
        <v>113373.06073504686</v>
      </c>
      <c r="F92" s="346">
        <v>5.9428603265049867E-2</v>
      </c>
    </row>
    <row r="93" spans="1:6" ht="20" customHeight="1">
      <c r="A93" s="350">
        <v>91</v>
      </c>
      <c r="B93" s="59">
        <v>0.11119581063565014</v>
      </c>
      <c r="C93" s="59">
        <v>1.0393046328092644E-3</v>
      </c>
      <c r="D93" s="59">
        <v>72054.885291901286</v>
      </c>
      <c r="E93" s="59">
        <v>37144.003171592951</v>
      </c>
      <c r="F93" s="346">
        <v>1.9470376947122288E-2</v>
      </c>
    </row>
    <row r="94" spans="1:6" ht="20" customHeight="1">
      <c r="A94" s="350">
        <v>92</v>
      </c>
      <c r="B94" s="59">
        <v>9.960939364837465E-2</v>
      </c>
      <c r="C94" s="59">
        <v>9.3441987849317862E-4</v>
      </c>
      <c r="D94" s="59">
        <v>64546.887084146772</v>
      </c>
      <c r="F94" s="346"/>
    </row>
    <row r="95" spans="1:6" ht="20" customHeight="1">
      <c r="A95" s="350">
        <v>93</v>
      </c>
      <c r="B95" s="59">
        <v>8.9194980343396207E-2</v>
      </c>
      <c r="C95" s="59">
        <v>8.3973592160455741E-4</v>
      </c>
      <c r="D95" s="59">
        <v>57798.347262520743</v>
      </c>
      <c r="F95" s="346"/>
    </row>
    <row r="96" spans="1:6" ht="20" customHeight="1">
      <c r="A96" s="350">
        <v>94</v>
      </c>
      <c r="B96" s="59">
        <v>7.9838949780665081E-2</v>
      </c>
      <c r="C96" s="59">
        <v>7.5431295616854585E-4</v>
      </c>
      <c r="D96" s="59">
        <v>51735.639457870973</v>
      </c>
      <c r="F96" s="346"/>
    </row>
    <row r="97" spans="1:6" ht="20" customHeight="1">
      <c r="A97" s="350">
        <v>95</v>
      </c>
      <c r="B97" s="59">
        <v>7.1437998393724791E-2</v>
      </c>
      <c r="C97" s="59">
        <v>6.7729053969583976E-4</v>
      </c>
      <c r="D97" s="59">
        <v>46291.822959133671</v>
      </c>
      <c r="F97" s="346"/>
    </row>
    <row r="98" spans="1:6" ht="20" customHeight="1">
      <c r="A98" s="350">
        <v>96</v>
      </c>
      <c r="B98" s="59">
        <v>6.3898303964194908E-2</v>
      </c>
      <c r="C98" s="59">
        <v>6.0788191505665144E-4</v>
      </c>
      <c r="D98" s="59">
        <v>41406.100968798302</v>
      </c>
      <c r="F98" s="346"/>
    </row>
    <row r="99" spans="1:6" ht="20" customHeight="1">
      <c r="A99" s="350">
        <v>97</v>
      </c>
      <c r="B99" s="59">
        <v>5.7134742164473951E-2</v>
      </c>
      <c r="C99" s="59">
        <v>5.4536858522205285E-4</v>
      </c>
      <c r="D99" s="59">
        <v>37023.312922579127</v>
      </c>
      <c r="F99" s="346"/>
    </row>
    <row r="100" spans="1:6" ht="20" customHeight="1">
      <c r="A100" s="350">
        <v>98</v>
      </c>
      <c r="B100" s="59">
        <v>5.1070154852466007E-2</v>
      </c>
      <c r="C100" s="59">
        <v>4.8909515585457354E-4</v>
      </c>
      <c r="D100" s="59">
        <v>33093.460344397972</v>
      </c>
      <c r="F100" s="346"/>
    </row>
    <row r="101" spans="1:6" ht="20" customHeight="1">
      <c r="A101" s="350">
        <v>99</v>
      </c>
      <c r="B101" s="59">
        <v>4.5634668801489343E-2</v>
      </c>
      <c r="C101" s="59">
        <v>4.3846445456058899E-4</v>
      </c>
      <c r="D101" s="59">
        <v>29571.265383365098</v>
      </c>
      <c r="F101" s="346"/>
    </row>
    <row r="102" spans="1:6" ht="20" customHeight="1">
      <c r="A102" s="350">
        <v>100</v>
      </c>
      <c r="B102" s="59">
        <v>4.0765063167079903E-2</v>
      </c>
      <c r="C102" s="59">
        <v>3.9293293053337033E-4</v>
      </c>
      <c r="D102" s="59">
        <v>26415.760932267778</v>
      </c>
      <c r="F102" s="346"/>
    </row>
    <row r="103" spans="1:6" ht="20" customHeight="1">
      <c r="F103" s="152"/>
    </row>
    <row r="104" spans="1:6" ht="20" customHeight="1">
      <c r="F104" s="152"/>
    </row>
    <row r="105" spans="1:6" ht="20" customHeight="1">
      <c r="F105" s="152"/>
    </row>
    <row r="106" spans="1:6" ht="20" customHeight="1">
      <c r="F106" s="152"/>
    </row>
    <row r="107" spans="1:6" ht="20" customHeight="1">
      <c r="F107" s="152"/>
    </row>
    <row r="108" spans="1:6" ht="20" customHeight="1">
      <c r="F108" s="152"/>
    </row>
    <row r="109" spans="1:6" ht="20" customHeight="1">
      <c r="F109" s="152"/>
    </row>
    <row r="110" spans="1:6" ht="20" customHeight="1">
      <c r="F110" s="152"/>
    </row>
    <row r="111" spans="1:6" ht="20" customHeight="1">
      <c r="F111" s="152"/>
    </row>
    <row r="112" spans="1:6" ht="20" customHeight="1">
      <c r="F112" s="152"/>
    </row>
    <row r="113" spans="6:6" ht="20" customHeight="1">
      <c r="F113" s="152"/>
    </row>
    <row r="114" spans="6:6" ht="20" customHeight="1">
      <c r="F114" s="152"/>
    </row>
    <row r="115" spans="6:6" ht="20" customHeight="1">
      <c r="F115" s="152"/>
    </row>
    <row r="116" spans="6:6" ht="20" customHeight="1">
      <c r="F116" s="152"/>
    </row>
    <row r="117" spans="6:6" ht="20" customHeight="1">
      <c r="F117" s="152"/>
    </row>
    <row r="118" spans="6:6" ht="20" customHeight="1">
      <c r="F118" s="152"/>
    </row>
    <row r="119" spans="6:6" ht="20" customHeight="1">
      <c r="F119" s="152"/>
    </row>
    <row r="120" spans="6:6" ht="20" customHeight="1">
      <c r="F120" s="152"/>
    </row>
    <row r="121" spans="6:6" ht="20" customHeight="1">
      <c r="F121" s="152"/>
    </row>
    <row r="122" spans="6:6" ht="20" customHeight="1">
      <c r="F122" s="152"/>
    </row>
    <row r="123" spans="6:6" ht="20" customHeight="1">
      <c r="F123" s="152"/>
    </row>
    <row r="124" spans="6:6" ht="20" customHeight="1">
      <c r="F124" s="152"/>
    </row>
    <row r="125" spans="6:6" ht="20" customHeight="1">
      <c r="F125" s="152"/>
    </row>
    <row r="126" spans="6:6" ht="20" customHeight="1">
      <c r="F126" s="152"/>
    </row>
    <row r="127" spans="6:6" ht="20" customHeight="1">
      <c r="F127" s="152"/>
    </row>
    <row r="128" spans="6:6" ht="20" customHeight="1">
      <c r="F128" s="152"/>
    </row>
    <row r="129" spans="6:6" ht="20" customHeight="1">
      <c r="F129" s="152"/>
    </row>
    <row r="130" spans="6:6" ht="20" customHeight="1">
      <c r="F130" s="152"/>
    </row>
    <row r="131" spans="6:6" ht="20" customHeight="1">
      <c r="F131" s="152"/>
    </row>
    <row r="132" spans="6:6" ht="20" customHeight="1">
      <c r="F132" s="152"/>
    </row>
    <row r="133" spans="6:6" ht="20" customHeight="1">
      <c r="F133" s="152"/>
    </row>
    <row r="134" spans="6:6" ht="20" customHeight="1">
      <c r="F134" s="152"/>
    </row>
    <row r="135" spans="6:6" ht="20" customHeight="1">
      <c r="F135" s="152"/>
    </row>
    <row r="136" spans="6:6" ht="20" customHeight="1">
      <c r="F136" s="152"/>
    </row>
    <row r="137" spans="6:6" ht="20" customHeight="1">
      <c r="F137" s="152"/>
    </row>
    <row r="138" spans="6:6" ht="20" customHeight="1">
      <c r="F138" s="152"/>
    </row>
    <row r="139" spans="6:6" ht="20" customHeight="1">
      <c r="F139" s="152"/>
    </row>
    <row r="140" spans="6:6" ht="20" customHeight="1">
      <c r="F140" s="152"/>
    </row>
    <row r="141" spans="6:6" ht="20" customHeight="1">
      <c r="F141" s="152"/>
    </row>
    <row r="142" spans="6:6" ht="20" customHeight="1">
      <c r="F142" s="152"/>
    </row>
    <row r="143" spans="6:6" ht="20" customHeight="1">
      <c r="F143" s="152"/>
    </row>
    <row r="144" spans="6:6" ht="20" customHeight="1">
      <c r="F144" s="152"/>
    </row>
    <row r="145" spans="6:6" ht="20" customHeight="1">
      <c r="F145" s="152"/>
    </row>
    <row r="146" spans="6:6" ht="20" customHeight="1">
      <c r="F146" s="152"/>
    </row>
    <row r="147" spans="6:6" ht="20" customHeight="1">
      <c r="F147" s="152"/>
    </row>
    <row r="148" spans="6:6" ht="20" customHeight="1">
      <c r="F148" s="152"/>
    </row>
    <row r="149" spans="6:6" ht="20" customHeight="1">
      <c r="F149" s="152"/>
    </row>
    <row r="150" spans="6:6" ht="20" customHeight="1">
      <c r="F150" s="152"/>
    </row>
    <row r="151" spans="6:6" ht="20" customHeight="1">
      <c r="F151" s="152"/>
    </row>
    <row r="152" spans="6:6" ht="20" customHeight="1">
      <c r="F152" s="152"/>
    </row>
    <row r="153" spans="6:6" ht="20" customHeight="1">
      <c r="F153" s="152"/>
    </row>
    <row r="154" spans="6:6" ht="20" customHeight="1">
      <c r="F154" s="152"/>
    </row>
    <row r="155" spans="6:6" ht="20" customHeight="1">
      <c r="F155" s="152"/>
    </row>
    <row r="156" spans="6:6" ht="20" customHeight="1">
      <c r="F156" s="152"/>
    </row>
    <row r="157" spans="6:6" ht="20" customHeight="1">
      <c r="F157" s="152"/>
    </row>
    <row r="158" spans="6:6" ht="20" customHeight="1">
      <c r="F158" s="152"/>
    </row>
    <row r="159" spans="6:6" ht="20" customHeight="1">
      <c r="F159" s="152"/>
    </row>
    <row r="160" spans="6:6" ht="20" customHeight="1">
      <c r="F160" s="152"/>
    </row>
    <row r="161" spans="6:6" ht="20" customHeight="1">
      <c r="F161" s="152"/>
    </row>
    <row r="162" spans="6:6" ht="20" customHeight="1">
      <c r="F162" s="152"/>
    </row>
    <row r="163" spans="6:6" ht="20" customHeight="1">
      <c r="F163" s="152"/>
    </row>
    <row r="164" spans="6:6" ht="20" customHeight="1">
      <c r="F164" s="152"/>
    </row>
    <row r="165" spans="6:6" ht="20" customHeight="1">
      <c r="F165" s="152"/>
    </row>
    <row r="166" spans="6:6" ht="20" customHeight="1">
      <c r="F166" s="152"/>
    </row>
    <row r="167" spans="6:6" ht="20" customHeight="1">
      <c r="F167" s="152"/>
    </row>
    <row r="168" spans="6:6" ht="20" customHeight="1">
      <c r="F168" s="152"/>
    </row>
    <row r="169" spans="6:6" ht="20" customHeight="1">
      <c r="F169" s="152"/>
    </row>
    <row r="170" spans="6:6" ht="20" customHeight="1">
      <c r="F170" s="152"/>
    </row>
    <row r="171" spans="6:6" ht="20" customHeight="1">
      <c r="F171" s="152"/>
    </row>
    <row r="172" spans="6:6" ht="20" customHeight="1">
      <c r="F172" s="152"/>
    </row>
    <row r="173" spans="6:6" ht="20" customHeight="1">
      <c r="F173" s="152"/>
    </row>
    <row r="174" spans="6:6" ht="20" customHeight="1">
      <c r="F174" s="152"/>
    </row>
    <row r="175" spans="6:6" ht="20" customHeight="1">
      <c r="F175" s="152"/>
    </row>
    <row r="176" spans="6:6" ht="20" customHeight="1">
      <c r="F176" s="152"/>
    </row>
    <row r="177" spans="6:6" ht="20" customHeight="1">
      <c r="F177" s="152"/>
    </row>
    <row r="178" spans="6:6" ht="20" customHeight="1">
      <c r="F178" s="152"/>
    </row>
    <row r="179" spans="6:6" ht="20" customHeight="1">
      <c r="F179" s="152"/>
    </row>
    <row r="180" spans="6:6" ht="20" customHeight="1">
      <c r="F180" s="152"/>
    </row>
    <row r="181" spans="6:6" ht="20" customHeight="1">
      <c r="F181" s="152"/>
    </row>
    <row r="182" spans="6:6" ht="20" customHeight="1">
      <c r="F182" s="152"/>
    </row>
    <row r="183" spans="6:6" ht="20" customHeight="1">
      <c r="F183" s="152"/>
    </row>
    <row r="184" spans="6:6" ht="20" customHeight="1">
      <c r="F184" s="152"/>
    </row>
    <row r="185" spans="6:6" ht="20" customHeight="1">
      <c r="F185" s="152"/>
    </row>
    <row r="186" spans="6:6" ht="20" customHeight="1">
      <c r="F186" s="152"/>
    </row>
    <row r="187" spans="6:6" ht="20" customHeight="1">
      <c r="F187" s="152"/>
    </row>
    <row r="188" spans="6:6" ht="20" customHeight="1">
      <c r="F188" s="152"/>
    </row>
    <row r="189" spans="6:6" ht="20" customHeight="1">
      <c r="F189" s="152"/>
    </row>
    <row r="190" spans="6:6" ht="20" customHeight="1">
      <c r="F190" s="152"/>
    </row>
    <row r="191" spans="6:6" ht="20" customHeight="1">
      <c r="F191" s="152"/>
    </row>
    <row r="192" spans="6:6" ht="20" customHeight="1">
      <c r="F192" s="152"/>
    </row>
    <row r="193" spans="6:6" ht="20" customHeight="1">
      <c r="F193" s="152"/>
    </row>
    <row r="194" spans="6:6" ht="20" customHeight="1">
      <c r="F194" s="152"/>
    </row>
    <row r="195" spans="6:6" ht="20" customHeight="1">
      <c r="F195" s="152"/>
    </row>
    <row r="196" spans="6:6" ht="20" customHeight="1">
      <c r="F196" s="152"/>
    </row>
    <row r="197" spans="6:6" ht="20" customHeight="1">
      <c r="F197" s="152"/>
    </row>
    <row r="198" spans="6:6" ht="20" customHeight="1">
      <c r="F198" s="152"/>
    </row>
    <row r="199" spans="6:6" ht="20" customHeight="1">
      <c r="F199" s="152"/>
    </row>
    <row r="200" spans="6:6" ht="20" customHeight="1">
      <c r="F200" s="152"/>
    </row>
    <row r="201" spans="6:6" ht="20" customHeight="1">
      <c r="F201" s="152"/>
    </row>
    <row r="202" spans="6:6" ht="20" customHeight="1">
      <c r="F202" s="152"/>
    </row>
    <row r="203" spans="6:6" ht="20" customHeight="1">
      <c r="F203" s="152"/>
    </row>
    <row r="204" spans="6:6" ht="20" customHeight="1">
      <c r="F204" s="152"/>
    </row>
    <row r="205" spans="6:6" ht="20" customHeight="1">
      <c r="F205" s="152"/>
    </row>
    <row r="206" spans="6:6" ht="20" customHeight="1">
      <c r="F206" s="152"/>
    </row>
    <row r="207" spans="6:6" ht="20" customHeight="1">
      <c r="F207" s="152"/>
    </row>
    <row r="208" spans="6:6" ht="20" customHeight="1">
      <c r="F208" s="152"/>
    </row>
    <row r="209" spans="6:6" ht="20" customHeight="1">
      <c r="F209" s="152"/>
    </row>
    <row r="210" spans="6:6" ht="20" customHeight="1">
      <c r="F210" s="152"/>
    </row>
    <row r="211" spans="6:6" ht="20" customHeight="1">
      <c r="F211" s="152"/>
    </row>
    <row r="212" spans="6:6" ht="20" customHeight="1">
      <c r="F212" s="152"/>
    </row>
    <row r="213" spans="6:6" ht="20" customHeight="1">
      <c r="F213" s="152"/>
    </row>
    <row r="214" spans="6:6" ht="20" customHeight="1">
      <c r="F214" s="152"/>
    </row>
    <row r="215" spans="6:6" ht="20" customHeight="1">
      <c r="F215" s="152"/>
    </row>
    <row r="216" spans="6:6" ht="20" customHeight="1">
      <c r="F216" s="152"/>
    </row>
    <row r="217" spans="6:6" ht="20" customHeight="1">
      <c r="F217" s="152"/>
    </row>
    <row r="218" spans="6:6" ht="20" customHeight="1">
      <c r="F218" s="152"/>
    </row>
    <row r="219" spans="6:6" ht="20" customHeight="1">
      <c r="F219" s="152"/>
    </row>
    <row r="220" spans="6:6" ht="20" customHeight="1">
      <c r="F220" s="152"/>
    </row>
    <row r="221" spans="6:6" ht="20" customHeight="1">
      <c r="F221" s="152"/>
    </row>
    <row r="222" spans="6:6" ht="20" customHeight="1">
      <c r="F222" s="152"/>
    </row>
    <row r="223" spans="6:6" ht="20" customHeight="1">
      <c r="F223" s="152"/>
    </row>
    <row r="224" spans="6:6" ht="20" customHeight="1">
      <c r="F224" s="152"/>
    </row>
    <row r="225" spans="6:6" ht="20" customHeight="1">
      <c r="F225" s="152"/>
    </row>
    <row r="226" spans="6:6" ht="20" customHeight="1">
      <c r="F226" s="152"/>
    </row>
    <row r="227" spans="6:6" ht="20" customHeight="1">
      <c r="F227" s="152"/>
    </row>
    <row r="228" spans="6:6" ht="20" customHeight="1">
      <c r="F228" s="152"/>
    </row>
    <row r="229" spans="6:6" ht="20" customHeight="1">
      <c r="F229" s="152"/>
    </row>
    <row r="230" spans="6:6" ht="20" customHeight="1">
      <c r="F230" s="152"/>
    </row>
  </sheetData>
  <sheetProtection selectLockedCells="1"/>
  <mergeCells count="1">
    <mergeCell ref="A1:F1"/>
  </mergeCells>
  <phoneticPr fontId="1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37815-FCA4-496F-85E5-15FA74B85167}">
  <sheetPr codeName="Sheet8">
    <tabColor theme="9" tint="0.39997558519241921"/>
  </sheetPr>
  <dimension ref="A1:W1048576"/>
  <sheetViews>
    <sheetView showGridLines="0" showRowColHeaders="0" zoomScale="87" zoomScaleNormal="100" workbookViewId="0">
      <selection activeCell="F32" sqref="F32"/>
    </sheetView>
  </sheetViews>
  <sheetFormatPr baseColWidth="10" defaultColWidth="0" defaultRowHeight="14" zeroHeight="1"/>
  <cols>
    <col min="1" max="1" width="0.83203125" style="36" customWidth="1"/>
    <col min="2" max="2" width="42.6640625" style="36" customWidth="1"/>
    <col min="3" max="3" width="4.33203125" style="235" customWidth="1"/>
    <col min="4" max="4" width="8.1640625" style="37" customWidth="1"/>
    <col min="5" max="5" width="8.6640625" style="36" customWidth="1"/>
    <col min="6" max="6" width="12.1640625" style="36" customWidth="1"/>
    <col min="7" max="7" width="14.33203125" style="207" customWidth="1"/>
    <col min="8" max="8" width="12" style="36" customWidth="1"/>
    <col min="9" max="9" width="8.1640625" style="36" customWidth="1"/>
    <col min="10" max="10" width="2.33203125" style="36" customWidth="1"/>
    <col min="11" max="11" width="18.33203125" style="36" customWidth="1"/>
    <col min="12" max="12" width="2.83203125" style="36" customWidth="1"/>
    <col min="13" max="13" width="5.1640625" style="36" customWidth="1"/>
    <col min="14" max="14" width="35.6640625" style="36" customWidth="1"/>
    <col min="15" max="16" width="10" style="36" customWidth="1"/>
    <col min="17" max="17" width="13.83203125" style="224" customWidth="1"/>
    <col min="18" max="18" width="3.33203125" style="36" customWidth="1"/>
    <col min="19" max="19" width="12" style="36" customWidth="1"/>
    <col min="20" max="20" width="13.33203125" style="36" customWidth="1"/>
    <col min="21" max="22" width="9" style="36" customWidth="1"/>
    <col min="23" max="23" width="0" style="36" hidden="1" customWidth="1"/>
    <col min="24" max="16384" width="9" style="36" hidden="1"/>
  </cols>
  <sheetData>
    <row r="1" spans="1:20" ht="45" customHeight="1">
      <c r="A1" s="275" t="s">
        <v>177</v>
      </c>
      <c r="B1" s="276"/>
      <c r="C1" s="276"/>
      <c r="D1" s="276"/>
      <c r="E1" s="276"/>
      <c r="F1" s="276"/>
      <c r="G1" s="276"/>
      <c r="H1" s="276"/>
      <c r="I1" s="276"/>
      <c r="J1" s="276"/>
      <c r="K1" s="276"/>
      <c r="L1" s="276"/>
      <c r="M1" s="39"/>
      <c r="N1" s="39"/>
      <c r="O1" s="39"/>
      <c r="P1" s="39"/>
      <c r="Q1" s="39"/>
      <c r="R1" s="42"/>
    </row>
    <row r="2" spans="1:20" ht="24" customHeight="1">
      <c r="A2" s="188"/>
      <c r="B2" s="408" t="s">
        <v>178</v>
      </c>
      <c r="C2" s="408"/>
      <c r="D2" s="408"/>
      <c r="E2" s="408"/>
      <c r="F2" s="408"/>
      <c r="G2" s="408"/>
      <c r="H2" s="408"/>
      <c r="I2" s="408"/>
      <c r="J2" s="408"/>
      <c r="K2" s="408"/>
      <c r="L2" s="408"/>
      <c r="M2" s="277"/>
      <c r="N2" s="277"/>
      <c r="O2" s="277"/>
      <c r="P2" s="277"/>
      <c r="Q2" s="277"/>
      <c r="R2" s="42"/>
    </row>
    <row r="3" spans="1:20" ht="51.5" customHeight="1">
      <c r="A3" s="278"/>
      <c r="B3" s="409" t="s">
        <v>179</v>
      </c>
      <c r="C3" s="409"/>
      <c r="D3" s="409"/>
      <c r="E3" s="409"/>
      <c r="F3" s="409"/>
      <c r="G3" s="409"/>
      <c r="H3" s="409"/>
      <c r="I3" s="409"/>
      <c r="J3" s="409"/>
      <c r="K3" s="409"/>
      <c r="L3" s="409"/>
      <c r="M3" s="42"/>
      <c r="N3" s="42"/>
      <c r="O3" s="42"/>
      <c r="P3" s="42"/>
      <c r="Q3" s="42"/>
      <c r="R3" s="42"/>
    </row>
    <row r="4" spans="1:20" ht="51" customHeight="1" thickBot="1">
      <c r="A4" s="279"/>
      <c r="B4" s="410"/>
      <c r="C4" s="410"/>
      <c r="D4" s="410"/>
      <c r="E4" s="410"/>
      <c r="F4" s="410"/>
      <c r="G4" s="410"/>
      <c r="H4" s="410"/>
      <c r="I4" s="410"/>
      <c r="J4" s="410"/>
      <c r="K4" s="410"/>
      <c r="L4" s="410"/>
      <c r="M4" s="42"/>
      <c r="N4" s="42"/>
      <c r="O4" s="42"/>
      <c r="P4" s="42"/>
      <c r="Q4" s="42"/>
      <c r="R4" s="42"/>
    </row>
    <row r="5" spans="1:20" ht="16" customHeight="1">
      <c r="B5" s="367" t="s">
        <v>180</v>
      </c>
      <c r="C5" s="368"/>
      <c r="D5" s="368"/>
      <c r="E5" s="420" t="s">
        <v>181</v>
      </c>
      <c r="F5" s="420"/>
      <c r="G5" s="280" t="s">
        <v>182</v>
      </c>
      <c r="H5" s="420" t="s">
        <v>183</v>
      </c>
      <c r="I5" s="420"/>
      <c r="J5" s="194"/>
      <c r="K5" s="194"/>
      <c r="L5" s="281"/>
      <c r="M5" s="42"/>
      <c r="N5" s="367" t="s">
        <v>184</v>
      </c>
      <c r="O5" s="368"/>
      <c r="P5" s="368"/>
      <c r="Q5" s="368"/>
      <c r="R5" s="368"/>
      <c r="S5" s="368"/>
      <c r="T5" s="418"/>
    </row>
    <row r="6" spans="1:20" ht="23" customHeight="1" thickBot="1">
      <c r="B6" s="369"/>
      <c r="C6" s="370"/>
      <c r="D6" s="370"/>
      <c r="E6" s="282" t="s">
        <v>185</v>
      </c>
      <c r="F6" s="283" t="s">
        <v>186</v>
      </c>
      <c r="G6" s="284" t="s">
        <v>187</v>
      </c>
      <c r="H6" s="283" t="s">
        <v>186</v>
      </c>
      <c r="I6" s="282" t="s">
        <v>185</v>
      </c>
      <c r="J6" s="199"/>
      <c r="K6" s="285"/>
      <c r="L6" s="286"/>
      <c r="M6" s="42"/>
      <c r="N6" s="369"/>
      <c r="O6" s="370"/>
      <c r="P6" s="370"/>
      <c r="Q6" s="370"/>
      <c r="R6" s="370"/>
      <c r="S6" s="370"/>
      <c r="T6" s="419"/>
    </row>
    <row r="7" spans="1:20" ht="17" customHeight="1">
      <c r="B7" s="259" t="s">
        <v>29</v>
      </c>
      <c r="C7" s="260" t="s">
        <v>30</v>
      </c>
      <c r="D7" s="261" t="s">
        <v>31</v>
      </c>
      <c r="E7" s="287"/>
      <c r="F7" s="210"/>
      <c r="G7" s="186">
        <v>300</v>
      </c>
      <c r="H7" s="210"/>
      <c r="I7" s="288"/>
      <c r="J7" s="210"/>
      <c r="K7" s="210"/>
      <c r="L7" s="265"/>
      <c r="N7" s="209" t="s">
        <v>32</v>
      </c>
      <c r="O7" s="210"/>
      <c r="P7" s="210"/>
      <c r="Q7" s="289"/>
      <c r="R7" s="210"/>
      <c r="S7" s="421" t="s">
        <v>33</v>
      </c>
      <c r="T7" s="421" t="s">
        <v>34</v>
      </c>
    </row>
    <row r="8" spans="1:20" ht="17" customHeight="1">
      <c r="B8" s="203" t="s">
        <v>35</v>
      </c>
      <c r="C8" s="204" t="s">
        <v>36</v>
      </c>
      <c r="D8" s="205" t="s">
        <v>188</v>
      </c>
      <c r="E8" s="290"/>
      <c r="G8" s="105">
        <v>2500</v>
      </c>
      <c r="I8" s="291"/>
      <c r="L8" s="270"/>
      <c r="N8" s="83" t="s">
        <v>39</v>
      </c>
      <c r="S8" s="422"/>
      <c r="T8" s="422"/>
    </row>
    <row r="9" spans="1:20" ht="17" customHeight="1">
      <c r="B9" s="203" t="s">
        <v>40</v>
      </c>
      <c r="C9" s="204" t="s">
        <v>41</v>
      </c>
      <c r="D9" s="205" t="s">
        <v>42</v>
      </c>
      <c r="E9" s="290"/>
      <c r="G9" s="100">
        <v>293.14999999999998</v>
      </c>
      <c r="I9" s="291"/>
      <c r="K9" s="212" t="s">
        <v>38</v>
      </c>
      <c r="L9" s="270"/>
      <c r="N9" s="216"/>
      <c r="S9" s="422"/>
      <c r="T9" s="422"/>
    </row>
    <row r="10" spans="1:20" ht="17" customHeight="1" thickBot="1">
      <c r="B10" s="203" t="s">
        <v>44</v>
      </c>
      <c r="C10" s="204" t="s">
        <v>45</v>
      </c>
      <c r="D10" s="205" t="s">
        <v>46</v>
      </c>
      <c r="E10" s="114">
        <v>30</v>
      </c>
      <c r="F10" s="93">
        <v>18.143999999999998</v>
      </c>
      <c r="G10" s="94">
        <v>25.92</v>
      </c>
      <c r="H10" s="93">
        <v>33.696000000000005</v>
      </c>
      <c r="I10" s="115">
        <v>30</v>
      </c>
      <c r="K10" s="40" t="s">
        <v>43</v>
      </c>
      <c r="L10" s="270"/>
      <c r="N10" s="216"/>
      <c r="S10" s="292" t="s">
        <v>189</v>
      </c>
      <c r="T10" s="293" t="s">
        <v>48</v>
      </c>
    </row>
    <row r="11" spans="1:20" ht="17" customHeight="1">
      <c r="B11" s="203" t="s">
        <v>49</v>
      </c>
      <c r="C11" s="204" t="s">
        <v>50</v>
      </c>
      <c r="D11" s="205" t="s">
        <v>51</v>
      </c>
      <c r="E11" s="114">
        <v>0</v>
      </c>
      <c r="F11" s="95">
        <v>1.53</v>
      </c>
      <c r="G11" s="94">
        <v>1.53</v>
      </c>
      <c r="H11" s="93">
        <v>1.53</v>
      </c>
      <c r="I11" s="115">
        <v>0</v>
      </c>
      <c r="L11" s="270"/>
      <c r="N11" s="216"/>
      <c r="Q11" s="294"/>
      <c r="R11" s="295"/>
      <c r="S11" s="43">
        <v>0</v>
      </c>
      <c r="T11" s="44">
        <v>100</v>
      </c>
    </row>
    <row r="12" spans="1:20" ht="17" customHeight="1">
      <c r="B12" s="203" t="s">
        <v>52</v>
      </c>
      <c r="C12" s="204" t="s">
        <v>53</v>
      </c>
      <c r="D12" s="205" t="s">
        <v>54</v>
      </c>
      <c r="E12" s="114">
        <v>0</v>
      </c>
      <c r="F12" s="95">
        <v>44.87</v>
      </c>
      <c r="G12" s="94">
        <v>44.87</v>
      </c>
      <c r="H12" s="93">
        <v>44.87</v>
      </c>
      <c r="I12" s="115">
        <v>0</v>
      </c>
      <c r="L12" s="270"/>
      <c r="N12" s="216"/>
      <c r="Q12" s="294"/>
      <c r="R12" s="295"/>
      <c r="S12" s="45">
        <v>10</v>
      </c>
      <c r="T12" s="46">
        <v>100</v>
      </c>
    </row>
    <row r="13" spans="1:20" ht="17" customHeight="1">
      <c r="B13" s="203" t="s">
        <v>55</v>
      </c>
      <c r="C13" s="204" t="s">
        <v>56</v>
      </c>
      <c r="D13" s="205" t="s">
        <v>57</v>
      </c>
      <c r="E13" s="114">
        <v>0</v>
      </c>
      <c r="F13" s="96">
        <v>6.4000000000000001E-2</v>
      </c>
      <c r="G13" s="97">
        <v>6.4000000000000001E-2</v>
      </c>
      <c r="H13" s="98">
        <v>6.4000000000000001E-2</v>
      </c>
      <c r="I13" s="115">
        <v>0</v>
      </c>
      <c r="L13" s="270"/>
      <c r="N13" s="216"/>
      <c r="Q13" s="294"/>
      <c r="R13" s="295"/>
      <c r="S13" s="45">
        <v>50</v>
      </c>
      <c r="T13" s="46">
        <v>30</v>
      </c>
    </row>
    <row r="14" spans="1:20" ht="17" customHeight="1">
      <c r="B14" s="203" t="s">
        <v>58</v>
      </c>
      <c r="C14" s="204" t="s">
        <v>59</v>
      </c>
      <c r="D14" s="205" t="s">
        <v>57</v>
      </c>
      <c r="E14" s="114">
        <v>0</v>
      </c>
      <c r="F14" s="171">
        <v>0.37</v>
      </c>
      <c r="G14" s="172">
        <v>0.37</v>
      </c>
      <c r="H14" s="173">
        <v>0.37</v>
      </c>
      <c r="I14" s="115">
        <v>0</v>
      </c>
      <c r="L14" s="270"/>
      <c r="N14" s="216"/>
      <c r="Q14" s="294"/>
      <c r="R14" s="295"/>
      <c r="S14" s="45">
        <v>100</v>
      </c>
      <c r="T14" s="46">
        <v>10</v>
      </c>
    </row>
    <row r="15" spans="1:20" ht="17" customHeight="1">
      <c r="B15" s="222" t="s">
        <v>60</v>
      </c>
      <c r="C15" s="204" t="s">
        <v>190</v>
      </c>
      <c r="D15" s="205" t="s">
        <v>62</v>
      </c>
      <c r="E15" s="114">
        <v>0</v>
      </c>
      <c r="F15" s="96">
        <v>4.5999999999999999E-2</v>
      </c>
      <c r="G15" s="97">
        <v>4.5999999999999999E-2</v>
      </c>
      <c r="H15" s="98">
        <v>4.5999999999999999E-2</v>
      </c>
      <c r="I15" s="115">
        <v>0</v>
      </c>
      <c r="L15" s="270"/>
      <c r="N15" s="216"/>
      <c r="Q15" s="294"/>
      <c r="R15" s="295"/>
      <c r="S15" s="45">
        <v>150</v>
      </c>
      <c r="T15" s="47">
        <v>2</v>
      </c>
    </row>
    <row r="16" spans="1:20" ht="17" customHeight="1">
      <c r="B16" s="203" t="s">
        <v>63</v>
      </c>
      <c r="C16" s="204" t="s">
        <v>191</v>
      </c>
      <c r="D16" s="205" t="s">
        <v>65</v>
      </c>
      <c r="E16" s="114">
        <v>0</v>
      </c>
      <c r="F16" s="99">
        <v>0.41</v>
      </c>
      <c r="G16" s="100">
        <v>0.41</v>
      </c>
      <c r="H16" s="101">
        <v>0.41</v>
      </c>
      <c r="I16" s="115">
        <v>0</v>
      </c>
      <c r="L16" s="270"/>
      <c r="N16" s="216"/>
      <c r="Q16" s="294"/>
      <c r="R16" s="295"/>
      <c r="S16" s="45">
        <v>250</v>
      </c>
      <c r="T16" s="47">
        <v>1</v>
      </c>
    </row>
    <row r="17" spans="2:20" ht="17" customHeight="1">
      <c r="B17" s="203" t="s">
        <v>69</v>
      </c>
      <c r="C17" s="204" t="s">
        <v>67</v>
      </c>
      <c r="D17" s="205" t="s">
        <v>68</v>
      </c>
      <c r="E17" s="114">
        <v>0</v>
      </c>
      <c r="F17" s="96">
        <v>1.7999999999999999E-2</v>
      </c>
      <c r="G17" s="97">
        <v>1.7999999999999999E-2</v>
      </c>
      <c r="H17" s="98">
        <v>1.7999999999999999E-2</v>
      </c>
      <c r="I17" s="115">
        <v>0</v>
      </c>
      <c r="L17" s="270"/>
      <c r="N17" s="216"/>
      <c r="Q17" s="294"/>
      <c r="R17" s="295"/>
      <c r="S17" s="45">
        <v>300</v>
      </c>
      <c r="T17" s="47">
        <v>0.5</v>
      </c>
    </row>
    <row r="18" spans="2:20" ht="17" customHeight="1">
      <c r="B18" s="203" t="s">
        <v>69</v>
      </c>
      <c r="C18" s="204" t="s">
        <v>70</v>
      </c>
      <c r="D18" s="205" t="s">
        <v>57</v>
      </c>
      <c r="E18" s="114">
        <v>-15</v>
      </c>
      <c r="F18" s="99">
        <v>1.7364999999999999</v>
      </c>
      <c r="G18" s="100">
        <v>1.51</v>
      </c>
      <c r="H18" s="101">
        <v>1.2834999999999999</v>
      </c>
      <c r="I18" s="115">
        <v>-15</v>
      </c>
      <c r="L18" s="270"/>
      <c r="N18" s="216"/>
      <c r="O18" s="225"/>
      <c r="Q18" s="296"/>
      <c r="R18" s="297"/>
      <c r="S18" s="329"/>
      <c r="T18" s="47"/>
    </row>
    <row r="19" spans="2:20" ht="17" customHeight="1">
      <c r="B19" s="203" t="s">
        <v>71</v>
      </c>
      <c r="C19" s="204" t="s">
        <v>192</v>
      </c>
      <c r="D19" s="205" t="s">
        <v>62</v>
      </c>
      <c r="E19" s="114">
        <v>0</v>
      </c>
      <c r="F19" s="101">
        <v>13.91</v>
      </c>
      <c r="G19" s="102">
        <v>13.91</v>
      </c>
      <c r="H19" s="101">
        <v>13.91</v>
      </c>
      <c r="I19" s="115">
        <v>0</v>
      </c>
      <c r="K19" s="220"/>
      <c r="L19" s="270"/>
      <c r="N19" s="216"/>
      <c r="Q19" s="296"/>
      <c r="R19" s="297"/>
      <c r="S19" s="45"/>
      <c r="T19" s="47"/>
    </row>
    <row r="20" spans="2:20" ht="17" customHeight="1">
      <c r="B20" s="203" t="s">
        <v>73</v>
      </c>
      <c r="C20" s="204" t="s">
        <v>193</v>
      </c>
      <c r="D20" s="205" t="s">
        <v>57</v>
      </c>
      <c r="E20" s="114">
        <v>18.677994996117331</v>
      </c>
      <c r="F20" s="96">
        <v>0.17809519095850304</v>
      </c>
      <c r="G20" s="103">
        <v>0.219</v>
      </c>
      <c r="H20" s="98">
        <v>0.27981249457723273</v>
      </c>
      <c r="I20" s="115">
        <v>27.768262364033202</v>
      </c>
      <c r="K20" s="236"/>
      <c r="L20" s="270"/>
      <c r="N20" s="216"/>
      <c r="S20" s="45"/>
      <c r="T20" s="47"/>
    </row>
    <row r="21" spans="2:20" ht="17" customHeight="1">
      <c r="B21" s="222" t="s">
        <v>194</v>
      </c>
      <c r="C21" s="226" t="s">
        <v>76</v>
      </c>
      <c r="D21" s="205" t="s">
        <v>57</v>
      </c>
      <c r="E21" s="114">
        <v>-7.6020374201495322</v>
      </c>
      <c r="F21" s="101">
        <v>5.0645957572411131</v>
      </c>
      <c r="G21" s="102">
        <v>4.706784256756757</v>
      </c>
      <c r="H21" s="101">
        <v>4.1748318911852174</v>
      </c>
      <c r="I21" s="115">
        <v>-11.301821722716587</v>
      </c>
      <c r="K21" s="220"/>
      <c r="L21" s="270"/>
      <c r="N21" s="216"/>
      <c r="S21" s="45"/>
      <c r="T21" s="47"/>
    </row>
    <row r="22" spans="2:20" ht="17" customHeight="1" thickBot="1">
      <c r="B22" s="228" t="s">
        <v>77</v>
      </c>
      <c r="C22" s="229" t="s">
        <v>78</v>
      </c>
      <c r="D22" s="230" t="s">
        <v>195</v>
      </c>
      <c r="E22" s="121">
        <v>-40.718314719214966</v>
      </c>
      <c r="F22" s="157">
        <v>1057.0759801707429</v>
      </c>
      <c r="G22" s="158">
        <v>751.2</v>
      </c>
      <c r="H22" s="159">
        <v>341.18587330761807</v>
      </c>
      <c r="I22" s="125">
        <v>-54.581220273213781</v>
      </c>
      <c r="J22" s="258"/>
      <c r="K22" s="258"/>
      <c r="L22" s="298"/>
      <c r="N22" s="216"/>
      <c r="R22" s="223"/>
      <c r="S22" s="45"/>
      <c r="T22" s="47"/>
    </row>
    <row r="23" spans="2:20" ht="20" customHeight="1" thickBot="1">
      <c r="B23" s="299"/>
      <c r="C23" s="300"/>
      <c r="D23" s="205"/>
      <c r="E23" s="299"/>
      <c r="F23" s="299"/>
      <c r="G23" s="301"/>
      <c r="N23" s="216"/>
      <c r="R23" s="223"/>
      <c r="S23" s="45"/>
      <c r="T23" s="47"/>
    </row>
    <row r="24" spans="2:20" ht="16" customHeight="1">
      <c r="B24" s="387" t="s">
        <v>196</v>
      </c>
      <c r="C24" s="388"/>
      <c r="D24" s="388"/>
      <c r="E24" s="401" t="s">
        <v>181</v>
      </c>
      <c r="F24" s="402"/>
      <c r="G24" s="302" t="s">
        <v>182</v>
      </c>
      <c r="H24" s="403" t="s">
        <v>183</v>
      </c>
      <c r="I24" s="404"/>
      <c r="J24" s="194"/>
      <c r="K24" s="194"/>
      <c r="L24" s="281"/>
      <c r="N24" s="216"/>
      <c r="R24" s="223"/>
      <c r="S24" s="45"/>
      <c r="T24" s="47"/>
    </row>
    <row r="25" spans="2:20" ht="23" customHeight="1" thickBot="1">
      <c r="B25" s="390"/>
      <c r="C25" s="391"/>
      <c r="D25" s="391"/>
      <c r="E25" s="303" t="s">
        <v>185</v>
      </c>
      <c r="F25" s="304" t="s">
        <v>186</v>
      </c>
      <c r="G25" s="305" t="s">
        <v>187</v>
      </c>
      <c r="H25" s="283" t="s">
        <v>186</v>
      </c>
      <c r="I25" s="282" t="s">
        <v>185</v>
      </c>
      <c r="J25" s="199"/>
      <c r="K25" s="285"/>
      <c r="L25" s="306"/>
      <c r="N25" s="330"/>
      <c r="O25" s="331"/>
      <c r="P25" s="331"/>
      <c r="Q25" s="332"/>
      <c r="R25" s="223"/>
      <c r="S25" s="45"/>
      <c r="T25" s="47"/>
    </row>
    <row r="26" spans="2:20" ht="17" customHeight="1">
      <c r="B26" s="203" t="s">
        <v>81</v>
      </c>
      <c r="C26" s="204" t="s">
        <v>82</v>
      </c>
      <c r="D26" s="205" t="s">
        <v>83</v>
      </c>
      <c r="E26" s="116">
        <v>0</v>
      </c>
      <c r="F26" s="117">
        <v>62.11</v>
      </c>
      <c r="G26" s="118">
        <v>62.11</v>
      </c>
      <c r="H26" s="119">
        <v>62.11</v>
      </c>
      <c r="I26" s="120">
        <v>0</v>
      </c>
      <c r="L26" s="270"/>
      <c r="N26" s="330"/>
      <c r="O26" s="332"/>
      <c r="P26" s="331"/>
      <c r="Q26" s="332"/>
      <c r="R26" s="223"/>
      <c r="S26" s="45"/>
      <c r="T26" s="47"/>
    </row>
    <row r="27" spans="2:20" ht="17" customHeight="1">
      <c r="B27" s="203" t="s">
        <v>81</v>
      </c>
      <c r="C27" s="204" t="s">
        <v>84</v>
      </c>
      <c r="D27" s="205" t="s">
        <v>57</v>
      </c>
      <c r="E27" s="114">
        <v>0</v>
      </c>
      <c r="F27" s="99">
        <v>0.19</v>
      </c>
      <c r="G27" s="100">
        <v>0.19</v>
      </c>
      <c r="H27" s="101">
        <v>0.19</v>
      </c>
      <c r="I27" s="115">
        <v>0</v>
      </c>
      <c r="K27" s="212" t="s">
        <v>197</v>
      </c>
      <c r="L27" s="270"/>
      <c r="N27" s="330"/>
      <c r="O27" s="331"/>
      <c r="P27" s="331"/>
      <c r="Q27" s="332"/>
      <c r="R27" s="223"/>
      <c r="S27" s="45"/>
      <c r="T27" s="47"/>
    </row>
    <row r="28" spans="2:20" ht="17" customHeight="1">
      <c r="B28" s="203" t="s">
        <v>81</v>
      </c>
      <c r="C28" s="204" t="s">
        <v>86</v>
      </c>
      <c r="D28" s="205" t="s">
        <v>87</v>
      </c>
      <c r="E28" s="114">
        <v>0</v>
      </c>
      <c r="F28" s="106">
        <v>71</v>
      </c>
      <c r="G28" s="107">
        <v>71</v>
      </c>
      <c r="H28" s="108">
        <v>71</v>
      </c>
      <c r="I28" s="115">
        <v>0</v>
      </c>
      <c r="K28" s="40" t="s">
        <v>88</v>
      </c>
      <c r="L28" s="270"/>
      <c r="N28" s="330"/>
      <c r="O28" s="331"/>
      <c r="P28" s="331"/>
      <c r="Q28" s="332"/>
      <c r="R28" s="223"/>
      <c r="S28" s="45"/>
      <c r="T28" s="47"/>
    </row>
    <row r="29" spans="2:20" ht="17" customHeight="1">
      <c r="B29" s="203" t="s">
        <v>198</v>
      </c>
      <c r="C29" s="204" t="s">
        <v>90</v>
      </c>
      <c r="D29" s="205" t="s">
        <v>91</v>
      </c>
      <c r="E29" s="114">
        <v>0</v>
      </c>
      <c r="F29" s="99">
        <v>414.07</v>
      </c>
      <c r="G29" s="100">
        <v>414.07</v>
      </c>
      <c r="H29" s="101">
        <v>414.07</v>
      </c>
      <c r="I29" s="115">
        <v>0</v>
      </c>
      <c r="L29" s="270"/>
      <c r="N29" s="239"/>
      <c r="O29" s="240"/>
      <c r="P29" s="240"/>
      <c r="Q29" s="333"/>
      <c r="R29" s="223"/>
      <c r="S29" s="45"/>
      <c r="T29" s="47"/>
    </row>
    <row r="30" spans="2:20" ht="17" customHeight="1">
      <c r="B30" s="203" t="s">
        <v>92</v>
      </c>
      <c r="C30" s="204" t="s">
        <v>93</v>
      </c>
      <c r="D30" s="205" t="s">
        <v>94</v>
      </c>
      <c r="E30" s="114">
        <v>0</v>
      </c>
      <c r="F30" s="109">
        <v>4.8999999999999997E-6</v>
      </c>
      <c r="G30" s="110">
        <v>4.8999999999999997E-6</v>
      </c>
      <c r="H30" s="111">
        <v>4.8999999999999997E-6</v>
      </c>
      <c r="I30" s="115">
        <v>0</v>
      </c>
      <c r="L30" s="270"/>
      <c r="N30" s="243" t="s">
        <v>30</v>
      </c>
      <c r="O30" s="240" t="str">
        <f>IF(LEN(G7)&gt;0, "= " &amp;G7 &amp; " cm", "")</f>
        <v>= 300 cm</v>
      </c>
      <c r="P30" s="240"/>
      <c r="Q30" s="333"/>
      <c r="R30" s="223"/>
      <c r="S30" s="45"/>
      <c r="T30" s="47"/>
    </row>
    <row r="31" spans="2:20" ht="17" customHeight="1">
      <c r="B31" s="203" t="s">
        <v>95</v>
      </c>
      <c r="C31" s="241" t="s">
        <v>96</v>
      </c>
      <c r="D31" s="205" t="s">
        <v>97</v>
      </c>
      <c r="E31" s="114">
        <v>0</v>
      </c>
      <c r="F31" s="99">
        <v>237.2</v>
      </c>
      <c r="G31" s="100">
        <v>237.2</v>
      </c>
      <c r="H31" s="101">
        <v>237.2</v>
      </c>
      <c r="I31" s="115">
        <v>0</v>
      </c>
      <c r="L31" s="270"/>
      <c r="N31" s="243" t="s">
        <v>101</v>
      </c>
      <c r="O31" s="240" t="str">
        <f>IF(LEN(G41)&gt;0, "= " &amp; G41 &amp; " m/yr", "")</f>
        <v>= 365 m/yr</v>
      </c>
      <c r="P31" s="240"/>
      <c r="Q31" s="333"/>
      <c r="R31" s="223"/>
      <c r="S31" s="45"/>
      <c r="T31" s="47"/>
    </row>
    <row r="32" spans="2:20" ht="17" customHeight="1">
      <c r="B32" s="203" t="s">
        <v>98</v>
      </c>
      <c r="C32" s="204" t="s">
        <v>99</v>
      </c>
      <c r="D32" s="205" t="s">
        <v>100</v>
      </c>
      <c r="E32" s="114">
        <v>0</v>
      </c>
      <c r="F32" s="106">
        <v>136.19999999999999</v>
      </c>
      <c r="G32" s="107">
        <v>136.19999999999999</v>
      </c>
      <c r="H32" s="108">
        <v>136.19999999999999</v>
      </c>
      <c r="I32" s="115">
        <v>0</v>
      </c>
      <c r="K32" s="42"/>
      <c r="L32" s="307"/>
      <c r="N32" s="243" t="s">
        <v>104</v>
      </c>
      <c r="O32" s="240" t="str">
        <f>IF(LEN(G42)&gt;0, "= " &amp; TEXT(G42, "0.00") &amp; " m", "")</f>
        <v>= 3.00 m</v>
      </c>
      <c r="P32" s="240"/>
      <c r="Q32" s="333"/>
      <c r="R32" s="223"/>
      <c r="S32" s="45"/>
      <c r="T32" s="47"/>
    </row>
    <row r="33" spans="2:23" ht="17" customHeight="1">
      <c r="B33" s="203" t="s">
        <v>102</v>
      </c>
      <c r="C33" s="204" t="s">
        <v>103</v>
      </c>
      <c r="D33" s="205" t="s">
        <v>100</v>
      </c>
      <c r="E33" s="114">
        <v>0</v>
      </c>
      <c r="F33" s="99">
        <v>0.55841999999999992</v>
      </c>
      <c r="G33" s="104">
        <v>0.55841999999999992</v>
      </c>
      <c r="H33" s="101">
        <v>0.55841999999999992</v>
      </c>
      <c r="I33" s="115">
        <v>0</v>
      </c>
      <c r="L33" s="307"/>
      <c r="N33" s="243" t="s">
        <v>108</v>
      </c>
      <c r="O33" s="240" t="str">
        <f>IF(LEN(G43)&gt;0, "= " &amp; G43 &amp; " m", "")</f>
        <v>= 0.35 m</v>
      </c>
      <c r="P33" s="240"/>
      <c r="Q33" s="333"/>
      <c r="R33" s="223"/>
      <c r="S33" s="45"/>
      <c r="T33" s="47"/>
    </row>
    <row r="34" spans="2:23" ht="17" customHeight="1">
      <c r="B34" s="244" t="s">
        <v>105</v>
      </c>
      <c r="C34" s="245" t="s">
        <v>106</v>
      </c>
      <c r="D34" s="246" t="s">
        <v>31</v>
      </c>
      <c r="E34" s="114">
        <v>30</v>
      </c>
      <c r="F34" s="109">
        <v>2.5842308368544068E-3</v>
      </c>
      <c r="G34" s="112">
        <v>3.6917583383634387E-3</v>
      </c>
      <c r="H34" s="111">
        <v>4.7992858398724705E-3</v>
      </c>
      <c r="I34" s="115">
        <v>30</v>
      </c>
      <c r="L34" s="307"/>
      <c r="N34" s="243" t="s">
        <v>110</v>
      </c>
      <c r="O34" s="240" t="str">
        <f>IF(LEN(G45)&gt;0, "= " &amp; TEXT(G45, "0.00") &amp; " m", "")</f>
        <v>= 0.32 m</v>
      </c>
      <c r="P34" s="240"/>
      <c r="Q34" s="333"/>
      <c r="R34" s="223"/>
      <c r="S34" s="45"/>
      <c r="T34" s="47"/>
    </row>
    <row r="35" spans="2:23" ht="16" customHeight="1">
      <c r="B35" s="414" t="s">
        <v>199</v>
      </c>
      <c r="C35" s="382"/>
      <c r="D35" s="382"/>
      <c r="E35" s="415"/>
      <c r="F35" s="415"/>
      <c r="G35" s="415"/>
      <c r="H35" s="415"/>
      <c r="I35" s="415"/>
      <c r="K35" s="42"/>
      <c r="L35" s="307"/>
      <c r="N35" s="243" t="s">
        <v>113</v>
      </c>
      <c r="O35" s="240" t="str">
        <f>IF(LEN(G10)&gt;0, "= " &amp;G10 &amp; " cm/yr", "")</f>
        <v>= 25.92 cm/yr</v>
      </c>
      <c r="P35" s="240"/>
      <c r="Q35" s="333"/>
      <c r="R35" s="223"/>
      <c r="S35" s="45"/>
      <c r="T35" s="47"/>
    </row>
    <row r="36" spans="2:23" ht="17" customHeight="1">
      <c r="B36" s="249" t="s">
        <v>111</v>
      </c>
      <c r="C36" s="250" t="s">
        <v>200</v>
      </c>
      <c r="D36" s="251" t="s">
        <v>57</v>
      </c>
      <c r="E36" s="114">
        <v>0</v>
      </c>
      <c r="F36" s="99">
        <v>0.5</v>
      </c>
      <c r="G36" s="100">
        <v>0.5</v>
      </c>
      <c r="H36" s="101">
        <v>0.5</v>
      </c>
      <c r="I36" s="115">
        <v>0</v>
      </c>
      <c r="K36" s="42"/>
      <c r="L36" s="307"/>
      <c r="N36" s="239"/>
      <c r="O36" s="240"/>
      <c r="P36" s="240"/>
      <c r="Q36" s="333"/>
      <c r="R36" s="223"/>
      <c r="S36" s="45"/>
      <c r="T36" s="47"/>
    </row>
    <row r="37" spans="2:23" ht="18" customHeight="1" thickBot="1">
      <c r="B37" s="228" t="s">
        <v>201</v>
      </c>
      <c r="C37" s="229" t="s">
        <v>115</v>
      </c>
      <c r="D37" s="230" t="s">
        <v>116</v>
      </c>
      <c r="E37" s="121">
        <v>0</v>
      </c>
      <c r="F37" s="122">
        <v>1E-4</v>
      </c>
      <c r="G37" s="123">
        <v>1E-4</v>
      </c>
      <c r="H37" s="124">
        <v>1E-4</v>
      </c>
      <c r="I37" s="125">
        <v>0</v>
      </c>
      <c r="J37" s="258"/>
      <c r="K37" s="258"/>
      <c r="L37" s="298"/>
      <c r="N37" s="239"/>
      <c r="O37" s="240"/>
      <c r="P37" s="240"/>
      <c r="Q37" s="333"/>
      <c r="R37" s="223"/>
      <c r="S37" s="45"/>
      <c r="T37" s="47"/>
    </row>
    <row r="38" spans="2:23" ht="20" customHeight="1" thickBot="1">
      <c r="B38" s="308"/>
      <c r="C38" s="308"/>
      <c r="D38" s="205"/>
      <c r="E38" s="205"/>
      <c r="F38" s="309"/>
      <c r="G38" s="310"/>
      <c r="H38" s="217"/>
      <c r="I38" s="37"/>
      <c r="N38" s="239"/>
      <c r="O38" s="240"/>
      <c r="P38" s="240"/>
      <c r="Q38" s="333"/>
      <c r="R38" s="223"/>
      <c r="S38" s="45"/>
      <c r="T38" s="47"/>
    </row>
    <row r="39" spans="2:23" ht="16" customHeight="1">
      <c r="B39" s="387" t="s">
        <v>202</v>
      </c>
      <c r="C39" s="388"/>
      <c r="D39" s="388"/>
      <c r="E39" s="401" t="s">
        <v>181</v>
      </c>
      <c r="F39" s="402"/>
      <c r="G39" s="302" t="s">
        <v>182</v>
      </c>
      <c r="H39" s="403" t="s">
        <v>183</v>
      </c>
      <c r="I39" s="404"/>
      <c r="J39" s="194"/>
      <c r="K39" s="194"/>
      <c r="L39" s="281"/>
      <c r="N39" s="216"/>
      <c r="O39" s="225"/>
      <c r="R39" s="223"/>
      <c r="S39" s="45"/>
      <c r="T39" s="47"/>
    </row>
    <row r="40" spans="2:23" ht="23" customHeight="1" thickBot="1">
      <c r="B40" s="390"/>
      <c r="C40" s="391"/>
      <c r="D40" s="391"/>
      <c r="E40" s="303" t="s">
        <v>185</v>
      </c>
      <c r="F40" s="304" t="s">
        <v>186</v>
      </c>
      <c r="G40" s="305" t="s">
        <v>187</v>
      </c>
      <c r="H40" s="283" t="s">
        <v>186</v>
      </c>
      <c r="I40" s="282" t="s">
        <v>185</v>
      </c>
      <c r="J40" s="199"/>
      <c r="K40" s="199"/>
      <c r="L40" s="311"/>
      <c r="N40" s="312"/>
      <c r="O40" s="258"/>
      <c r="P40" s="258"/>
      <c r="Q40" s="313"/>
      <c r="R40" s="314"/>
      <c r="S40" s="48"/>
      <c r="T40" s="49"/>
    </row>
    <row r="41" spans="2:23" ht="17" customHeight="1" thickBot="1">
      <c r="B41" s="203" t="s">
        <v>203</v>
      </c>
      <c r="C41" s="204" t="s">
        <v>119</v>
      </c>
      <c r="D41" s="205" t="s">
        <v>120</v>
      </c>
      <c r="E41" s="116">
        <v>0</v>
      </c>
      <c r="F41" s="177">
        <v>365</v>
      </c>
      <c r="G41" s="178">
        <v>365</v>
      </c>
      <c r="H41" s="179">
        <v>365</v>
      </c>
      <c r="I41" s="120">
        <v>0</v>
      </c>
      <c r="L41" s="270"/>
      <c r="P41" s="41"/>
    </row>
    <row r="42" spans="2:23" ht="17" customHeight="1">
      <c r="B42" s="203" t="s">
        <v>204</v>
      </c>
      <c r="C42" s="204" t="s">
        <v>104</v>
      </c>
      <c r="D42" s="205" t="s">
        <v>122</v>
      </c>
      <c r="E42" s="114">
        <v>0</v>
      </c>
      <c r="F42" s="95">
        <v>3</v>
      </c>
      <c r="G42" s="94">
        <v>3</v>
      </c>
      <c r="H42" s="93">
        <v>3</v>
      </c>
      <c r="I42" s="115">
        <v>0</v>
      </c>
      <c r="L42" s="270"/>
      <c r="N42" s="387" t="s">
        <v>205</v>
      </c>
      <c r="O42" s="388"/>
      <c r="P42" s="315"/>
      <c r="Q42" s="416" t="s">
        <v>206</v>
      </c>
      <c r="R42" s="264"/>
      <c r="S42" s="210"/>
      <c r="T42" s="265"/>
    </row>
    <row r="43" spans="2:23" ht="17" customHeight="1" thickBot="1">
      <c r="B43" s="203" t="s">
        <v>207</v>
      </c>
      <c r="C43" s="204" t="s">
        <v>208</v>
      </c>
      <c r="D43" s="205" t="s">
        <v>122</v>
      </c>
      <c r="E43" s="114">
        <v>0</v>
      </c>
      <c r="F43" s="95">
        <v>0.35</v>
      </c>
      <c r="G43" s="94">
        <v>0.35</v>
      </c>
      <c r="H43" s="93">
        <v>0.35</v>
      </c>
      <c r="I43" s="115">
        <v>0</v>
      </c>
      <c r="L43" s="270"/>
      <c r="N43" s="390"/>
      <c r="O43" s="391"/>
      <c r="P43" s="316"/>
      <c r="Q43" s="417"/>
      <c r="R43" s="405" t="s">
        <v>270</v>
      </c>
      <c r="S43" s="405"/>
      <c r="T43" s="406"/>
      <c r="V43" s="223"/>
      <c r="W43" s="224"/>
    </row>
    <row r="44" spans="2:23" ht="17" customHeight="1">
      <c r="B44" s="203" t="s">
        <v>127</v>
      </c>
      <c r="C44" s="204" t="s">
        <v>209</v>
      </c>
      <c r="D44" s="205" t="s">
        <v>122</v>
      </c>
      <c r="E44" s="114">
        <v>0</v>
      </c>
      <c r="F44" s="95">
        <v>1.6799999999999999E-2</v>
      </c>
      <c r="G44" s="113">
        <v>1.6799999999999999E-2</v>
      </c>
      <c r="H44" s="93">
        <v>1.6799999999999999E-2</v>
      </c>
      <c r="I44" s="115">
        <v>0</v>
      </c>
      <c r="L44" s="270"/>
      <c r="N44" s="317" t="s">
        <v>210</v>
      </c>
      <c r="O44" s="318" t="s">
        <v>130</v>
      </c>
      <c r="P44" s="319" t="s">
        <v>131</v>
      </c>
      <c r="Q44" s="25">
        <v>100</v>
      </c>
      <c r="R44" s="407"/>
      <c r="S44" s="405"/>
      <c r="T44" s="406"/>
      <c r="V44" s="223"/>
      <c r="W44" s="224"/>
    </row>
    <row r="45" spans="2:23" ht="17" customHeight="1">
      <c r="B45" s="203" t="s">
        <v>132</v>
      </c>
      <c r="C45" s="204" t="s">
        <v>211</v>
      </c>
      <c r="D45" s="205" t="s">
        <v>122</v>
      </c>
      <c r="E45" s="114">
        <v>0</v>
      </c>
      <c r="F45" s="95">
        <v>0.31897827245087301</v>
      </c>
      <c r="G45" s="113">
        <v>0.31961409763508913</v>
      </c>
      <c r="H45" s="93">
        <v>0.32024876281965403</v>
      </c>
      <c r="I45" s="115">
        <v>0</v>
      </c>
      <c r="L45" s="270"/>
      <c r="N45" s="317" t="s">
        <v>212</v>
      </c>
      <c r="O45" s="318" t="s">
        <v>135</v>
      </c>
      <c r="P45" s="319" t="s">
        <v>131</v>
      </c>
      <c r="Q45" s="23">
        <v>1</v>
      </c>
      <c r="R45" s="216"/>
      <c r="T45" s="270"/>
      <c r="V45" s="223"/>
      <c r="W45" s="224"/>
    </row>
    <row r="46" spans="2:23" ht="17" customHeight="1" thickBot="1">
      <c r="B46" s="228" t="s">
        <v>213</v>
      </c>
      <c r="C46" s="229" t="s">
        <v>137</v>
      </c>
      <c r="D46" s="230" t="s">
        <v>138</v>
      </c>
      <c r="E46" s="121">
        <v>0</v>
      </c>
      <c r="F46" s="157">
        <v>214.89452793314348</v>
      </c>
      <c r="G46" s="158">
        <v>151.02462144651173</v>
      </c>
      <c r="H46" s="159">
        <v>116.63271449546308</v>
      </c>
      <c r="I46" s="125">
        <v>0</v>
      </c>
      <c r="J46" s="258"/>
      <c r="K46" s="258"/>
      <c r="L46" s="298"/>
      <c r="N46" s="320" t="s">
        <v>139</v>
      </c>
      <c r="O46" s="321" t="s">
        <v>140</v>
      </c>
      <c r="P46" s="322" t="s">
        <v>141</v>
      </c>
      <c r="Q46" s="24">
        <v>4</v>
      </c>
      <c r="R46" s="411" t="s">
        <v>142</v>
      </c>
      <c r="S46" s="412"/>
      <c r="T46" s="413"/>
      <c r="V46" s="223"/>
      <c r="W46" s="224"/>
    </row>
    <row r="47" spans="2:23" ht="20" customHeight="1">
      <c r="B47" s="299"/>
      <c r="C47" s="323"/>
      <c r="D47" s="205"/>
      <c r="E47" s="299"/>
      <c r="F47" s="299"/>
      <c r="G47" s="301"/>
      <c r="N47" s="207"/>
      <c r="P47" s="41"/>
      <c r="V47" s="223"/>
      <c r="W47" s="224"/>
    </row>
    <row r="48" spans="2:23" ht="17" customHeight="1">
      <c r="N48" s="207"/>
      <c r="P48" s="41"/>
      <c r="V48" s="223"/>
      <c r="W48" s="224"/>
    </row>
    <row r="49" spans="2:23" ht="15" hidden="1" customHeight="1">
      <c r="N49" s="207"/>
      <c r="P49" s="41"/>
      <c r="V49" s="223"/>
      <c r="W49" s="224"/>
    </row>
    <row r="50" spans="2:23" ht="15" hidden="1" customHeight="1">
      <c r="N50" s="207"/>
      <c r="P50" s="41"/>
      <c r="V50" s="223"/>
      <c r="W50" s="224"/>
    </row>
    <row r="51" spans="2:23" ht="15" hidden="1" customHeight="1">
      <c r="N51" s="207"/>
      <c r="P51" s="41"/>
      <c r="R51" s="223"/>
      <c r="S51" s="224"/>
      <c r="T51" s="224"/>
    </row>
    <row r="52" spans="2:23" ht="15" hidden="1" customHeight="1">
      <c r="N52" s="207"/>
      <c r="O52" s="324"/>
      <c r="P52" s="41"/>
      <c r="R52" s="223"/>
      <c r="S52" s="224"/>
      <c r="T52" s="224"/>
    </row>
    <row r="53" spans="2:23" ht="14" hidden="1" customHeight="1">
      <c r="F53" s="325" t="s">
        <v>214</v>
      </c>
      <c r="G53" s="326"/>
      <c r="H53" s="326"/>
      <c r="I53" s="326"/>
      <c r="J53" s="326"/>
      <c r="K53" s="326"/>
      <c r="L53" s="326"/>
      <c r="M53" s="326"/>
      <c r="O53" s="207"/>
      <c r="P53" s="41"/>
      <c r="R53" s="223"/>
      <c r="S53" s="224"/>
      <c r="T53" s="224"/>
    </row>
    <row r="54" spans="2:23" ht="14" hidden="1" customHeight="1">
      <c r="G54" s="36"/>
      <c r="P54" s="41"/>
      <c r="R54" s="223"/>
      <c r="S54" s="224"/>
      <c r="T54" s="224"/>
    </row>
    <row r="55" spans="2:23" ht="14" hidden="1" customHeight="1">
      <c r="G55" s="36"/>
      <c r="P55" s="41"/>
      <c r="R55" s="223"/>
      <c r="S55" s="224"/>
      <c r="T55" s="224"/>
    </row>
    <row r="56" spans="2:23" ht="14" hidden="1" customHeight="1">
      <c r="G56" s="36"/>
      <c r="I56" s="37"/>
      <c r="P56" s="41"/>
      <c r="R56" s="223"/>
      <c r="S56" s="224"/>
      <c r="T56" s="224"/>
    </row>
    <row r="57" spans="2:23" ht="14" hidden="1" customHeight="1">
      <c r="B57" s="324"/>
      <c r="C57" s="327"/>
      <c r="D57" s="328"/>
      <c r="G57" s="36"/>
      <c r="P57" s="41"/>
      <c r="R57" s="223"/>
      <c r="S57" s="224"/>
      <c r="T57" s="224"/>
    </row>
    <row r="58" spans="2:23" ht="14.25" hidden="1" customHeight="1">
      <c r="D58" s="328"/>
      <c r="G58" s="36"/>
      <c r="P58" s="41"/>
      <c r="R58" s="223"/>
      <c r="S58" s="224"/>
      <c r="T58" s="224"/>
    </row>
    <row r="59" spans="2:23" ht="14.25" hidden="1" customHeight="1">
      <c r="D59" s="328"/>
      <c r="G59" s="36"/>
      <c r="P59" s="41"/>
      <c r="R59" s="223"/>
      <c r="S59" s="224"/>
      <c r="T59" s="224"/>
    </row>
    <row r="60" spans="2:23" ht="14.25" hidden="1" customHeight="1">
      <c r="D60" s="328"/>
      <c r="G60" s="36"/>
      <c r="P60" s="41"/>
      <c r="R60" s="223"/>
      <c r="S60" s="224"/>
      <c r="T60" s="224"/>
    </row>
    <row r="61" spans="2:23" hidden="1">
      <c r="D61" s="328"/>
      <c r="G61" s="36"/>
      <c r="P61" s="41"/>
      <c r="R61" s="223"/>
      <c r="T61" s="224"/>
    </row>
    <row r="62" spans="2:23" hidden="1">
      <c r="D62" s="328"/>
      <c r="G62" s="36"/>
      <c r="P62" s="41"/>
      <c r="R62" s="223"/>
      <c r="T62" s="224"/>
    </row>
    <row r="63" spans="2:23" hidden="1">
      <c r="D63" s="328"/>
      <c r="G63" s="36"/>
      <c r="P63" s="41"/>
      <c r="R63" s="223"/>
      <c r="T63" s="224"/>
    </row>
    <row r="64" spans="2:23" hidden="1">
      <c r="D64" s="328"/>
      <c r="G64" s="36"/>
      <c r="P64" s="41"/>
      <c r="R64" s="223"/>
      <c r="T64" s="224"/>
    </row>
    <row r="65" spans="7:20" hidden="1">
      <c r="G65" s="36"/>
      <c r="P65" s="41"/>
      <c r="R65" s="223"/>
      <c r="T65" s="224"/>
    </row>
    <row r="66" spans="7:20" hidden="1">
      <c r="G66" s="36"/>
      <c r="P66" s="41"/>
      <c r="R66" s="223"/>
      <c r="T66" s="224"/>
    </row>
    <row r="67" spans="7:20" hidden="1">
      <c r="G67" s="36"/>
      <c r="P67" s="41"/>
      <c r="R67" s="223"/>
      <c r="T67" s="224"/>
    </row>
    <row r="68" spans="7:20" hidden="1">
      <c r="G68" s="36"/>
      <c r="P68" s="41"/>
      <c r="R68" s="223"/>
      <c r="T68" s="224"/>
    </row>
    <row r="69" spans="7:20" hidden="1">
      <c r="G69" s="36"/>
      <c r="P69" s="41"/>
      <c r="R69" s="223"/>
      <c r="T69" s="224"/>
    </row>
    <row r="70" spans="7:20" hidden="1">
      <c r="G70" s="36"/>
      <c r="P70" s="41"/>
      <c r="R70" s="223"/>
      <c r="T70" s="224"/>
    </row>
    <row r="71" spans="7:20" hidden="1">
      <c r="G71" s="36"/>
      <c r="P71" s="41"/>
      <c r="R71" s="223"/>
      <c r="T71" s="224"/>
    </row>
    <row r="72" spans="7:20" hidden="1">
      <c r="G72" s="36"/>
      <c r="P72" s="41"/>
      <c r="R72" s="223"/>
      <c r="T72" s="224"/>
    </row>
    <row r="73" spans="7:20" hidden="1">
      <c r="G73" s="36"/>
      <c r="P73" s="41"/>
      <c r="R73" s="223"/>
      <c r="T73" s="224"/>
    </row>
    <row r="74" spans="7:20" hidden="1">
      <c r="G74" s="36"/>
      <c r="P74" s="41"/>
      <c r="R74" s="223"/>
      <c r="T74" s="224"/>
    </row>
    <row r="75" spans="7:20" hidden="1">
      <c r="G75" s="36"/>
      <c r="P75" s="41"/>
      <c r="R75" s="223"/>
      <c r="T75" s="224"/>
    </row>
    <row r="76" spans="7:20" hidden="1">
      <c r="G76" s="36"/>
      <c r="P76" s="41"/>
      <c r="R76" s="223"/>
      <c r="T76" s="224"/>
    </row>
    <row r="77" spans="7:20" hidden="1">
      <c r="G77" s="36"/>
      <c r="P77" s="41"/>
      <c r="R77" s="223"/>
      <c r="T77" s="224"/>
    </row>
    <row r="78" spans="7:20" hidden="1">
      <c r="G78" s="36"/>
      <c r="P78" s="41"/>
      <c r="R78" s="223"/>
      <c r="T78" s="224"/>
    </row>
    <row r="79" spans="7:20" hidden="1">
      <c r="G79" s="36"/>
      <c r="P79" s="41"/>
      <c r="R79" s="223"/>
      <c r="T79" s="224"/>
    </row>
    <row r="80" spans="7:20" hidden="1">
      <c r="G80" s="36"/>
      <c r="P80" s="41"/>
      <c r="R80" s="223"/>
      <c r="T80" s="224"/>
    </row>
    <row r="81" spans="7:20" hidden="1">
      <c r="G81" s="36"/>
      <c r="P81" s="41"/>
      <c r="R81" s="223"/>
      <c r="T81" s="224"/>
    </row>
    <row r="82" spans="7:20" hidden="1">
      <c r="G82" s="36"/>
      <c r="P82" s="41"/>
      <c r="R82" s="223"/>
      <c r="T82" s="224"/>
    </row>
    <row r="83" spans="7:20" hidden="1">
      <c r="G83" s="36"/>
      <c r="P83" s="41"/>
      <c r="R83" s="223"/>
      <c r="T83" s="224"/>
    </row>
    <row r="84" spans="7:20" hidden="1">
      <c r="G84" s="36"/>
      <c r="P84" s="41"/>
      <c r="R84" s="223"/>
      <c r="T84" s="224"/>
    </row>
    <row r="85" spans="7:20" hidden="1">
      <c r="G85" s="36"/>
      <c r="P85" s="41"/>
      <c r="R85" s="223"/>
      <c r="T85" s="224"/>
    </row>
    <row r="86" spans="7:20" hidden="1">
      <c r="G86" s="36"/>
      <c r="P86" s="41"/>
      <c r="R86" s="223"/>
      <c r="T86" s="224"/>
    </row>
    <row r="87" spans="7:20" hidden="1">
      <c r="G87" s="36"/>
      <c r="P87" s="41"/>
      <c r="R87" s="223"/>
      <c r="T87" s="224"/>
    </row>
    <row r="88" spans="7:20" hidden="1">
      <c r="G88" s="36"/>
      <c r="P88" s="41"/>
      <c r="R88" s="223"/>
      <c r="T88" s="224"/>
    </row>
    <row r="89" spans="7:20" hidden="1">
      <c r="G89" s="36"/>
      <c r="P89" s="41"/>
      <c r="R89" s="223"/>
      <c r="T89" s="224"/>
    </row>
    <row r="90" spans="7:20" hidden="1">
      <c r="G90" s="36"/>
      <c r="P90" s="41"/>
      <c r="R90" s="223"/>
      <c r="T90" s="224"/>
    </row>
    <row r="91" spans="7:20" hidden="1">
      <c r="G91" s="36"/>
      <c r="P91" s="41"/>
      <c r="R91" s="223"/>
      <c r="T91" s="224"/>
    </row>
    <row r="92" spans="7:20" hidden="1">
      <c r="G92" s="36"/>
      <c r="P92" s="41"/>
      <c r="R92" s="223"/>
      <c r="T92" s="224"/>
    </row>
    <row r="93" spans="7:20" hidden="1">
      <c r="G93" s="36"/>
      <c r="P93" s="41"/>
      <c r="R93" s="223"/>
      <c r="T93" s="224"/>
    </row>
    <row r="94" spans="7:20" hidden="1">
      <c r="G94" s="36"/>
      <c r="P94" s="41"/>
      <c r="R94" s="223"/>
      <c r="T94" s="224"/>
    </row>
    <row r="95" spans="7:20" hidden="1">
      <c r="G95" s="36"/>
      <c r="P95" s="41"/>
      <c r="R95" s="223"/>
      <c r="T95" s="224"/>
    </row>
    <row r="96" spans="7:20" hidden="1">
      <c r="G96" s="36"/>
      <c r="P96" s="41"/>
      <c r="R96" s="223"/>
      <c r="T96" s="224"/>
    </row>
    <row r="97" spans="7:20" hidden="1">
      <c r="G97" s="36"/>
      <c r="P97" s="41"/>
      <c r="R97" s="223"/>
      <c r="T97" s="224"/>
    </row>
    <row r="98" spans="7:20" hidden="1">
      <c r="G98" s="36"/>
      <c r="P98" s="41"/>
      <c r="R98" s="223"/>
      <c r="T98" s="224"/>
    </row>
    <row r="99" spans="7:20" hidden="1">
      <c r="G99" s="36"/>
      <c r="P99" s="41"/>
      <c r="R99" s="223"/>
      <c r="T99" s="224"/>
    </row>
    <row r="100" spans="7:20" hidden="1">
      <c r="G100" s="36"/>
      <c r="P100" s="41"/>
      <c r="R100" s="223"/>
      <c r="T100" s="224"/>
    </row>
    <row r="101" spans="7:20" hidden="1">
      <c r="G101" s="36"/>
      <c r="P101" s="41"/>
      <c r="R101" s="223"/>
      <c r="T101" s="224"/>
    </row>
    <row r="102" spans="7:20" hidden="1">
      <c r="G102" s="36"/>
      <c r="P102" s="41"/>
      <c r="R102" s="223"/>
      <c r="T102" s="224"/>
    </row>
    <row r="103" spans="7:20" hidden="1">
      <c r="G103" s="36"/>
      <c r="P103" s="41"/>
      <c r="R103" s="223"/>
      <c r="T103" s="224"/>
    </row>
    <row r="104" spans="7:20" hidden="1">
      <c r="G104" s="36"/>
      <c r="P104" s="41"/>
      <c r="R104" s="223"/>
      <c r="T104" s="224"/>
    </row>
    <row r="105" spans="7:20" hidden="1">
      <c r="G105" s="36"/>
      <c r="P105" s="41"/>
      <c r="R105" s="223"/>
      <c r="T105" s="224"/>
    </row>
    <row r="106" spans="7:20" hidden="1">
      <c r="G106" s="36"/>
      <c r="P106" s="41"/>
      <c r="R106" s="223"/>
      <c r="T106" s="224"/>
    </row>
    <row r="107" spans="7:20" hidden="1">
      <c r="G107" s="36"/>
      <c r="P107" s="41"/>
      <c r="R107" s="223"/>
      <c r="T107" s="224"/>
    </row>
    <row r="108" spans="7:20" hidden="1">
      <c r="G108" s="36"/>
      <c r="P108" s="41"/>
      <c r="R108" s="223"/>
      <c r="T108" s="224"/>
    </row>
    <row r="109" spans="7:20" hidden="1">
      <c r="G109" s="36"/>
      <c r="P109" s="41"/>
      <c r="R109" s="223"/>
      <c r="T109" s="224"/>
    </row>
    <row r="110" spans="7:20" hidden="1">
      <c r="G110" s="36"/>
      <c r="P110" s="41"/>
      <c r="R110" s="223"/>
      <c r="T110" s="224"/>
    </row>
    <row r="111" spans="7:20" hidden="1">
      <c r="G111" s="36"/>
      <c r="P111" s="41"/>
      <c r="R111" s="223"/>
      <c r="T111" s="224"/>
    </row>
    <row r="112" spans="7:20" hidden="1">
      <c r="G112" s="36"/>
      <c r="P112" s="41"/>
      <c r="R112" s="223"/>
      <c r="T112" s="224"/>
    </row>
    <row r="113" spans="7:20" hidden="1">
      <c r="G113" s="36"/>
      <c r="P113" s="41"/>
      <c r="R113" s="223"/>
      <c r="T113" s="224"/>
    </row>
    <row r="114" spans="7:20" hidden="1">
      <c r="G114" s="36"/>
      <c r="P114" s="41"/>
      <c r="R114" s="223"/>
      <c r="T114" s="224"/>
    </row>
    <row r="115" spans="7:20" hidden="1">
      <c r="G115" s="36"/>
      <c r="P115" s="41"/>
      <c r="R115" s="223"/>
      <c r="T115" s="224"/>
    </row>
    <row r="116" spans="7:20" hidden="1">
      <c r="G116" s="36"/>
      <c r="P116" s="41"/>
      <c r="R116" s="223"/>
      <c r="T116" s="224"/>
    </row>
    <row r="117" spans="7:20" hidden="1">
      <c r="G117" s="36"/>
      <c r="P117" s="41"/>
      <c r="R117" s="223"/>
      <c r="T117" s="224"/>
    </row>
    <row r="118" spans="7:20" hidden="1">
      <c r="G118" s="36"/>
      <c r="P118" s="41"/>
      <c r="R118" s="223"/>
      <c r="T118" s="224"/>
    </row>
    <row r="119" spans="7:20" hidden="1">
      <c r="G119" s="36"/>
      <c r="P119" s="41"/>
      <c r="R119" s="223"/>
      <c r="T119" s="224"/>
    </row>
    <row r="120" spans="7:20" hidden="1">
      <c r="G120" s="36"/>
      <c r="P120" s="41"/>
      <c r="R120" s="223"/>
      <c r="T120" s="224"/>
    </row>
    <row r="121" spans="7:20" hidden="1">
      <c r="G121" s="36"/>
      <c r="P121" s="41"/>
      <c r="R121" s="223"/>
      <c r="T121" s="224"/>
    </row>
    <row r="122" spans="7:20" hidden="1">
      <c r="G122" s="36"/>
      <c r="P122" s="41"/>
      <c r="R122" s="223"/>
      <c r="T122" s="224"/>
    </row>
    <row r="123" spans="7:20" hidden="1">
      <c r="G123" s="36"/>
      <c r="P123" s="41"/>
      <c r="R123" s="223"/>
      <c r="T123" s="224"/>
    </row>
    <row r="124" spans="7:20" hidden="1">
      <c r="G124" s="36"/>
      <c r="P124" s="41"/>
      <c r="R124" s="223"/>
      <c r="T124" s="224"/>
    </row>
    <row r="125" spans="7:20" hidden="1">
      <c r="G125" s="36"/>
      <c r="P125" s="41"/>
      <c r="R125" s="223"/>
      <c r="T125" s="224"/>
    </row>
    <row r="126" spans="7:20" hidden="1">
      <c r="G126" s="36"/>
      <c r="P126" s="41"/>
      <c r="R126" s="223"/>
      <c r="T126" s="224"/>
    </row>
    <row r="127" spans="7:20" hidden="1">
      <c r="G127" s="36"/>
      <c r="P127" s="41"/>
      <c r="R127" s="223"/>
      <c r="T127" s="224"/>
    </row>
    <row r="128" spans="7:20" hidden="1">
      <c r="G128" s="36"/>
      <c r="P128" s="41"/>
      <c r="R128" s="223"/>
      <c r="T128" s="224"/>
    </row>
    <row r="129" spans="7:20" hidden="1">
      <c r="G129" s="36"/>
      <c r="P129" s="41"/>
      <c r="R129" s="223"/>
      <c r="T129" s="224"/>
    </row>
    <row r="130" spans="7:20" hidden="1">
      <c r="G130" s="36"/>
      <c r="P130" s="41"/>
      <c r="R130" s="223"/>
      <c r="T130" s="224"/>
    </row>
    <row r="131" spans="7:20" hidden="1">
      <c r="G131" s="36"/>
      <c r="P131" s="41"/>
      <c r="R131" s="223"/>
      <c r="T131" s="224"/>
    </row>
    <row r="132" spans="7:20" hidden="1">
      <c r="G132" s="36"/>
      <c r="P132" s="41"/>
      <c r="R132" s="223"/>
      <c r="T132" s="224"/>
    </row>
    <row r="133" spans="7:20" hidden="1">
      <c r="G133" s="36"/>
      <c r="P133" s="41"/>
      <c r="R133" s="223"/>
      <c r="T133" s="224"/>
    </row>
    <row r="134" spans="7:20" hidden="1">
      <c r="G134" s="36"/>
      <c r="P134" s="41"/>
      <c r="R134" s="223"/>
      <c r="T134" s="224"/>
    </row>
    <row r="135" spans="7:20" hidden="1">
      <c r="G135" s="36"/>
      <c r="P135" s="41"/>
      <c r="R135" s="223"/>
      <c r="T135" s="224"/>
    </row>
    <row r="136" spans="7:20" hidden="1">
      <c r="G136" s="36"/>
      <c r="P136" s="41"/>
      <c r="R136" s="223"/>
      <c r="T136" s="224"/>
    </row>
    <row r="137" spans="7:20" hidden="1">
      <c r="G137" s="36"/>
      <c r="P137" s="41"/>
      <c r="R137" s="223"/>
      <c r="T137" s="224"/>
    </row>
    <row r="138" spans="7:20" hidden="1">
      <c r="G138" s="36"/>
      <c r="P138" s="41"/>
      <c r="R138" s="223"/>
      <c r="T138" s="224"/>
    </row>
    <row r="139" spans="7:20" hidden="1">
      <c r="G139" s="36"/>
      <c r="P139" s="41"/>
      <c r="R139" s="223"/>
      <c r="T139" s="224"/>
    </row>
    <row r="140" spans="7:20" hidden="1">
      <c r="G140" s="36"/>
      <c r="P140" s="41"/>
      <c r="R140" s="223"/>
      <c r="T140" s="224"/>
    </row>
    <row r="141" spans="7:20" hidden="1">
      <c r="G141" s="36"/>
      <c r="P141" s="41"/>
      <c r="R141" s="223"/>
      <c r="T141" s="224"/>
    </row>
    <row r="142" spans="7:20" hidden="1">
      <c r="G142" s="36"/>
      <c r="P142" s="41"/>
      <c r="R142" s="223"/>
      <c r="T142" s="224"/>
    </row>
    <row r="143" spans="7:20" hidden="1">
      <c r="G143" s="36"/>
      <c r="P143" s="41"/>
      <c r="R143" s="223"/>
      <c r="T143" s="224"/>
    </row>
    <row r="144" spans="7:20" hidden="1">
      <c r="G144" s="36"/>
      <c r="P144" s="41"/>
      <c r="R144" s="223"/>
      <c r="T144" s="224"/>
    </row>
    <row r="145" spans="7:20" hidden="1">
      <c r="G145" s="36"/>
      <c r="P145" s="41"/>
      <c r="R145" s="223"/>
      <c r="T145" s="224"/>
    </row>
    <row r="146" spans="7:20" hidden="1">
      <c r="G146" s="36"/>
      <c r="P146" s="41"/>
      <c r="R146" s="223"/>
      <c r="T146" s="224"/>
    </row>
    <row r="147" spans="7:20" hidden="1">
      <c r="G147" s="36"/>
      <c r="P147" s="41"/>
      <c r="R147" s="223"/>
      <c r="T147" s="224"/>
    </row>
    <row r="148" spans="7:20" hidden="1">
      <c r="G148" s="36"/>
      <c r="P148" s="41"/>
      <c r="R148" s="223"/>
      <c r="T148" s="224"/>
    </row>
    <row r="149" spans="7:20" hidden="1">
      <c r="G149" s="36"/>
      <c r="P149" s="41"/>
      <c r="R149" s="223"/>
      <c r="T149" s="224"/>
    </row>
    <row r="150" spans="7:20" hidden="1">
      <c r="G150" s="36"/>
      <c r="P150" s="41"/>
      <c r="R150" s="223"/>
      <c r="T150" s="224"/>
    </row>
    <row r="151" spans="7:20" hidden="1">
      <c r="G151" s="36"/>
      <c r="P151" s="41"/>
      <c r="R151" s="223"/>
      <c r="T151" s="224"/>
    </row>
    <row r="152" spans="7:20" hidden="1">
      <c r="G152" s="36"/>
      <c r="P152" s="41"/>
      <c r="R152" s="223"/>
      <c r="T152" s="224"/>
    </row>
    <row r="153" spans="7:20" hidden="1">
      <c r="G153" s="36"/>
      <c r="P153" s="41"/>
      <c r="R153" s="223"/>
      <c r="T153" s="224"/>
    </row>
    <row r="154" spans="7:20" hidden="1">
      <c r="G154" s="36"/>
      <c r="P154" s="41"/>
      <c r="R154" s="223"/>
      <c r="T154" s="224"/>
    </row>
    <row r="155" spans="7:20" hidden="1">
      <c r="G155" s="36"/>
      <c r="P155" s="41"/>
      <c r="R155" s="223"/>
      <c r="T155" s="224"/>
    </row>
    <row r="156" spans="7:20" hidden="1">
      <c r="G156" s="36"/>
      <c r="P156" s="41"/>
      <c r="R156" s="223"/>
      <c r="T156" s="224"/>
    </row>
    <row r="157" spans="7:20" hidden="1">
      <c r="G157" s="36"/>
      <c r="P157" s="41"/>
      <c r="R157" s="223"/>
      <c r="T157" s="224"/>
    </row>
    <row r="158" spans="7:20" hidden="1">
      <c r="G158" s="36"/>
      <c r="P158" s="41"/>
      <c r="R158" s="223"/>
      <c r="T158" s="224"/>
    </row>
    <row r="159" spans="7:20" hidden="1">
      <c r="G159" s="36"/>
      <c r="P159" s="41"/>
      <c r="R159" s="223"/>
      <c r="T159" s="224"/>
    </row>
    <row r="160" spans="7:20" hidden="1">
      <c r="G160" s="36"/>
      <c r="P160" s="41"/>
      <c r="R160" s="223"/>
      <c r="T160" s="224"/>
    </row>
    <row r="161" spans="7:20" hidden="1">
      <c r="G161" s="36"/>
      <c r="P161" s="41"/>
      <c r="R161" s="223"/>
      <c r="T161" s="224"/>
    </row>
    <row r="162" spans="7:20" hidden="1">
      <c r="G162" s="36"/>
      <c r="P162" s="41"/>
      <c r="R162" s="223"/>
      <c r="T162" s="224"/>
    </row>
    <row r="163" spans="7:20" hidden="1">
      <c r="G163" s="36"/>
      <c r="P163" s="41"/>
      <c r="R163" s="223"/>
      <c r="T163" s="224"/>
    </row>
    <row r="164" spans="7:20" hidden="1">
      <c r="G164" s="36"/>
      <c r="P164" s="41"/>
      <c r="R164" s="223"/>
      <c r="T164" s="224"/>
    </row>
    <row r="165" spans="7:20" hidden="1">
      <c r="G165" s="36"/>
      <c r="P165" s="41"/>
      <c r="R165" s="223"/>
      <c r="T165" s="224"/>
    </row>
    <row r="166" spans="7:20" hidden="1">
      <c r="G166" s="36"/>
      <c r="P166" s="41"/>
      <c r="R166" s="223"/>
      <c r="T166" s="224"/>
    </row>
    <row r="167" spans="7:20" hidden="1">
      <c r="G167" s="36"/>
      <c r="P167" s="41"/>
      <c r="R167" s="223"/>
      <c r="T167" s="224"/>
    </row>
    <row r="168" spans="7:20" hidden="1">
      <c r="G168" s="36"/>
      <c r="P168" s="41"/>
      <c r="R168" s="223"/>
      <c r="T168" s="224"/>
    </row>
    <row r="169" spans="7:20" hidden="1">
      <c r="G169" s="36"/>
      <c r="P169" s="41"/>
      <c r="R169" s="223"/>
      <c r="T169" s="224"/>
    </row>
    <row r="170" spans="7:20" hidden="1">
      <c r="G170" s="36"/>
      <c r="P170" s="41"/>
      <c r="R170" s="223"/>
      <c r="T170" s="224"/>
    </row>
    <row r="171" spans="7:20" hidden="1">
      <c r="G171" s="36"/>
      <c r="P171" s="41"/>
      <c r="R171" s="223"/>
      <c r="T171" s="224"/>
    </row>
    <row r="172" spans="7:20" hidden="1">
      <c r="G172" s="36"/>
      <c r="P172" s="41"/>
      <c r="R172" s="223"/>
      <c r="T172" s="224"/>
    </row>
    <row r="173" spans="7:20" hidden="1">
      <c r="G173" s="36"/>
      <c r="P173" s="41"/>
      <c r="R173" s="223"/>
      <c r="T173" s="224"/>
    </row>
    <row r="174" spans="7:20" hidden="1">
      <c r="G174" s="36"/>
      <c r="P174" s="41"/>
      <c r="R174" s="223"/>
      <c r="T174" s="224"/>
    </row>
    <row r="175" spans="7:20" hidden="1">
      <c r="G175" s="36"/>
      <c r="P175" s="41"/>
      <c r="R175" s="223"/>
      <c r="T175" s="224"/>
    </row>
    <row r="176" spans="7:20" hidden="1">
      <c r="G176" s="36"/>
      <c r="P176" s="41"/>
      <c r="R176" s="223"/>
      <c r="T176" s="224"/>
    </row>
    <row r="177" spans="7:20" hidden="1">
      <c r="G177" s="36"/>
      <c r="P177" s="41"/>
      <c r="R177" s="223"/>
      <c r="T177" s="224"/>
    </row>
    <row r="178" spans="7:20" hidden="1">
      <c r="G178" s="36"/>
      <c r="P178" s="41"/>
      <c r="R178" s="223"/>
      <c r="T178" s="224"/>
    </row>
    <row r="179" spans="7:20" hidden="1">
      <c r="G179" s="36"/>
      <c r="P179" s="41"/>
      <c r="R179" s="223"/>
      <c r="T179" s="224"/>
    </row>
    <row r="180" spans="7:20" hidden="1">
      <c r="G180" s="36"/>
      <c r="P180" s="41"/>
      <c r="R180" s="223"/>
      <c r="T180" s="224"/>
    </row>
    <row r="181" spans="7:20" hidden="1">
      <c r="G181" s="36"/>
      <c r="P181" s="41"/>
      <c r="R181" s="223"/>
      <c r="T181" s="224"/>
    </row>
    <row r="182" spans="7:20" hidden="1">
      <c r="G182" s="36"/>
      <c r="P182" s="41"/>
      <c r="R182" s="223"/>
      <c r="T182" s="224"/>
    </row>
    <row r="183" spans="7:20" hidden="1">
      <c r="G183" s="36"/>
      <c r="P183" s="41"/>
      <c r="R183" s="223"/>
      <c r="T183" s="224"/>
    </row>
    <row r="184" spans="7:20" hidden="1">
      <c r="G184" s="36"/>
      <c r="P184" s="41"/>
      <c r="R184" s="223"/>
      <c r="T184" s="224"/>
    </row>
    <row r="185" spans="7:20" hidden="1">
      <c r="G185" s="36"/>
      <c r="P185" s="41"/>
      <c r="R185" s="223"/>
      <c r="T185" s="224"/>
    </row>
    <row r="186" spans="7:20" hidden="1">
      <c r="G186" s="36"/>
      <c r="P186" s="41"/>
      <c r="R186" s="223"/>
      <c r="T186" s="224"/>
    </row>
    <row r="187" spans="7:20" hidden="1">
      <c r="G187" s="36"/>
      <c r="P187" s="41"/>
      <c r="R187" s="223"/>
      <c r="T187" s="224"/>
    </row>
    <row r="188" spans="7:20" hidden="1">
      <c r="G188" s="36"/>
      <c r="P188" s="41"/>
      <c r="R188" s="223"/>
      <c r="T188" s="224"/>
    </row>
    <row r="189" spans="7:20" hidden="1">
      <c r="G189" s="36"/>
      <c r="P189" s="41"/>
      <c r="R189" s="223"/>
      <c r="T189" s="224"/>
    </row>
    <row r="190" spans="7:20" hidden="1">
      <c r="G190" s="36"/>
      <c r="P190" s="41"/>
      <c r="R190" s="223"/>
      <c r="T190" s="224"/>
    </row>
    <row r="191" spans="7:20" hidden="1">
      <c r="G191" s="36"/>
      <c r="P191" s="41"/>
      <c r="R191" s="223"/>
      <c r="T191" s="224"/>
    </row>
    <row r="192" spans="7:20" hidden="1">
      <c r="G192" s="36"/>
      <c r="P192" s="41"/>
      <c r="R192" s="223"/>
      <c r="T192" s="224"/>
    </row>
    <row r="193" spans="7:20" hidden="1">
      <c r="G193" s="36"/>
      <c r="P193" s="41"/>
      <c r="R193" s="223"/>
      <c r="T193" s="224"/>
    </row>
    <row r="194" spans="7:20" hidden="1">
      <c r="G194" s="36"/>
      <c r="P194" s="41"/>
      <c r="R194" s="223"/>
      <c r="T194" s="224"/>
    </row>
    <row r="195" spans="7:20" hidden="1">
      <c r="G195" s="36"/>
      <c r="P195" s="41"/>
      <c r="R195" s="223"/>
      <c r="T195" s="224"/>
    </row>
    <row r="196" spans="7:20" hidden="1">
      <c r="G196" s="36"/>
      <c r="P196" s="41"/>
      <c r="R196" s="223"/>
      <c r="T196" s="224"/>
    </row>
    <row r="197" spans="7:20" hidden="1">
      <c r="G197" s="36"/>
      <c r="P197" s="41"/>
      <c r="R197" s="223"/>
      <c r="T197" s="224"/>
    </row>
    <row r="198" spans="7:20" hidden="1">
      <c r="G198" s="36"/>
      <c r="P198" s="41"/>
      <c r="R198" s="223"/>
      <c r="T198" s="224"/>
    </row>
    <row r="199" spans="7:20" hidden="1">
      <c r="G199" s="36"/>
      <c r="P199" s="41"/>
      <c r="R199" s="223"/>
      <c r="T199" s="224"/>
    </row>
    <row r="200" spans="7:20" hidden="1">
      <c r="G200" s="36"/>
      <c r="P200" s="41"/>
      <c r="R200" s="223"/>
      <c r="T200" s="224"/>
    </row>
    <row r="201" spans="7:20" hidden="1">
      <c r="G201" s="36"/>
      <c r="P201" s="41"/>
      <c r="R201" s="223"/>
      <c r="T201" s="224"/>
    </row>
    <row r="202" spans="7:20" hidden="1">
      <c r="G202" s="36"/>
      <c r="P202" s="41"/>
      <c r="R202" s="223"/>
      <c r="T202" s="224"/>
    </row>
    <row r="203" spans="7:20" hidden="1">
      <c r="G203" s="36"/>
      <c r="P203" s="41"/>
      <c r="R203" s="223"/>
      <c r="T203" s="224"/>
    </row>
    <row r="204" spans="7:20" hidden="1">
      <c r="G204" s="36"/>
      <c r="P204" s="41"/>
      <c r="R204" s="223"/>
      <c r="T204" s="224"/>
    </row>
    <row r="205" spans="7:20" hidden="1">
      <c r="G205" s="36"/>
      <c r="P205" s="41"/>
      <c r="R205" s="223"/>
      <c r="T205" s="224"/>
    </row>
    <row r="206" spans="7:20" hidden="1">
      <c r="G206" s="36"/>
      <c r="P206" s="41"/>
      <c r="R206" s="223"/>
      <c r="T206" s="224"/>
    </row>
    <row r="207" spans="7:20" hidden="1">
      <c r="G207" s="36"/>
      <c r="P207" s="41"/>
      <c r="R207" s="223"/>
      <c r="T207" s="224"/>
    </row>
    <row r="208" spans="7:20" hidden="1">
      <c r="G208" s="36"/>
      <c r="P208" s="41"/>
      <c r="R208" s="223"/>
      <c r="T208" s="224"/>
    </row>
    <row r="209" spans="7:20" hidden="1">
      <c r="G209" s="36"/>
      <c r="P209" s="41"/>
      <c r="R209" s="223"/>
      <c r="T209" s="224"/>
    </row>
    <row r="210" spans="7:20" hidden="1">
      <c r="G210" s="36"/>
      <c r="P210" s="41"/>
      <c r="R210" s="223"/>
      <c r="T210" s="224"/>
    </row>
    <row r="211" spans="7:20" hidden="1">
      <c r="G211" s="36"/>
      <c r="P211" s="41"/>
      <c r="R211" s="223"/>
      <c r="T211" s="224"/>
    </row>
    <row r="212" spans="7:20" hidden="1">
      <c r="G212" s="36"/>
      <c r="P212" s="41"/>
      <c r="R212" s="223"/>
      <c r="T212" s="224"/>
    </row>
    <row r="213" spans="7:20" hidden="1">
      <c r="G213" s="36"/>
      <c r="P213" s="41"/>
      <c r="R213" s="223"/>
      <c r="T213" s="224"/>
    </row>
    <row r="214" spans="7:20" hidden="1">
      <c r="G214" s="36"/>
      <c r="P214" s="41"/>
      <c r="R214" s="223"/>
      <c r="T214" s="224"/>
    </row>
    <row r="215" spans="7:20" hidden="1">
      <c r="G215" s="36"/>
      <c r="P215" s="41"/>
      <c r="R215" s="223"/>
      <c r="T215" s="224"/>
    </row>
    <row r="216" spans="7:20" hidden="1">
      <c r="G216" s="36"/>
      <c r="P216" s="41"/>
      <c r="R216" s="223"/>
      <c r="T216" s="224"/>
    </row>
    <row r="217" spans="7:20" hidden="1">
      <c r="G217" s="36"/>
      <c r="P217" s="41"/>
      <c r="R217" s="223"/>
      <c r="T217" s="224"/>
    </row>
    <row r="218" spans="7:20" hidden="1">
      <c r="G218" s="36"/>
      <c r="P218" s="41"/>
      <c r="R218" s="223"/>
      <c r="T218" s="224"/>
    </row>
    <row r="219" spans="7:20" hidden="1">
      <c r="G219" s="36"/>
      <c r="P219" s="41"/>
      <c r="R219" s="223"/>
      <c r="T219" s="224"/>
    </row>
    <row r="220" spans="7:20" hidden="1">
      <c r="G220" s="36"/>
      <c r="P220" s="41"/>
      <c r="R220" s="223"/>
      <c r="T220" s="224"/>
    </row>
    <row r="221" spans="7:20" hidden="1">
      <c r="G221" s="36"/>
      <c r="P221" s="41"/>
      <c r="R221" s="223"/>
      <c r="T221" s="224"/>
    </row>
    <row r="222" spans="7:20" hidden="1">
      <c r="G222" s="36"/>
      <c r="P222" s="41"/>
      <c r="R222" s="223"/>
      <c r="T222" s="224"/>
    </row>
    <row r="223" spans="7:20" hidden="1">
      <c r="G223" s="36"/>
      <c r="P223" s="41"/>
      <c r="R223" s="223"/>
      <c r="T223" s="224"/>
    </row>
    <row r="224" spans="7:20" hidden="1">
      <c r="G224" s="36"/>
      <c r="P224" s="41"/>
      <c r="R224" s="223"/>
      <c r="T224" s="224"/>
    </row>
    <row r="225" spans="7:20" hidden="1">
      <c r="G225" s="36"/>
      <c r="P225" s="41"/>
      <c r="R225" s="223"/>
      <c r="T225" s="224"/>
    </row>
    <row r="226" spans="7:20" hidden="1">
      <c r="G226" s="36"/>
      <c r="P226" s="41"/>
      <c r="R226" s="223"/>
      <c r="T226" s="224"/>
    </row>
    <row r="227" spans="7:20" hidden="1">
      <c r="G227" s="36"/>
      <c r="P227" s="41"/>
      <c r="R227" s="223"/>
      <c r="T227" s="224"/>
    </row>
    <row r="228" spans="7:20" hidden="1">
      <c r="G228" s="36"/>
      <c r="P228" s="41"/>
      <c r="R228" s="223"/>
      <c r="T228" s="224"/>
    </row>
    <row r="229" spans="7:20" hidden="1">
      <c r="G229" s="36"/>
      <c r="P229" s="41"/>
      <c r="R229" s="223"/>
      <c r="T229" s="224"/>
    </row>
    <row r="230" spans="7:20" hidden="1">
      <c r="G230" s="36"/>
      <c r="P230" s="41"/>
      <c r="R230" s="223"/>
      <c r="T230" s="224"/>
    </row>
    <row r="231" spans="7:20" hidden="1">
      <c r="G231" s="36"/>
      <c r="P231" s="41"/>
      <c r="R231" s="223"/>
      <c r="T231" s="224"/>
    </row>
    <row r="232" spans="7:20" hidden="1">
      <c r="G232" s="36"/>
      <c r="P232" s="41"/>
      <c r="R232" s="223"/>
      <c r="T232" s="224"/>
    </row>
    <row r="233" spans="7:20" hidden="1">
      <c r="G233" s="36"/>
      <c r="P233" s="41"/>
      <c r="R233" s="223"/>
      <c r="T233" s="224"/>
    </row>
    <row r="234" spans="7:20" hidden="1">
      <c r="G234" s="36"/>
      <c r="P234" s="41"/>
      <c r="R234" s="223"/>
      <c r="T234" s="224"/>
    </row>
    <row r="235" spans="7:20" hidden="1">
      <c r="G235" s="36"/>
      <c r="P235" s="41"/>
      <c r="R235" s="223"/>
      <c r="T235" s="224"/>
    </row>
    <row r="236" spans="7:20" hidden="1">
      <c r="G236" s="36"/>
      <c r="P236" s="41"/>
      <c r="R236" s="223"/>
      <c r="T236" s="224"/>
    </row>
    <row r="237" spans="7:20" hidden="1">
      <c r="G237" s="36"/>
      <c r="P237" s="41"/>
      <c r="R237" s="223"/>
      <c r="T237" s="224"/>
    </row>
    <row r="238" spans="7:20" hidden="1">
      <c r="G238" s="36"/>
      <c r="P238" s="41"/>
      <c r="R238" s="223"/>
      <c r="T238" s="224"/>
    </row>
    <row r="239" spans="7:20" hidden="1">
      <c r="G239" s="36"/>
      <c r="P239" s="41"/>
      <c r="R239" s="223"/>
      <c r="T239" s="224"/>
    </row>
    <row r="240" spans="7:20" hidden="1">
      <c r="G240" s="36"/>
      <c r="P240" s="41"/>
      <c r="R240" s="223"/>
      <c r="T240" s="224"/>
    </row>
    <row r="241" spans="7:20" hidden="1">
      <c r="G241" s="36"/>
      <c r="P241" s="41"/>
      <c r="R241" s="223"/>
      <c r="T241" s="224"/>
    </row>
    <row r="242" spans="7:20" hidden="1">
      <c r="G242" s="36"/>
      <c r="P242" s="41"/>
      <c r="R242" s="223"/>
      <c r="T242" s="224"/>
    </row>
    <row r="243" spans="7:20" hidden="1">
      <c r="G243" s="36"/>
      <c r="P243" s="41"/>
      <c r="R243" s="223"/>
      <c r="T243" s="224"/>
    </row>
    <row r="244" spans="7:20" hidden="1">
      <c r="G244" s="36"/>
      <c r="P244" s="41"/>
      <c r="R244" s="223"/>
      <c r="T244" s="224"/>
    </row>
    <row r="245" spans="7:20" hidden="1">
      <c r="G245" s="36"/>
      <c r="P245" s="41"/>
      <c r="R245" s="223"/>
      <c r="T245" s="224"/>
    </row>
    <row r="246" spans="7:20" hidden="1">
      <c r="G246" s="36"/>
      <c r="P246" s="41"/>
      <c r="R246" s="223"/>
      <c r="T246" s="224"/>
    </row>
    <row r="247" spans="7:20" hidden="1">
      <c r="G247" s="36"/>
      <c r="P247" s="41"/>
      <c r="R247" s="223"/>
      <c r="T247" s="224"/>
    </row>
    <row r="248" spans="7:20" hidden="1">
      <c r="G248" s="36"/>
      <c r="P248" s="41"/>
      <c r="R248" s="223"/>
      <c r="T248" s="224"/>
    </row>
    <row r="249" spans="7:20" hidden="1">
      <c r="G249" s="36"/>
      <c r="P249" s="41"/>
      <c r="R249" s="223"/>
      <c r="T249" s="224"/>
    </row>
    <row r="250" spans="7:20" hidden="1">
      <c r="G250" s="36"/>
      <c r="P250" s="41"/>
      <c r="R250" s="223"/>
      <c r="T250" s="224"/>
    </row>
    <row r="251" spans="7:20" hidden="1">
      <c r="G251" s="36"/>
      <c r="P251" s="41"/>
      <c r="R251" s="223"/>
      <c r="T251" s="224"/>
    </row>
    <row r="252" spans="7:20" hidden="1">
      <c r="G252" s="36"/>
      <c r="P252" s="41"/>
      <c r="R252" s="223"/>
      <c r="T252" s="224"/>
    </row>
    <row r="253" spans="7:20" hidden="1">
      <c r="G253" s="36"/>
      <c r="P253" s="41"/>
      <c r="R253" s="223"/>
      <c r="T253" s="224"/>
    </row>
    <row r="254" spans="7:20" hidden="1">
      <c r="G254" s="36"/>
      <c r="P254" s="41"/>
      <c r="R254" s="223"/>
      <c r="T254" s="224"/>
    </row>
    <row r="255" spans="7:20" hidden="1">
      <c r="G255" s="36"/>
      <c r="P255" s="41"/>
      <c r="R255" s="223"/>
      <c r="T255" s="224"/>
    </row>
    <row r="256" spans="7:20" hidden="1">
      <c r="G256" s="36"/>
      <c r="P256" s="41"/>
      <c r="R256" s="223"/>
      <c r="T256" s="224"/>
    </row>
    <row r="257" spans="7:20" hidden="1">
      <c r="G257" s="36"/>
      <c r="P257" s="41"/>
      <c r="R257" s="223"/>
      <c r="T257" s="224"/>
    </row>
    <row r="258" spans="7:20" hidden="1">
      <c r="G258" s="36"/>
      <c r="P258" s="41"/>
      <c r="R258" s="223"/>
      <c r="T258" s="224"/>
    </row>
    <row r="259" spans="7:20" hidden="1">
      <c r="G259" s="36"/>
      <c r="P259" s="41"/>
      <c r="R259" s="223"/>
      <c r="T259" s="224"/>
    </row>
    <row r="260" spans="7:20" hidden="1">
      <c r="G260" s="36"/>
      <c r="P260" s="41"/>
      <c r="R260" s="223"/>
      <c r="T260" s="224"/>
    </row>
    <row r="261" spans="7:20" hidden="1">
      <c r="G261" s="36"/>
      <c r="P261" s="41"/>
      <c r="R261" s="223"/>
      <c r="T261" s="224"/>
    </row>
    <row r="262" spans="7:20" hidden="1">
      <c r="G262" s="36"/>
      <c r="P262" s="41"/>
      <c r="R262" s="223"/>
      <c r="T262" s="224"/>
    </row>
    <row r="263" spans="7:20" hidden="1">
      <c r="G263" s="36"/>
      <c r="P263" s="41"/>
      <c r="R263" s="223"/>
      <c r="T263" s="224"/>
    </row>
    <row r="264" spans="7:20" hidden="1">
      <c r="G264" s="36"/>
      <c r="P264" s="41"/>
      <c r="R264" s="223"/>
      <c r="T264" s="224"/>
    </row>
    <row r="265" spans="7:20" hidden="1">
      <c r="G265" s="36"/>
      <c r="P265" s="41"/>
      <c r="R265" s="223"/>
      <c r="T265" s="224"/>
    </row>
    <row r="266" spans="7:20" hidden="1">
      <c r="G266" s="36"/>
      <c r="P266" s="41"/>
      <c r="R266" s="223"/>
      <c r="T266" s="224"/>
    </row>
    <row r="267" spans="7:20" hidden="1">
      <c r="G267" s="36"/>
      <c r="P267" s="41"/>
      <c r="R267" s="223"/>
      <c r="T267" s="224"/>
    </row>
    <row r="268" spans="7:20" hidden="1">
      <c r="G268" s="36"/>
      <c r="P268" s="41"/>
      <c r="R268" s="223"/>
      <c r="T268" s="224"/>
    </row>
    <row r="269" spans="7:20" hidden="1">
      <c r="G269" s="36"/>
      <c r="P269" s="41"/>
      <c r="R269" s="223"/>
      <c r="T269" s="224"/>
    </row>
    <row r="270" spans="7:20" hidden="1">
      <c r="G270" s="36"/>
      <c r="P270" s="41"/>
      <c r="R270" s="223"/>
      <c r="T270" s="224"/>
    </row>
    <row r="271" spans="7:20" hidden="1">
      <c r="G271" s="36"/>
      <c r="P271" s="41"/>
      <c r="R271" s="223"/>
      <c r="T271" s="224"/>
    </row>
    <row r="272" spans="7:20" hidden="1">
      <c r="G272" s="36"/>
      <c r="P272" s="41"/>
      <c r="R272" s="223"/>
      <c r="T272" s="224"/>
    </row>
    <row r="273" spans="7:20" hidden="1">
      <c r="G273" s="36"/>
      <c r="P273" s="41"/>
      <c r="R273" s="223"/>
      <c r="T273" s="224"/>
    </row>
    <row r="274" spans="7:20" hidden="1">
      <c r="G274" s="36"/>
      <c r="P274" s="41"/>
      <c r="R274" s="223"/>
      <c r="T274" s="224"/>
    </row>
    <row r="275" spans="7:20" hidden="1">
      <c r="G275" s="36"/>
      <c r="P275" s="41"/>
      <c r="R275" s="223"/>
      <c r="T275" s="224"/>
    </row>
    <row r="276" spans="7:20" hidden="1">
      <c r="G276" s="36"/>
      <c r="P276" s="41"/>
      <c r="R276" s="223"/>
      <c r="T276" s="224"/>
    </row>
    <row r="277" spans="7:20" hidden="1">
      <c r="G277" s="36"/>
      <c r="P277" s="41"/>
      <c r="R277" s="223"/>
      <c r="T277" s="224"/>
    </row>
    <row r="278" spans="7:20" hidden="1">
      <c r="G278" s="36"/>
      <c r="P278" s="41"/>
      <c r="R278" s="223"/>
      <c r="T278" s="224"/>
    </row>
    <row r="279" spans="7:20" hidden="1">
      <c r="G279" s="36"/>
      <c r="P279" s="41"/>
      <c r="R279" s="223"/>
      <c r="T279" s="224"/>
    </row>
    <row r="280" spans="7:20" hidden="1">
      <c r="G280" s="36"/>
      <c r="P280" s="41"/>
      <c r="R280" s="223"/>
      <c r="T280" s="224"/>
    </row>
    <row r="281" spans="7:20" hidden="1">
      <c r="G281" s="36"/>
      <c r="P281" s="41"/>
      <c r="R281" s="223"/>
      <c r="T281" s="224"/>
    </row>
    <row r="282" spans="7:20" hidden="1">
      <c r="G282" s="36"/>
      <c r="P282" s="41"/>
      <c r="R282" s="223"/>
      <c r="T282" s="224"/>
    </row>
    <row r="283" spans="7:20" hidden="1">
      <c r="G283" s="36"/>
      <c r="P283" s="41"/>
      <c r="R283" s="223"/>
      <c r="T283" s="224"/>
    </row>
    <row r="284" spans="7:20" hidden="1">
      <c r="G284" s="36"/>
      <c r="P284" s="41"/>
      <c r="R284" s="223"/>
      <c r="T284" s="224"/>
    </row>
    <row r="285" spans="7:20" hidden="1">
      <c r="G285" s="36"/>
      <c r="P285" s="41"/>
      <c r="R285" s="223"/>
      <c r="T285" s="224"/>
    </row>
    <row r="286" spans="7:20" hidden="1">
      <c r="G286" s="36"/>
      <c r="P286" s="41"/>
      <c r="R286" s="223"/>
      <c r="T286" s="224"/>
    </row>
    <row r="287" spans="7:20" hidden="1">
      <c r="G287" s="36"/>
      <c r="P287" s="41"/>
      <c r="R287" s="223"/>
      <c r="T287" s="224"/>
    </row>
    <row r="288" spans="7:20" hidden="1">
      <c r="G288" s="36"/>
      <c r="P288" s="41"/>
      <c r="R288" s="223"/>
      <c r="T288" s="224"/>
    </row>
    <row r="289" spans="7:20" hidden="1">
      <c r="G289" s="36"/>
      <c r="P289" s="41"/>
      <c r="R289" s="223"/>
      <c r="T289" s="224"/>
    </row>
    <row r="290" spans="7:20" hidden="1">
      <c r="G290" s="36"/>
      <c r="P290" s="41"/>
      <c r="R290" s="223"/>
      <c r="T290" s="224"/>
    </row>
    <row r="291" spans="7:20" hidden="1">
      <c r="G291" s="36"/>
      <c r="P291" s="41"/>
      <c r="R291" s="223"/>
      <c r="T291" s="224"/>
    </row>
    <row r="292" spans="7:20" hidden="1">
      <c r="G292" s="36"/>
      <c r="P292" s="41"/>
      <c r="R292" s="223"/>
      <c r="T292" s="224"/>
    </row>
    <row r="293" spans="7:20" hidden="1">
      <c r="G293" s="36"/>
      <c r="P293" s="41"/>
      <c r="R293" s="223"/>
      <c r="T293" s="224"/>
    </row>
    <row r="294" spans="7:20" hidden="1">
      <c r="G294" s="36"/>
      <c r="P294" s="41"/>
      <c r="R294" s="223"/>
      <c r="T294" s="224"/>
    </row>
    <row r="295" spans="7:20" hidden="1">
      <c r="G295" s="36"/>
      <c r="P295" s="41"/>
      <c r="R295" s="223"/>
      <c r="T295" s="224"/>
    </row>
    <row r="296" spans="7:20" hidden="1">
      <c r="G296" s="36"/>
      <c r="P296" s="41"/>
      <c r="R296" s="223"/>
      <c r="T296" s="224"/>
    </row>
    <row r="297" spans="7:20" hidden="1">
      <c r="G297" s="36"/>
      <c r="P297" s="41"/>
      <c r="R297" s="223"/>
      <c r="T297" s="224"/>
    </row>
    <row r="298" spans="7:20" hidden="1">
      <c r="G298" s="36"/>
      <c r="P298" s="41"/>
      <c r="R298" s="223"/>
      <c r="T298" s="224"/>
    </row>
    <row r="299" spans="7:20" hidden="1">
      <c r="G299" s="36"/>
      <c r="P299" s="41"/>
      <c r="R299" s="223"/>
      <c r="T299" s="224"/>
    </row>
    <row r="300" spans="7:20" hidden="1">
      <c r="G300" s="36"/>
      <c r="P300" s="41"/>
      <c r="R300" s="223"/>
      <c r="T300" s="224"/>
    </row>
    <row r="301" spans="7:20" hidden="1">
      <c r="G301" s="36"/>
      <c r="P301" s="41"/>
      <c r="R301" s="223"/>
      <c r="T301" s="224"/>
    </row>
    <row r="302" spans="7:20" hidden="1">
      <c r="G302" s="36"/>
      <c r="P302" s="41"/>
      <c r="R302" s="223"/>
      <c r="T302" s="224"/>
    </row>
    <row r="303" spans="7:20" hidden="1">
      <c r="G303" s="36"/>
      <c r="P303" s="41"/>
      <c r="R303" s="223"/>
      <c r="T303" s="224"/>
    </row>
    <row r="304" spans="7:20" hidden="1">
      <c r="G304" s="36"/>
      <c r="P304" s="41"/>
      <c r="R304" s="223"/>
      <c r="T304" s="224"/>
    </row>
    <row r="305" spans="7:20" hidden="1">
      <c r="G305" s="36"/>
      <c r="P305" s="41"/>
      <c r="R305" s="223"/>
      <c r="T305" s="224"/>
    </row>
    <row r="306" spans="7:20" hidden="1">
      <c r="G306" s="36"/>
      <c r="P306" s="41"/>
      <c r="R306" s="223"/>
      <c r="T306" s="224"/>
    </row>
    <row r="307" spans="7:20" hidden="1">
      <c r="G307" s="36"/>
      <c r="P307" s="41"/>
      <c r="R307" s="223"/>
      <c r="T307" s="224"/>
    </row>
    <row r="308" spans="7:20" hidden="1">
      <c r="G308" s="36"/>
      <c r="P308" s="41"/>
      <c r="R308" s="223"/>
      <c r="T308" s="224"/>
    </row>
    <row r="309" spans="7:20" hidden="1">
      <c r="G309" s="36"/>
      <c r="P309" s="41"/>
      <c r="R309" s="223"/>
      <c r="T309" s="224"/>
    </row>
    <row r="310" spans="7:20" hidden="1">
      <c r="G310" s="36"/>
      <c r="P310" s="41"/>
      <c r="R310" s="223"/>
      <c r="T310" s="224"/>
    </row>
    <row r="311" spans="7:20" hidden="1">
      <c r="G311" s="36"/>
      <c r="P311" s="41"/>
      <c r="R311" s="223"/>
      <c r="T311" s="224"/>
    </row>
    <row r="312" spans="7:20" hidden="1">
      <c r="G312" s="36"/>
      <c r="P312" s="41"/>
      <c r="R312" s="223"/>
      <c r="T312" s="224"/>
    </row>
    <row r="313" spans="7:20" hidden="1">
      <c r="G313" s="36"/>
      <c r="P313" s="41"/>
      <c r="R313" s="223"/>
      <c r="T313" s="224"/>
    </row>
    <row r="314" spans="7:20" hidden="1">
      <c r="G314" s="36"/>
      <c r="P314" s="41"/>
      <c r="R314" s="223"/>
      <c r="T314" s="224"/>
    </row>
    <row r="315" spans="7:20" hidden="1">
      <c r="G315" s="36"/>
      <c r="P315" s="41"/>
      <c r="R315" s="223"/>
      <c r="T315" s="224"/>
    </row>
    <row r="316" spans="7:20" hidden="1">
      <c r="G316" s="36"/>
      <c r="P316" s="41"/>
      <c r="R316" s="223"/>
      <c r="T316" s="224"/>
    </row>
    <row r="317" spans="7:20" hidden="1">
      <c r="G317" s="36"/>
      <c r="P317" s="41"/>
      <c r="R317" s="223"/>
      <c r="T317" s="224"/>
    </row>
    <row r="318" spans="7:20" hidden="1">
      <c r="G318" s="36"/>
      <c r="P318" s="41"/>
      <c r="R318" s="223"/>
      <c r="T318" s="224"/>
    </row>
    <row r="319" spans="7:20" hidden="1">
      <c r="G319" s="36"/>
      <c r="P319" s="41"/>
      <c r="R319" s="223"/>
      <c r="T319" s="224"/>
    </row>
    <row r="320" spans="7:20" hidden="1">
      <c r="G320" s="36"/>
      <c r="P320" s="41"/>
      <c r="R320" s="223"/>
      <c r="T320" s="224"/>
    </row>
    <row r="321" spans="7:20" hidden="1">
      <c r="G321" s="36"/>
      <c r="P321" s="41"/>
      <c r="R321" s="223"/>
      <c r="T321" s="224"/>
    </row>
    <row r="322" spans="7:20" hidden="1">
      <c r="G322" s="36"/>
      <c r="P322" s="41"/>
      <c r="R322" s="223"/>
      <c r="T322" s="224"/>
    </row>
    <row r="323" spans="7:20" hidden="1">
      <c r="G323" s="36"/>
      <c r="P323" s="41"/>
      <c r="R323" s="223"/>
      <c r="T323" s="224"/>
    </row>
    <row r="324" spans="7:20" hidden="1">
      <c r="G324" s="36"/>
      <c r="P324" s="41"/>
      <c r="R324" s="223"/>
      <c r="T324" s="224"/>
    </row>
    <row r="325" spans="7:20" hidden="1">
      <c r="G325" s="36"/>
      <c r="P325" s="41"/>
      <c r="R325" s="223"/>
      <c r="T325" s="224"/>
    </row>
    <row r="326" spans="7:20" hidden="1">
      <c r="G326" s="36"/>
      <c r="P326" s="41"/>
      <c r="R326" s="223"/>
      <c r="T326" s="224"/>
    </row>
    <row r="327" spans="7:20" hidden="1">
      <c r="G327" s="36"/>
      <c r="P327" s="41"/>
      <c r="R327" s="223"/>
      <c r="T327" s="224"/>
    </row>
    <row r="328" spans="7:20" hidden="1">
      <c r="G328" s="36"/>
      <c r="P328" s="41"/>
      <c r="R328" s="223"/>
      <c r="T328" s="224"/>
    </row>
    <row r="329" spans="7:20" hidden="1">
      <c r="G329" s="36"/>
      <c r="P329" s="41"/>
      <c r="R329" s="223"/>
      <c r="T329" s="224"/>
    </row>
    <row r="330" spans="7:20" hidden="1">
      <c r="G330" s="36"/>
      <c r="P330" s="41"/>
      <c r="R330" s="223"/>
      <c r="T330" s="224"/>
    </row>
    <row r="331" spans="7:20" hidden="1">
      <c r="G331" s="36"/>
      <c r="P331" s="41"/>
      <c r="R331" s="223"/>
      <c r="T331" s="224"/>
    </row>
    <row r="332" spans="7:20" hidden="1">
      <c r="G332" s="36"/>
      <c r="P332" s="41"/>
      <c r="R332" s="223"/>
      <c r="T332" s="224"/>
    </row>
    <row r="333" spans="7:20" hidden="1">
      <c r="G333" s="36"/>
      <c r="P333" s="41"/>
      <c r="R333" s="223"/>
      <c r="T333" s="224"/>
    </row>
    <row r="334" spans="7:20" hidden="1">
      <c r="G334" s="36"/>
      <c r="P334" s="41"/>
      <c r="R334" s="223"/>
      <c r="T334" s="224"/>
    </row>
    <row r="335" spans="7:20" hidden="1">
      <c r="G335" s="36"/>
      <c r="P335" s="41"/>
      <c r="R335" s="223"/>
      <c r="T335" s="224"/>
    </row>
    <row r="336" spans="7:20" hidden="1">
      <c r="G336" s="36"/>
      <c r="P336" s="41"/>
      <c r="R336" s="223"/>
      <c r="T336" s="224"/>
    </row>
    <row r="337" spans="7:20" hidden="1">
      <c r="G337" s="36"/>
      <c r="P337" s="41"/>
      <c r="R337" s="223"/>
      <c r="T337" s="224"/>
    </row>
    <row r="338" spans="7:20" hidden="1">
      <c r="G338" s="36"/>
      <c r="P338" s="41"/>
      <c r="R338" s="223"/>
      <c r="T338" s="224"/>
    </row>
    <row r="339" spans="7:20" hidden="1">
      <c r="G339" s="36"/>
      <c r="P339" s="41"/>
      <c r="R339" s="223"/>
      <c r="T339" s="224"/>
    </row>
    <row r="340" spans="7:20" hidden="1">
      <c r="G340" s="36"/>
      <c r="P340" s="41"/>
      <c r="R340" s="223"/>
      <c r="T340" s="224"/>
    </row>
    <row r="341" spans="7:20" hidden="1">
      <c r="G341" s="36"/>
      <c r="P341" s="41"/>
      <c r="R341" s="223"/>
      <c r="T341" s="224"/>
    </row>
    <row r="342" spans="7:20" hidden="1">
      <c r="G342" s="36"/>
      <c r="P342" s="41"/>
      <c r="R342" s="223"/>
      <c r="T342" s="224"/>
    </row>
    <row r="343" spans="7:20" hidden="1">
      <c r="G343" s="36"/>
      <c r="P343" s="41"/>
      <c r="R343" s="223"/>
      <c r="T343" s="224"/>
    </row>
    <row r="344" spans="7:20" hidden="1">
      <c r="G344" s="36"/>
      <c r="P344" s="41"/>
      <c r="R344" s="223"/>
      <c r="T344" s="224"/>
    </row>
    <row r="345" spans="7:20" hidden="1">
      <c r="G345" s="36"/>
      <c r="P345" s="41"/>
      <c r="R345" s="223"/>
      <c r="T345" s="224"/>
    </row>
    <row r="346" spans="7:20" hidden="1">
      <c r="G346" s="36"/>
      <c r="P346" s="41"/>
      <c r="R346" s="223"/>
      <c r="T346" s="224"/>
    </row>
    <row r="347" spans="7:20" hidden="1">
      <c r="G347" s="36"/>
      <c r="P347" s="41"/>
      <c r="R347" s="223"/>
      <c r="T347" s="224"/>
    </row>
    <row r="348" spans="7:20" hidden="1">
      <c r="G348" s="36"/>
      <c r="P348" s="41"/>
      <c r="R348" s="223"/>
      <c r="T348" s="224"/>
    </row>
    <row r="349" spans="7:20" hidden="1">
      <c r="G349" s="36"/>
      <c r="P349" s="41"/>
      <c r="R349" s="223"/>
      <c r="T349" s="224"/>
    </row>
    <row r="350" spans="7:20" hidden="1">
      <c r="G350" s="36"/>
      <c r="P350" s="41"/>
      <c r="R350" s="223"/>
      <c r="T350" s="224"/>
    </row>
    <row r="351" spans="7:20" hidden="1">
      <c r="G351" s="36"/>
      <c r="P351" s="41"/>
      <c r="R351" s="223"/>
      <c r="T351" s="224"/>
    </row>
    <row r="352" spans="7:20" hidden="1">
      <c r="G352" s="36"/>
      <c r="P352" s="41"/>
      <c r="R352" s="223"/>
      <c r="T352" s="224"/>
    </row>
    <row r="353" spans="7:20" hidden="1">
      <c r="G353" s="36"/>
      <c r="P353" s="41"/>
      <c r="R353" s="223"/>
      <c r="T353" s="224"/>
    </row>
    <row r="354" spans="7:20" hidden="1">
      <c r="G354" s="36"/>
      <c r="P354" s="41"/>
      <c r="R354" s="223"/>
      <c r="T354" s="224"/>
    </row>
    <row r="355" spans="7:20" hidden="1">
      <c r="G355" s="36"/>
      <c r="P355" s="41"/>
      <c r="R355" s="223"/>
      <c r="T355" s="224"/>
    </row>
    <row r="356" spans="7:20" hidden="1">
      <c r="G356" s="36"/>
      <c r="P356" s="41"/>
      <c r="R356" s="223"/>
      <c r="T356" s="224"/>
    </row>
    <row r="357" spans="7:20" hidden="1">
      <c r="G357" s="36"/>
      <c r="P357" s="41"/>
      <c r="R357" s="223"/>
      <c r="T357" s="224"/>
    </row>
    <row r="358" spans="7:20" hidden="1">
      <c r="G358" s="36"/>
      <c r="P358" s="41"/>
      <c r="R358" s="223"/>
      <c r="T358" s="224"/>
    </row>
    <row r="359" spans="7:20" hidden="1">
      <c r="G359" s="36"/>
      <c r="P359" s="41"/>
      <c r="R359" s="223"/>
      <c r="T359" s="224"/>
    </row>
    <row r="360" spans="7:20" hidden="1">
      <c r="G360" s="36"/>
      <c r="P360" s="41"/>
      <c r="R360" s="223"/>
      <c r="T360" s="224"/>
    </row>
    <row r="361" spans="7:20" hidden="1">
      <c r="G361" s="36"/>
      <c r="P361" s="41"/>
      <c r="R361" s="223"/>
      <c r="T361" s="224"/>
    </row>
    <row r="362" spans="7:20" hidden="1">
      <c r="G362" s="36"/>
      <c r="P362" s="41"/>
      <c r="R362" s="223"/>
      <c r="T362" s="224"/>
    </row>
    <row r="363" spans="7:20" hidden="1">
      <c r="G363" s="36"/>
      <c r="P363" s="41"/>
      <c r="R363" s="223"/>
      <c r="T363" s="224"/>
    </row>
    <row r="364" spans="7:20" hidden="1">
      <c r="G364" s="36"/>
      <c r="P364" s="41"/>
      <c r="R364" s="223"/>
      <c r="T364" s="224"/>
    </row>
    <row r="365" spans="7:20" hidden="1">
      <c r="G365" s="36"/>
      <c r="P365" s="41"/>
      <c r="R365" s="223"/>
      <c r="T365" s="224"/>
    </row>
    <row r="366" spans="7:20" hidden="1">
      <c r="G366" s="36"/>
      <c r="P366" s="41"/>
      <c r="R366" s="223"/>
      <c r="T366" s="224"/>
    </row>
    <row r="367" spans="7:20" hidden="1">
      <c r="G367" s="36"/>
      <c r="P367" s="41"/>
      <c r="R367" s="223"/>
      <c r="T367" s="224"/>
    </row>
    <row r="368" spans="7:20" hidden="1">
      <c r="G368" s="36"/>
      <c r="P368" s="41"/>
      <c r="R368" s="223"/>
      <c r="T368" s="224"/>
    </row>
    <row r="369" spans="7:20" hidden="1">
      <c r="G369" s="36"/>
      <c r="P369" s="41"/>
      <c r="R369" s="223"/>
      <c r="T369" s="224"/>
    </row>
    <row r="370" spans="7:20" hidden="1">
      <c r="G370" s="36"/>
      <c r="P370" s="41"/>
      <c r="R370" s="223"/>
      <c r="T370" s="224"/>
    </row>
    <row r="371" spans="7:20" hidden="1">
      <c r="G371" s="36"/>
      <c r="P371" s="41"/>
      <c r="R371" s="223"/>
      <c r="T371" s="224"/>
    </row>
    <row r="372" spans="7:20" hidden="1">
      <c r="G372" s="36"/>
      <c r="P372" s="41"/>
      <c r="R372" s="223"/>
      <c r="T372" s="224"/>
    </row>
    <row r="373" spans="7:20" hidden="1">
      <c r="G373" s="36"/>
      <c r="P373" s="41"/>
      <c r="R373" s="223"/>
      <c r="T373" s="224"/>
    </row>
    <row r="374" spans="7:20" hidden="1">
      <c r="G374" s="36"/>
      <c r="P374" s="41"/>
      <c r="R374" s="223"/>
      <c r="S374" s="224"/>
      <c r="T374" s="224"/>
    </row>
    <row r="375" spans="7:20" hidden="1">
      <c r="G375" s="36"/>
      <c r="P375" s="41"/>
      <c r="R375" s="223"/>
      <c r="S375" s="224"/>
      <c r="T375" s="224"/>
    </row>
    <row r="376" spans="7:20" hidden="1">
      <c r="G376" s="36"/>
      <c r="P376" s="41"/>
      <c r="R376" s="223"/>
      <c r="S376" s="224"/>
      <c r="T376" s="224"/>
    </row>
    <row r="377" spans="7:20" hidden="1">
      <c r="G377" s="36"/>
      <c r="P377" s="41"/>
      <c r="R377" s="223"/>
      <c r="S377" s="224"/>
      <c r="T377" s="224"/>
    </row>
    <row r="378" spans="7:20" hidden="1">
      <c r="G378" s="36"/>
      <c r="P378" s="41"/>
      <c r="R378" s="223"/>
      <c r="S378" s="224"/>
      <c r="T378" s="224"/>
    </row>
    <row r="379" spans="7:20" hidden="1">
      <c r="G379" s="36"/>
      <c r="P379" s="41"/>
      <c r="R379" s="223"/>
      <c r="S379" s="224"/>
      <c r="T379" s="224"/>
    </row>
    <row r="380" spans="7:20" hidden="1">
      <c r="G380" s="36"/>
      <c r="P380" s="41"/>
      <c r="R380" s="223"/>
      <c r="S380" s="224"/>
      <c r="T380" s="224"/>
    </row>
    <row r="381" spans="7:20" hidden="1">
      <c r="G381" s="36"/>
      <c r="P381" s="41"/>
      <c r="R381" s="223"/>
      <c r="S381" s="224"/>
      <c r="T381" s="224"/>
    </row>
    <row r="382" spans="7:20" hidden="1">
      <c r="G382" s="36"/>
      <c r="P382" s="41"/>
      <c r="R382" s="223"/>
      <c r="S382" s="224"/>
      <c r="T382" s="224"/>
    </row>
    <row r="383" spans="7:20" hidden="1">
      <c r="G383" s="36"/>
      <c r="P383" s="41"/>
      <c r="R383" s="223"/>
      <c r="S383" s="224"/>
      <c r="T383" s="224"/>
    </row>
    <row r="384" spans="7:20" hidden="1">
      <c r="G384" s="36"/>
      <c r="P384" s="41"/>
      <c r="R384" s="223"/>
      <c r="S384" s="224"/>
      <c r="T384" s="224"/>
    </row>
    <row r="385" spans="7:20" hidden="1">
      <c r="G385" s="36"/>
      <c r="P385" s="41"/>
      <c r="R385" s="223"/>
      <c r="S385" s="224"/>
      <c r="T385" s="224"/>
    </row>
    <row r="386" spans="7:20" hidden="1">
      <c r="G386" s="36"/>
      <c r="P386" s="41"/>
      <c r="R386" s="223"/>
      <c r="S386" s="224"/>
      <c r="T386" s="224"/>
    </row>
    <row r="387" spans="7:20" hidden="1">
      <c r="G387" s="36"/>
      <c r="P387" s="41"/>
      <c r="R387" s="223"/>
      <c r="S387" s="224"/>
      <c r="T387" s="224"/>
    </row>
    <row r="388" spans="7:20" hidden="1">
      <c r="G388" s="36"/>
      <c r="P388" s="41"/>
      <c r="R388" s="223"/>
      <c r="S388" s="224"/>
      <c r="T388" s="224"/>
    </row>
    <row r="389" spans="7:20" hidden="1">
      <c r="G389" s="36"/>
      <c r="P389" s="41"/>
      <c r="R389" s="223"/>
      <c r="S389" s="224"/>
      <c r="T389" s="224"/>
    </row>
    <row r="390" spans="7:20" hidden="1">
      <c r="G390" s="36"/>
      <c r="P390" s="41"/>
      <c r="R390" s="223"/>
      <c r="S390" s="224"/>
      <c r="T390" s="224"/>
    </row>
    <row r="391" spans="7:20" hidden="1">
      <c r="G391" s="36"/>
      <c r="P391" s="41"/>
      <c r="R391" s="223"/>
      <c r="S391" s="224"/>
      <c r="T391" s="224"/>
    </row>
    <row r="392" spans="7:20" hidden="1">
      <c r="G392" s="36"/>
      <c r="P392" s="41"/>
      <c r="R392" s="223"/>
      <c r="S392" s="224"/>
      <c r="T392" s="224"/>
    </row>
    <row r="393" spans="7:20" hidden="1">
      <c r="G393" s="36"/>
      <c r="P393" s="41"/>
      <c r="R393" s="223"/>
      <c r="S393" s="224"/>
      <c r="T393" s="224"/>
    </row>
    <row r="394" spans="7:20" hidden="1">
      <c r="G394" s="36"/>
      <c r="P394" s="41"/>
      <c r="R394" s="223"/>
      <c r="S394" s="224"/>
      <c r="T394" s="224"/>
    </row>
    <row r="395" spans="7:20" hidden="1">
      <c r="G395" s="36"/>
      <c r="P395" s="41"/>
      <c r="R395" s="223"/>
      <c r="S395" s="224"/>
      <c r="T395" s="224"/>
    </row>
    <row r="396" spans="7:20" hidden="1">
      <c r="G396" s="36"/>
      <c r="P396" s="41"/>
      <c r="R396" s="223"/>
      <c r="S396" s="224"/>
      <c r="T396" s="224"/>
    </row>
    <row r="397" spans="7:20" hidden="1">
      <c r="G397" s="36"/>
      <c r="P397" s="41"/>
      <c r="R397" s="223"/>
      <c r="S397" s="224"/>
      <c r="T397" s="224"/>
    </row>
    <row r="398" spans="7:20" hidden="1">
      <c r="G398" s="36"/>
      <c r="P398" s="41"/>
      <c r="R398" s="223"/>
      <c r="S398" s="224"/>
      <c r="T398" s="224"/>
    </row>
    <row r="399" spans="7:20" hidden="1">
      <c r="G399" s="36"/>
      <c r="P399" s="41"/>
      <c r="R399" s="223"/>
      <c r="S399" s="224"/>
      <c r="T399" s="224"/>
    </row>
    <row r="400" spans="7:20" hidden="1">
      <c r="G400" s="36"/>
      <c r="P400" s="41"/>
      <c r="R400" s="223"/>
      <c r="S400" s="224"/>
      <c r="T400" s="224"/>
    </row>
    <row r="401" spans="7:20" hidden="1">
      <c r="G401" s="36"/>
      <c r="P401" s="41"/>
      <c r="R401" s="223"/>
      <c r="S401" s="224"/>
      <c r="T401" s="224"/>
    </row>
    <row r="402" spans="7:20" hidden="1">
      <c r="G402" s="36"/>
      <c r="P402" s="41"/>
      <c r="R402" s="223"/>
      <c r="S402" s="224"/>
      <c r="T402" s="224"/>
    </row>
    <row r="403" spans="7:20" hidden="1">
      <c r="G403" s="36"/>
      <c r="P403" s="41"/>
      <c r="R403" s="223"/>
      <c r="S403" s="224"/>
      <c r="T403" s="224"/>
    </row>
    <row r="404" spans="7:20" hidden="1">
      <c r="G404" s="36"/>
      <c r="P404" s="41"/>
      <c r="R404" s="223"/>
      <c r="S404" s="224"/>
      <c r="T404" s="224"/>
    </row>
    <row r="405" spans="7:20" hidden="1">
      <c r="G405" s="36"/>
      <c r="P405" s="41"/>
      <c r="R405" s="223"/>
      <c r="S405" s="224"/>
      <c r="T405" s="224"/>
    </row>
    <row r="406" spans="7:20" hidden="1">
      <c r="G406" s="36"/>
      <c r="P406" s="41"/>
      <c r="R406" s="223"/>
      <c r="S406" s="224"/>
      <c r="T406" s="224"/>
    </row>
    <row r="407" spans="7:20" hidden="1">
      <c r="G407" s="36"/>
      <c r="R407" s="223"/>
      <c r="S407" s="224"/>
      <c r="T407" s="224"/>
    </row>
    <row r="408" spans="7:20" hidden="1">
      <c r="G408" s="36"/>
      <c r="R408" s="223"/>
      <c r="S408" s="224"/>
      <c r="T408" s="224"/>
    </row>
    <row r="409" spans="7:20" hidden="1">
      <c r="G409" s="36"/>
      <c r="R409" s="223"/>
      <c r="S409" s="224"/>
      <c r="T409" s="224"/>
    </row>
    <row r="410" spans="7:20" hidden="1">
      <c r="G410" s="36"/>
      <c r="R410" s="223"/>
      <c r="S410" s="224"/>
      <c r="T410" s="224"/>
    </row>
    <row r="411" spans="7:20" hidden="1">
      <c r="G411" s="36"/>
      <c r="R411" s="223"/>
      <c r="S411" s="224"/>
      <c r="T411" s="224"/>
    </row>
    <row r="412" spans="7:20" hidden="1">
      <c r="G412" s="36"/>
      <c r="R412" s="223"/>
      <c r="S412" s="224"/>
      <c r="T412" s="224"/>
    </row>
    <row r="413" spans="7:20" hidden="1">
      <c r="G413" s="36"/>
      <c r="R413" s="223"/>
      <c r="S413" s="224"/>
      <c r="T413" s="224"/>
    </row>
    <row r="414" spans="7:20" hidden="1">
      <c r="G414" s="36"/>
      <c r="R414" s="223"/>
      <c r="S414" s="224"/>
      <c r="T414" s="224"/>
    </row>
    <row r="415" spans="7:20" hidden="1">
      <c r="G415" s="36"/>
      <c r="R415" s="223"/>
      <c r="S415" s="224"/>
      <c r="T415" s="224"/>
    </row>
    <row r="416" spans="7:20" hidden="1">
      <c r="G416" s="36"/>
      <c r="R416" s="223"/>
      <c r="S416" s="224"/>
      <c r="T416" s="224"/>
    </row>
    <row r="417" spans="7:20" hidden="1">
      <c r="G417" s="36"/>
      <c r="R417" s="223"/>
      <c r="S417" s="224"/>
      <c r="T417" s="224"/>
    </row>
    <row r="418" spans="7:20" hidden="1">
      <c r="G418" s="36"/>
      <c r="S418" s="224"/>
      <c r="T418" s="224"/>
    </row>
    <row r="419" spans="7:20" hidden="1">
      <c r="G419" s="36"/>
    </row>
    <row r="420" spans="7:20" hidden="1">
      <c r="G420" s="36"/>
    </row>
    <row r="421" spans="7:20" hidden="1">
      <c r="G421" s="36"/>
    </row>
    <row r="422" spans="7:20" hidden="1">
      <c r="G422" s="36"/>
    </row>
    <row r="423" spans="7:20" hidden="1">
      <c r="G423" s="36"/>
    </row>
    <row r="424" spans="7:20" hidden="1">
      <c r="G424" s="36"/>
    </row>
    <row r="425" spans="7:20" hidden="1">
      <c r="G425" s="36"/>
    </row>
    <row r="426" spans="7:20" hidden="1">
      <c r="G426" s="36"/>
    </row>
    <row r="427" spans="7:20" hidden="1">
      <c r="G427" s="36"/>
    </row>
    <row r="428" spans="7:20" hidden="1">
      <c r="G428" s="36"/>
    </row>
    <row r="429" spans="7:20" hidden="1">
      <c r="G429" s="36"/>
    </row>
    <row r="430" spans="7:20" hidden="1">
      <c r="G430" s="36"/>
    </row>
    <row r="431" spans="7:20" hidden="1">
      <c r="G431" s="36"/>
    </row>
    <row r="432" spans="7:20" hidden="1">
      <c r="G432" s="36"/>
    </row>
    <row r="433" spans="7:7" hidden="1">
      <c r="G433" s="36"/>
    </row>
    <row r="434" spans="7:7" hidden="1">
      <c r="G434" s="36"/>
    </row>
    <row r="435" spans="7:7" hidden="1">
      <c r="G435" s="36"/>
    </row>
    <row r="436" spans="7:7" hidden="1">
      <c r="G436" s="36"/>
    </row>
    <row r="437" spans="7:7" hidden="1">
      <c r="G437" s="36"/>
    </row>
    <row r="438" spans="7:7" hidden="1">
      <c r="G438" s="36"/>
    </row>
    <row r="439" spans="7:7" hidden="1">
      <c r="G439" s="36"/>
    </row>
    <row r="440" spans="7:7" hidden="1">
      <c r="G440" s="36"/>
    </row>
    <row r="441" spans="7:7" hidden="1">
      <c r="G441" s="36"/>
    </row>
    <row r="442" spans="7:7" hidden="1">
      <c r="G442" s="36"/>
    </row>
    <row r="443" spans="7:7" hidden="1">
      <c r="G443" s="36"/>
    </row>
    <row r="444" spans="7:7" hidden="1">
      <c r="G444" s="36"/>
    </row>
    <row r="445" spans="7:7" hidden="1">
      <c r="G445" s="36"/>
    </row>
    <row r="446" spans="7:7" hidden="1">
      <c r="G446" s="36"/>
    </row>
    <row r="447" spans="7:7" hidden="1">
      <c r="G447" s="36"/>
    </row>
    <row r="448" spans="7:7" hidden="1">
      <c r="G448" s="36"/>
    </row>
    <row r="449" spans="5:7" hidden="1">
      <c r="G449" s="36"/>
    </row>
    <row r="450" spans="5:7" hidden="1">
      <c r="G450" s="36"/>
    </row>
    <row r="451" spans="5:7" hidden="1">
      <c r="G451" s="36"/>
    </row>
    <row r="452" spans="5:7" hidden="1">
      <c r="G452" s="36"/>
    </row>
    <row r="453" spans="5:7" hidden="1">
      <c r="G453" s="36"/>
    </row>
    <row r="454" spans="5:7" hidden="1">
      <c r="G454" s="36"/>
    </row>
    <row r="455" spans="5:7" hidden="1">
      <c r="G455" s="36"/>
    </row>
    <row r="456" spans="5:7" hidden="1">
      <c r="G456" s="36"/>
    </row>
    <row r="457" spans="5:7" hidden="1">
      <c r="G457" s="36"/>
    </row>
    <row r="458" spans="5:7" hidden="1">
      <c r="E458" s="224"/>
      <c r="G458" s="36"/>
    </row>
    <row r="459" spans="5:7" hidden="1">
      <c r="G459" s="36"/>
    </row>
    <row r="460" spans="5:7" hidden="1">
      <c r="G460" s="36"/>
    </row>
    <row r="461" spans="5:7" hidden="1">
      <c r="G461" s="36"/>
    </row>
    <row r="462" spans="5:7" hidden="1">
      <c r="G462" s="36"/>
    </row>
    <row r="463" spans="5:7" hidden="1">
      <c r="G463" s="36"/>
    </row>
    <row r="464" spans="5:7" hidden="1">
      <c r="G464" s="36"/>
    </row>
    <row r="465" spans="7:7" hidden="1">
      <c r="G465" s="36"/>
    </row>
    <row r="466" spans="7:7" hidden="1">
      <c r="G466" s="36"/>
    </row>
    <row r="467" spans="7:7" hidden="1">
      <c r="G467" s="36"/>
    </row>
    <row r="468" spans="7:7" hidden="1">
      <c r="G468" s="36"/>
    </row>
    <row r="469" spans="7:7" hidden="1">
      <c r="G469" s="36"/>
    </row>
    <row r="470" spans="7:7" hidden="1">
      <c r="G470" s="36"/>
    </row>
    <row r="471" spans="7:7" hidden="1">
      <c r="G471" s="36"/>
    </row>
    <row r="472" spans="7:7" hidden="1">
      <c r="G472" s="36"/>
    </row>
    <row r="473" spans="7:7" hidden="1">
      <c r="G473" s="36"/>
    </row>
    <row r="474" spans="7:7" hidden="1">
      <c r="G474" s="36"/>
    </row>
    <row r="475" spans="7:7" hidden="1">
      <c r="G475" s="36"/>
    </row>
    <row r="476" spans="7:7" hidden="1">
      <c r="G476" s="36"/>
    </row>
    <row r="477" spans="7:7" hidden="1">
      <c r="G477" s="36"/>
    </row>
    <row r="478" spans="7:7" hidden="1">
      <c r="G478" s="36"/>
    </row>
    <row r="479" spans="7:7" hidden="1">
      <c r="G479" s="36"/>
    </row>
    <row r="480" spans="7:7" hidden="1">
      <c r="G480" s="36"/>
    </row>
    <row r="481" spans="7:7" hidden="1">
      <c r="G481" s="36"/>
    </row>
    <row r="482" spans="7:7" hidden="1">
      <c r="G482" s="36"/>
    </row>
    <row r="483" spans="7:7" hidden="1">
      <c r="G483" s="36"/>
    </row>
    <row r="484" spans="7:7" hidden="1">
      <c r="G484" s="36"/>
    </row>
    <row r="485" spans="7:7" hidden="1">
      <c r="G485" s="36"/>
    </row>
    <row r="486" spans="7:7" hidden="1">
      <c r="G486" s="36"/>
    </row>
    <row r="487" spans="7:7" hidden="1">
      <c r="G487" s="36"/>
    </row>
    <row r="488" spans="7:7" hidden="1">
      <c r="G488" s="36"/>
    </row>
    <row r="489" spans="7:7" hidden="1">
      <c r="G489" s="36"/>
    </row>
    <row r="490" spans="7:7" hidden="1">
      <c r="G490" s="36"/>
    </row>
    <row r="491" spans="7:7" hidden="1">
      <c r="G491" s="36"/>
    </row>
    <row r="492" spans="7:7" hidden="1">
      <c r="G492" s="36"/>
    </row>
    <row r="493" spans="7:7" hidden="1">
      <c r="G493" s="36"/>
    </row>
    <row r="494" spans="7:7" hidden="1">
      <c r="G494" s="36"/>
    </row>
    <row r="495" spans="7:7" hidden="1">
      <c r="G495" s="36"/>
    </row>
    <row r="496" spans="7:7" hidden="1">
      <c r="G496" s="36"/>
    </row>
    <row r="497" spans="7:7" hidden="1">
      <c r="G497" s="36"/>
    </row>
    <row r="498" spans="7:7" hidden="1">
      <c r="G498" s="36"/>
    </row>
    <row r="499" spans="7:7" hidden="1">
      <c r="G499" s="36"/>
    </row>
    <row r="500" spans="7:7" hidden="1">
      <c r="G500" s="36"/>
    </row>
    <row r="501" spans="7:7" hidden="1">
      <c r="G501" s="36"/>
    </row>
    <row r="502" spans="7:7" hidden="1">
      <c r="G502" s="36"/>
    </row>
    <row r="503" spans="7:7" hidden="1">
      <c r="G503" s="36"/>
    </row>
    <row r="504" spans="7:7" hidden="1">
      <c r="G504" s="36"/>
    </row>
    <row r="505" spans="7:7" hidden="1">
      <c r="G505" s="36"/>
    </row>
    <row r="506" spans="7:7" hidden="1">
      <c r="G506" s="36"/>
    </row>
    <row r="507" spans="7:7" hidden="1">
      <c r="G507" s="36"/>
    </row>
    <row r="508" spans="7:7" hidden="1">
      <c r="G508" s="36"/>
    </row>
    <row r="509" spans="7:7" hidden="1">
      <c r="G509" s="36"/>
    </row>
    <row r="510" spans="7:7" hidden="1">
      <c r="G510" s="36"/>
    </row>
    <row r="511" spans="7:7" hidden="1">
      <c r="G511" s="36"/>
    </row>
    <row r="512" spans="7:7" hidden="1">
      <c r="G512" s="36"/>
    </row>
    <row r="513" spans="7:7" hidden="1">
      <c r="G513" s="36"/>
    </row>
    <row r="514" spans="7:7" hidden="1">
      <c r="G514" s="36"/>
    </row>
    <row r="515" spans="7:7" hidden="1">
      <c r="G515" s="36"/>
    </row>
    <row r="516" spans="7:7" hidden="1">
      <c r="G516" s="36"/>
    </row>
    <row r="517" spans="7:7" hidden="1">
      <c r="G517" s="36"/>
    </row>
    <row r="518" spans="7:7" hidden="1">
      <c r="G518" s="36"/>
    </row>
    <row r="519" spans="7:7" hidden="1">
      <c r="G519" s="36"/>
    </row>
    <row r="520" spans="7:7" hidden="1">
      <c r="G520" s="36"/>
    </row>
    <row r="521" spans="7:7" hidden="1">
      <c r="G521" s="36"/>
    </row>
    <row r="522" spans="7:7" hidden="1">
      <c r="G522" s="36"/>
    </row>
    <row r="523" spans="7:7" hidden="1">
      <c r="G523" s="36"/>
    </row>
    <row r="524" spans="7:7" hidden="1">
      <c r="G524" s="36"/>
    </row>
    <row r="525" spans="7:7" hidden="1">
      <c r="G525" s="36"/>
    </row>
    <row r="526" spans="7:7" hidden="1">
      <c r="G526" s="36"/>
    </row>
    <row r="527" spans="7:7" hidden="1">
      <c r="G527" s="36"/>
    </row>
    <row r="528" spans="7:7" hidden="1">
      <c r="G528" s="36"/>
    </row>
    <row r="529" spans="7:7" hidden="1">
      <c r="G529" s="36"/>
    </row>
    <row r="530" spans="7:7" hidden="1">
      <c r="G530" s="36"/>
    </row>
    <row r="531" spans="7:7" hidden="1">
      <c r="G531" s="36"/>
    </row>
    <row r="532" spans="7:7" hidden="1">
      <c r="G532" s="36"/>
    </row>
    <row r="533" spans="7:7" hidden="1">
      <c r="G533" s="36"/>
    </row>
    <row r="534" spans="7:7" hidden="1">
      <c r="G534" s="36"/>
    </row>
    <row r="535" spans="7:7" hidden="1">
      <c r="G535" s="36"/>
    </row>
    <row r="536" spans="7:7" hidden="1">
      <c r="G536" s="36"/>
    </row>
    <row r="537" spans="7:7" hidden="1">
      <c r="G537" s="36"/>
    </row>
    <row r="538" spans="7:7" hidden="1">
      <c r="G538" s="36"/>
    </row>
    <row r="539" spans="7:7" hidden="1">
      <c r="G539" s="36"/>
    </row>
    <row r="540" spans="7:7" hidden="1">
      <c r="G540" s="36"/>
    </row>
    <row r="541" spans="7:7" hidden="1">
      <c r="G541" s="36"/>
    </row>
    <row r="542" spans="7:7" hidden="1">
      <c r="G542" s="36"/>
    </row>
    <row r="543" spans="7:7" hidden="1">
      <c r="G543" s="36"/>
    </row>
    <row r="544" spans="7:7" hidden="1">
      <c r="G544" s="36"/>
    </row>
    <row r="545" spans="7:7" hidden="1">
      <c r="G545" s="36"/>
    </row>
    <row r="546" spans="7:7" hidden="1">
      <c r="G546" s="36"/>
    </row>
    <row r="547" spans="7:7" hidden="1">
      <c r="G547" s="36"/>
    </row>
    <row r="548" spans="7:7" hidden="1">
      <c r="G548" s="36"/>
    </row>
    <row r="549" spans="7:7" hidden="1">
      <c r="G549" s="36"/>
    </row>
    <row r="550" spans="7:7" hidden="1">
      <c r="G550" s="36"/>
    </row>
    <row r="551" spans="7:7" hidden="1">
      <c r="G551" s="36"/>
    </row>
    <row r="552" spans="7:7" hidden="1">
      <c r="G552" s="36"/>
    </row>
    <row r="553" spans="7:7" hidden="1">
      <c r="G553" s="36"/>
    </row>
    <row r="554" spans="7:7" hidden="1">
      <c r="G554" s="36"/>
    </row>
    <row r="555" spans="7:7" hidden="1">
      <c r="G555" s="36"/>
    </row>
    <row r="556" spans="7:7" hidden="1">
      <c r="G556" s="36"/>
    </row>
    <row r="557" spans="7:7" hidden="1">
      <c r="G557" s="36"/>
    </row>
    <row r="558" spans="7:7" hidden="1">
      <c r="G558" s="36"/>
    </row>
    <row r="559" spans="7:7" hidden="1">
      <c r="G559" s="36"/>
    </row>
    <row r="560" spans="7:7" hidden="1">
      <c r="G560" s="36"/>
    </row>
    <row r="561" spans="7:7" hidden="1">
      <c r="G561" s="36"/>
    </row>
    <row r="562" spans="7:7" hidden="1">
      <c r="G562" s="36"/>
    </row>
    <row r="563" spans="7:7" hidden="1">
      <c r="G563" s="36"/>
    </row>
    <row r="564" spans="7:7" hidden="1">
      <c r="G564" s="36"/>
    </row>
    <row r="565" spans="7:7" hidden="1">
      <c r="G565" s="36"/>
    </row>
    <row r="566" spans="7:7" hidden="1">
      <c r="G566" s="36"/>
    </row>
    <row r="567" spans="7:7" hidden="1">
      <c r="G567" s="36"/>
    </row>
    <row r="568" spans="7:7" hidden="1">
      <c r="G568" s="36"/>
    </row>
    <row r="569" spans="7:7" hidden="1">
      <c r="G569" s="36"/>
    </row>
    <row r="570" spans="7:7" hidden="1">
      <c r="G570" s="36"/>
    </row>
    <row r="571" spans="7:7" hidden="1">
      <c r="G571" s="36"/>
    </row>
    <row r="572" spans="7:7" hidden="1">
      <c r="G572" s="36"/>
    </row>
    <row r="573" spans="7:7" hidden="1">
      <c r="G573" s="36"/>
    </row>
    <row r="574" spans="7:7" hidden="1">
      <c r="G574" s="36"/>
    </row>
    <row r="575" spans="7:7" hidden="1">
      <c r="G575" s="36"/>
    </row>
    <row r="576" spans="7:7" hidden="1">
      <c r="G576" s="36"/>
    </row>
    <row r="577" spans="7:7" hidden="1">
      <c r="G577" s="36"/>
    </row>
    <row r="578" spans="7:7" hidden="1">
      <c r="G578" s="36"/>
    </row>
    <row r="579" spans="7:7" hidden="1">
      <c r="G579" s="36"/>
    </row>
    <row r="580" spans="7:7" hidden="1">
      <c r="G580" s="36"/>
    </row>
    <row r="581" spans="7:7" hidden="1">
      <c r="G581" s="36"/>
    </row>
    <row r="582" spans="7:7" hidden="1">
      <c r="G582" s="36"/>
    </row>
    <row r="583" spans="7:7" hidden="1">
      <c r="G583" s="36"/>
    </row>
    <row r="584" spans="7:7" hidden="1">
      <c r="G584" s="36"/>
    </row>
    <row r="585" spans="7:7" hidden="1">
      <c r="G585" s="36"/>
    </row>
    <row r="586" spans="7:7" hidden="1">
      <c r="G586" s="36"/>
    </row>
    <row r="587" spans="7:7" hidden="1">
      <c r="G587" s="36"/>
    </row>
    <row r="588" spans="7:7" hidden="1">
      <c r="G588" s="36"/>
    </row>
    <row r="589" spans="7:7" hidden="1">
      <c r="G589" s="36"/>
    </row>
    <row r="590" spans="7:7" hidden="1">
      <c r="G590" s="36"/>
    </row>
    <row r="591" spans="7:7" hidden="1">
      <c r="G591" s="36"/>
    </row>
    <row r="592" spans="7:7" hidden="1">
      <c r="G592" s="36"/>
    </row>
    <row r="593" spans="7:7" hidden="1">
      <c r="G593" s="36"/>
    </row>
    <row r="594" spans="7:7" hidden="1">
      <c r="G594" s="36"/>
    </row>
    <row r="595" spans="7:7" hidden="1">
      <c r="G595" s="36"/>
    </row>
    <row r="596" spans="7:7" hidden="1">
      <c r="G596" s="36"/>
    </row>
    <row r="597" spans="7:7" hidden="1">
      <c r="G597" s="36"/>
    </row>
    <row r="598" spans="7:7" hidden="1">
      <c r="G598" s="36"/>
    </row>
    <row r="599" spans="7:7" hidden="1">
      <c r="G599" s="36"/>
    </row>
    <row r="600" spans="7:7" hidden="1">
      <c r="G600" s="36"/>
    </row>
    <row r="601" spans="7:7" hidden="1">
      <c r="G601" s="36"/>
    </row>
    <row r="602" spans="7:7" hidden="1">
      <c r="G602" s="36"/>
    </row>
    <row r="603" spans="7:7" hidden="1">
      <c r="G603" s="36"/>
    </row>
    <row r="604" spans="7:7" hidden="1">
      <c r="G604" s="36"/>
    </row>
    <row r="605" spans="7:7" hidden="1">
      <c r="G605" s="36"/>
    </row>
    <row r="606" spans="7:7" hidden="1">
      <c r="G606" s="36"/>
    </row>
    <row r="607" spans="7:7" hidden="1">
      <c r="G607" s="36"/>
    </row>
    <row r="608" spans="7:7" hidden="1">
      <c r="G608" s="36"/>
    </row>
    <row r="609" spans="7:7" hidden="1">
      <c r="G609" s="36"/>
    </row>
    <row r="610" spans="7:7" hidden="1">
      <c r="G610" s="36"/>
    </row>
    <row r="611" spans="7:7" hidden="1">
      <c r="G611" s="36"/>
    </row>
    <row r="612" spans="7:7" hidden="1">
      <c r="G612" s="36"/>
    </row>
    <row r="613" spans="7:7" hidden="1">
      <c r="G613" s="36"/>
    </row>
    <row r="614" spans="7:7" hidden="1">
      <c r="G614" s="36"/>
    </row>
    <row r="615" spans="7:7" hidden="1">
      <c r="G615" s="36"/>
    </row>
    <row r="616" spans="7:7" hidden="1">
      <c r="G616" s="36"/>
    </row>
    <row r="617" spans="7:7" hidden="1">
      <c r="G617" s="36"/>
    </row>
    <row r="618" spans="7:7" hidden="1">
      <c r="G618" s="36"/>
    </row>
    <row r="619" spans="7:7" hidden="1">
      <c r="G619" s="36"/>
    </row>
    <row r="620" spans="7:7" hidden="1">
      <c r="G620" s="36"/>
    </row>
    <row r="621" spans="7:7" hidden="1">
      <c r="G621" s="36"/>
    </row>
    <row r="622" spans="7:7" hidden="1">
      <c r="G622" s="36"/>
    </row>
    <row r="623" spans="7:7" hidden="1">
      <c r="G623" s="36"/>
    </row>
    <row r="624" spans="7:7" hidden="1">
      <c r="G624" s="36"/>
    </row>
    <row r="625" spans="7:7" hidden="1">
      <c r="G625" s="36"/>
    </row>
    <row r="626" spans="7:7" hidden="1">
      <c r="G626" s="36"/>
    </row>
    <row r="627" spans="7:7" hidden="1">
      <c r="G627" s="36"/>
    </row>
    <row r="628" spans="7:7" hidden="1">
      <c r="G628" s="36"/>
    </row>
    <row r="629" spans="7:7" hidden="1">
      <c r="G629" s="36"/>
    </row>
    <row r="630" spans="7:7" hidden="1">
      <c r="G630" s="36"/>
    </row>
    <row r="631" spans="7:7" hidden="1">
      <c r="G631" s="36"/>
    </row>
    <row r="632" spans="7:7" hidden="1">
      <c r="G632" s="36"/>
    </row>
    <row r="633" spans="7:7" hidden="1">
      <c r="G633" s="36"/>
    </row>
    <row r="634" spans="7:7" hidden="1">
      <c r="G634" s="36"/>
    </row>
    <row r="635" spans="7:7" hidden="1">
      <c r="G635" s="36"/>
    </row>
    <row r="636" spans="7:7" hidden="1">
      <c r="G636" s="36"/>
    </row>
    <row r="637" spans="7:7" hidden="1">
      <c r="G637" s="36"/>
    </row>
    <row r="638" spans="7:7" hidden="1">
      <c r="G638" s="36"/>
    </row>
    <row r="639" spans="7:7" hidden="1">
      <c r="G639" s="36"/>
    </row>
    <row r="640" spans="7:7" hidden="1">
      <c r="G640" s="36"/>
    </row>
    <row r="641" spans="7:7" hidden="1">
      <c r="G641" s="36"/>
    </row>
    <row r="642" spans="7:7" hidden="1">
      <c r="G642" s="36"/>
    </row>
    <row r="643" spans="7:7" hidden="1">
      <c r="G643" s="36"/>
    </row>
    <row r="644" spans="7:7" hidden="1">
      <c r="G644" s="36"/>
    </row>
    <row r="645" spans="7:7" hidden="1">
      <c r="G645" s="36"/>
    </row>
    <row r="646" spans="7:7" hidden="1">
      <c r="G646" s="36"/>
    </row>
    <row r="647" spans="7:7" hidden="1">
      <c r="G647" s="36"/>
    </row>
    <row r="648" spans="7:7" hidden="1">
      <c r="G648" s="36"/>
    </row>
    <row r="649" spans="7:7" hidden="1">
      <c r="G649" s="36"/>
    </row>
    <row r="650" spans="7:7" hidden="1">
      <c r="G650" s="36"/>
    </row>
    <row r="651" spans="7:7" hidden="1">
      <c r="G651" s="36"/>
    </row>
    <row r="652" spans="7:7" hidden="1">
      <c r="G652" s="36"/>
    </row>
    <row r="653" spans="7:7" hidden="1">
      <c r="G653" s="36"/>
    </row>
    <row r="654" spans="7:7" hidden="1">
      <c r="G654" s="36"/>
    </row>
    <row r="655" spans="7:7" hidden="1">
      <c r="G655" s="36"/>
    </row>
    <row r="656" spans="7:7" hidden="1">
      <c r="G656" s="36"/>
    </row>
    <row r="657" spans="7:7" hidden="1">
      <c r="G657" s="36"/>
    </row>
    <row r="658" spans="7:7" hidden="1">
      <c r="G658" s="36"/>
    </row>
    <row r="659" spans="7:7" hidden="1">
      <c r="G659" s="36"/>
    </row>
    <row r="660" spans="7:7" hidden="1">
      <c r="G660" s="36"/>
    </row>
    <row r="661" spans="7:7" hidden="1">
      <c r="G661" s="36"/>
    </row>
    <row r="662" spans="7:7" hidden="1">
      <c r="G662" s="36"/>
    </row>
    <row r="663" spans="7:7" hidden="1">
      <c r="G663" s="36"/>
    </row>
    <row r="664" spans="7:7" hidden="1">
      <c r="G664" s="36"/>
    </row>
    <row r="665" spans="7:7" hidden="1">
      <c r="G665" s="36"/>
    </row>
    <row r="666" spans="7:7" hidden="1">
      <c r="G666" s="36"/>
    </row>
    <row r="667" spans="7:7" hidden="1">
      <c r="G667" s="36"/>
    </row>
    <row r="668" spans="7:7" hidden="1">
      <c r="G668" s="36"/>
    </row>
    <row r="669" spans="7:7" hidden="1">
      <c r="G669" s="36"/>
    </row>
    <row r="670" spans="7:7" hidden="1">
      <c r="G670" s="36"/>
    </row>
    <row r="671" spans="7:7" hidden="1">
      <c r="G671" s="36"/>
    </row>
    <row r="672" spans="7:7" hidden="1">
      <c r="G672" s="36"/>
    </row>
    <row r="673" spans="7:7" hidden="1">
      <c r="G673" s="36"/>
    </row>
    <row r="674" spans="7:7" hidden="1">
      <c r="G674" s="36"/>
    </row>
    <row r="675" spans="7:7" hidden="1">
      <c r="G675" s="36"/>
    </row>
    <row r="676" spans="7:7" hidden="1">
      <c r="G676" s="36"/>
    </row>
    <row r="677" spans="7:7" hidden="1">
      <c r="G677" s="36"/>
    </row>
    <row r="678" spans="7:7" hidden="1">
      <c r="G678" s="36"/>
    </row>
    <row r="679" spans="7:7" hidden="1">
      <c r="G679" s="36"/>
    </row>
    <row r="680" spans="7:7" hidden="1">
      <c r="G680" s="36"/>
    </row>
    <row r="681" spans="7:7" hidden="1">
      <c r="G681" s="36"/>
    </row>
    <row r="682" spans="7:7" hidden="1">
      <c r="G682" s="36"/>
    </row>
    <row r="683" spans="7:7" hidden="1">
      <c r="G683" s="36"/>
    </row>
    <row r="684" spans="7:7" hidden="1">
      <c r="G684" s="36"/>
    </row>
    <row r="685" spans="7:7" hidden="1">
      <c r="G685" s="36"/>
    </row>
    <row r="686" spans="7:7" hidden="1">
      <c r="G686" s="36"/>
    </row>
    <row r="687" spans="7:7" hidden="1">
      <c r="G687" s="36"/>
    </row>
    <row r="688" spans="7:7" hidden="1">
      <c r="G688" s="36"/>
    </row>
    <row r="689" spans="7:7" hidden="1">
      <c r="G689" s="36"/>
    </row>
    <row r="690" spans="7:7" hidden="1">
      <c r="G690" s="36"/>
    </row>
    <row r="691" spans="7:7" hidden="1">
      <c r="G691" s="36"/>
    </row>
    <row r="692" spans="7:7" hidden="1">
      <c r="G692" s="36"/>
    </row>
    <row r="693" spans="7:7" hidden="1">
      <c r="G693" s="36"/>
    </row>
    <row r="694" spans="7:7" hidden="1">
      <c r="G694" s="36"/>
    </row>
    <row r="695" spans="7:7" hidden="1">
      <c r="G695" s="36"/>
    </row>
    <row r="696" spans="7:7" hidden="1">
      <c r="G696" s="36"/>
    </row>
    <row r="697" spans="7:7" hidden="1">
      <c r="G697" s="36"/>
    </row>
    <row r="698" spans="7:7" hidden="1">
      <c r="G698" s="36"/>
    </row>
    <row r="699" spans="7:7" hidden="1">
      <c r="G699" s="36"/>
    </row>
    <row r="700" spans="7:7" hidden="1">
      <c r="G700" s="36"/>
    </row>
    <row r="701" spans="7:7" hidden="1">
      <c r="G701" s="36"/>
    </row>
    <row r="702" spans="7:7" hidden="1">
      <c r="G702" s="36"/>
    </row>
    <row r="703" spans="7:7" hidden="1">
      <c r="G703" s="36"/>
    </row>
    <row r="704" spans="7:7" hidden="1">
      <c r="G704" s="36"/>
    </row>
    <row r="705" spans="7:7" hidden="1">
      <c r="G705" s="36"/>
    </row>
    <row r="706" spans="7:7" hidden="1">
      <c r="G706" s="36"/>
    </row>
    <row r="707" spans="7:7" hidden="1">
      <c r="G707" s="36"/>
    </row>
    <row r="708" spans="7:7" hidden="1">
      <c r="G708" s="36"/>
    </row>
    <row r="709" spans="7:7" hidden="1">
      <c r="G709" s="36"/>
    </row>
    <row r="710" spans="7:7" hidden="1">
      <c r="G710" s="36"/>
    </row>
    <row r="711" spans="7:7" hidden="1">
      <c r="G711" s="36"/>
    </row>
    <row r="712" spans="7:7" hidden="1">
      <c r="G712" s="36"/>
    </row>
    <row r="713" spans="7:7" hidden="1">
      <c r="G713" s="36"/>
    </row>
    <row r="714" spans="7:7" hidden="1">
      <c r="G714" s="36"/>
    </row>
    <row r="715" spans="7:7" hidden="1">
      <c r="G715" s="36"/>
    </row>
    <row r="716" spans="7:7" hidden="1">
      <c r="G716" s="36"/>
    </row>
    <row r="717" spans="7:7" hidden="1">
      <c r="G717" s="36"/>
    </row>
    <row r="718" spans="7:7" hidden="1">
      <c r="G718" s="36"/>
    </row>
    <row r="719" spans="7:7" hidden="1">
      <c r="G719" s="36"/>
    </row>
    <row r="720" spans="7:7" hidden="1">
      <c r="G720" s="36"/>
    </row>
    <row r="721" spans="7:7" hidden="1">
      <c r="G721" s="36"/>
    </row>
    <row r="722" spans="7:7" hidden="1">
      <c r="G722" s="36"/>
    </row>
    <row r="723" spans="7:7" hidden="1">
      <c r="G723" s="36"/>
    </row>
    <row r="724" spans="7:7" hidden="1">
      <c r="G724" s="36"/>
    </row>
    <row r="725" spans="7:7" hidden="1">
      <c r="G725" s="36"/>
    </row>
    <row r="726" spans="7:7" hidden="1">
      <c r="G726" s="36"/>
    </row>
    <row r="727" spans="7:7" hidden="1">
      <c r="G727" s="36"/>
    </row>
    <row r="728" spans="7:7" hidden="1">
      <c r="G728" s="36"/>
    </row>
    <row r="729" spans="7:7" hidden="1">
      <c r="G729" s="36"/>
    </row>
    <row r="730" spans="7:7" hidden="1">
      <c r="G730" s="36"/>
    </row>
    <row r="731" spans="7:7" hidden="1">
      <c r="G731" s="36"/>
    </row>
    <row r="732" spans="7:7" hidden="1">
      <c r="G732" s="36"/>
    </row>
    <row r="733" spans="7:7" hidden="1">
      <c r="G733" s="36"/>
    </row>
    <row r="734" spans="7:7" hidden="1">
      <c r="G734" s="36"/>
    </row>
    <row r="735" spans="7:7" hidden="1">
      <c r="G735" s="36"/>
    </row>
    <row r="736" spans="7:7" hidden="1">
      <c r="G736" s="36"/>
    </row>
    <row r="737" spans="7:7" hidden="1">
      <c r="G737" s="36"/>
    </row>
    <row r="738" spans="7:7" hidden="1">
      <c r="G738" s="36"/>
    </row>
    <row r="739" spans="7:7" hidden="1">
      <c r="G739" s="36"/>
    </row>
    <row r="740" spans="7:7" hidden="1">
      <c r="G740" s="36"/>
    </row>
    <row r="741" spans="7:7" hidden="1">
      <c r="G741" s="36"/>
    </row>
    <row r="742" spans="7:7" hidden="1">
      <c r="G742" s="36"/>
    </row>
    <row r="743" spans="7:7" hidden="1">
      <c r="G743" s="36"/>
    </row>
    <row r="744" spans="7:7" hidden="1">
      <c r="G744" s="36"/>
    </row>
    <row r="745" spans="7:7" hidden="1">
      <c r="G745" s="36"/>
    </row>
    <row r="746" spans="7:7" hidden="1">
      <c r="G746" s="36"/>
    </row>
    <row r="747" spans="7:7" hidden="1">
      <c r="G747" s="36"/>
    </row>
    <row r="748" spans="7:7" hidden="1">
      <c r="G748" s="36"/>
    </row>
    <row r="749" spans="7:7" hidden="1">
      <c r="G749" s="36"/>
    </row>
    <row r="750" spans="7:7" hidden="1">
      <c r="G750" s="36"/>
    </row>
    <row r="751" spans="7:7" hidden="1">
      <c r="G751" s="36"/>
    </row>
    <row r="752" spans="7:7" hidden="1">
      <c r="G752" s="36"/>
    </row>
    <row r="753" spans="7:7" hidden="1">
      <c r="G753" s="36"/>
    </row>
    <row r="754" spans="7:7" hidden="1">
      <c r="G754" s="36"/>
    </row>
    <row r="755" spans="7:7" hidden="1">
      <c r="G755" s="36"/>
    </row>
    <row r="756" spans="7:7" hidden="1">
      <c r="G756" s="36"/>
    </row>
    <row r="757" spans="7:7" hidden="1">
      <c r="G757" s="36"/>
    </row>
    <row r="758" spans="7:7" hidden="1">
      <c r="G758" s="36"/>
    </row>
    <row r="759" spans="7:7" hidden="1">
      <c r="G759" s="36"/>
    </row>
    <row r="760" spans="7:7" hidden="1">
      <c r="G760" s="36"/>
    </row>
    <row r="761" spans="7:7" hidden="1">
      <c r="G761" s="36"/>
    </row>
    <row r="762" spans="7:7" hidden="1">
      <c r="G762" s="36"/>
    </row>
    <row r="763" spans="7:7" hidden="1">
      <c r="G763" s="36"/>
    </row>
    <row r="764" spans="7:7" hidden="1">
      <c r="G764" s="36"/>
    </row>
    <row r="765" spans="7:7" hidden="1">
      <c r="G765" s="36"/>
    </row>
    <row r="766" spans="7:7" hidden="1">
      <c r="G766" s="36"/>
    </row>
    <row r="767" spans="7:7" hidden="1">
      <c r="G767" s="36"/>
    </row>
    <row r="768" spans="7:7" hidden="1">
      <c r="G768" s="36"/>
    </row>
    <row r="1048576" ht="1" hidden="1" customHeight="1"/>
  </sheetData>
  <sheetProtection algorithmName="SHA-512" hashValue="7zt9Z8+ASNKl9iXg+ANg3p+yXKsSz5hFACLk+1n0ywSMyaQLq57E8VJxjLY3w2v+OKcRl6I1ylMymIrmFPChdQ==" saltValue="WX5j8n7EOgqVQeostLzqkg==" spinCount="100000" sheet="1" objects="1" scenarios="1"/>
  <mergeCells count="19">
    <mergeCell ref="R46:T46"/>
    <mergeCell ref="B35:I35"/>
    <mergeCell ref="B5:D6"/>
    <mergeCell ref="E39:F39"/>
    <mergeCell ref="H39:I39"/>
    <mergeCell ref="Q42:Q43"/>
    <mergeCell ref="B39:D40"/>
    <mergeCell ref="N42:O43"/>
    <mergeCell ref="N5:T6"/>
    <mergeCell ref="H5:I5"/>
    <mergeCell ref="E5:F5"/>
    <mergeCell ref="S7:S9"/>
    <mergeCell ref="T7:T9"/>
    <mergeCell ref="E24:F24"/>
    <mergeCell ref="H24:I24"/>
    <mergeCell ref="B24:D25"/>
    <mergeCell ref="R43:T44"/>
    <mergeCell ref="B2:L2"/>
    <mergeCell ref="B3:L4"/>
  </mergeCells>
  <phoneticPr fontId="12" type="noConversion"/>
  <dataValidations count="3">
    <dataValidation type="list" allowBlank="1" showInputMessage="1" showErrorMessage="1" sqref="K28" xr:uid="{D623BFB1-2160-4A47-BAE8-C2A8E5C76E31}">
      <formula1>PFASname</formula1>
    </dataValidation>
    <dataValidation type="list" allowBlank="1" showInputMessage="1" showErrorMessage="1" sqref="K10" xr:uid="{33FA7E0C-BF88-46DF-B3C4-C6C42BC33F06}">
      <formula1>SoilName</formula1>
    </dataValidation>
    <dataValidation type="list" allowBlank="1" showInputMessage="1" showErrorMessage="1" sqref="N8" xr:uid="{D2B97732-0484-42E2-A2F8-35F8ABCE7F57}">
      <formula1>"Piecewise Linear Interpolation, Piecewise Constant Interpolation"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19" r:id="rId4" name="Button 19">
              <controlPr defaultSize="0" print="0" autoFill="0" autoPict="0" macro="[0]!M1_Calculate_aL">
                <anchor moveWithCells="1" sizeWithCells="1">
                  <from>
                    <xdr:col>10</xdr:col>
                    <xdr:colOff>25400</xdr:colOff>
                    <xdr:row>18</xdr:row>
                    <xdr:rowOff>0</xdr:rowOff>
                  </from>
                  <to>
                    <xdr:col>11</xdr:col>
                    <xdr:colOff>38100</xdr:colOff>
                    <xdr:row>18</xdr:row>
                    <xdr:rowOff>190500</xdr:rowOff>
                  </to>
                </anchor>
              </controlPr>
            </control>
          </mc:Choice>
        </mc:AlternateContent>
        <mc:AlternateContent xmlns:mc="http://schemas.openxmlformats.org/markup-compatibility/2006">
          <mc:Choice Requires="x14">
            <control shapeId="25620" r:id="rId5" name="Button 20">
              <controlPr defaultSize="0" print="0" autoFill="0" autoPict="0" macro="[0]!M1_Compute_Theta_1201">
                <anchor moveWithCells="1" sizeWithCells="1">
                  <from>
                    <xdr:col>10</xdr:col>
                    <xdr:colOff>25400</xdr:colOff>
                    <xdr:row>19</xdr:row>
                    <xdr:rowOff>0</xdr:rowOff>
                  </from>
                  <to>
                    <xdr:col>11</xdr:col>
                    <xdr:colOff>38100</xdr:colOff>
                    <xdr:row>19</xdr:row>
                    <xdr:rowOff>190500</xdr:rowOff>
                  </to>
                </anchor>
              </controlPr>
            </control>
          </mc:Choice>
        </mc:AlternateContent>
        <mc:AlternateContent xmlns:mc="http://schemas.openxmlformats.org/markup-compatibility/2006">
          <mc:Choice Requires="x14">
            <control shapeId="25621" r:id="rId6" name="Button 21">
              <controlPr defaultSize="0" print="0" autoFill="0" autoPict="0" macro="[0]!M1_Estimate_SF">
                <anchor moveWithCells="1" sizeWithCells="1">
                  <from>
                    <xdr:col>10</xdr:col>
                    <xdr:colOff>25400</xdr:colOff>
                    <xdr:row>20</xdr:row>
                    <xdr:rowOff>12700</xdr:rowOff>
                  </from>
                  <to>
                    <xdr:col>11</xdr:col>
                    <xdr:colOff>38100</xdr:colOff>
                    <xdr:row>20</xdr:row>
                    <xdr:rowOff>203200</xdr:rowOff>
                  </to>
                </anchor>
              </controlPr>
            </control>
          </mc:Choice>
        </mc:AlternateContent>
        <mc:AlternateContent xmlns:mc="http://schemas.openxmlformats.org/markup-compatibility/2006">
          <mc:Choice Requires="x14">
            <control shapeId="25622" r:id="rId7" name="Button 22">
              <controlPr defaultSize="0" print="0" autoFill="0" autoPict="0" macro="[0]!M1_EstimateAaw_1201">
                <anchor moveWithCells="1" sizeWithCells="1">
                  <from>
                    <xdr:col>10</xdr:col>
                    <xdr:colOff>25400</xdr:colOff>
                    <xdr:row>21</xdr:row>
                    <xdr:rowOff>12700</xdr:rowOff>
                  </from>
                  <to>
                    <xdr:col>11</xdr:col>
                    <xdr:colOff>38100</xdr:colOff>
                    <xdr:row>21</xdr:row>
                    <xdr:rowOff>203200</xdr:rowOff>
                  </to>
                </anchor>
              </controlPr>
            </control>
          </mc:Choice>
        </mc:AlternateContent>
        <mc:AlternateContent xmlns:mc="http://schemas.openxmlformats.org/markup-compatibility/2006">
          <mc:Choice Requires="x14">
            <control shapeId="25624" r:id="rId8" name="Button 24">
              <controlPr defaultSize="0" print="0" autoFill="0" autoPict="0" macro="[0]!M1_Estimate_Kd_1201">
                <anchor moveWithCells="1" sizeWithCells="1">
                  <from>
                    <xdr:col>10</xdr:col>
                    <xdr:colOff>0</xdr:colOff>
                    <xdr:row>32</xdr:row>
                    <xdr:rowOff>0</xdr:rowOff>
                  </from>
                  <to>
                    <xdr:col>11</xdr:col>
                    <xdr:colOff>12700</xdr:colOff>
                    <xdr:row>32</xdr:row>
                    <xdr:rowOff>203200</xdr:rowOff>
                  </to>
                </anchor>
              </controlPr>
            </control>
          </mc:Choice>
        </mc:AlternateContent>
        <mc:AlternateContent xmlns:mc="http://schemas.openxmlformats.org/markup-compatibility/2006">
          <mc:Choice Requires="x14">
            <control shapeId="25625" r:id="rId9" name="Button 25">
              <controlPr defaultSize="0" print="0" autoFill="0" autoPict="0" macro="[0]!M1_Estimate_Kaw_1201">
                <anchor moveWithCells="1" sizeWithCells="1">
                  <from>
                    <xdr:col>10</xdr:col>
                    <xdr:colOff>0</xdr:colOff>
                    <xdr:row>33</xdr:row>
                    <xdr:rowOff>25400</xdr:rowOff>
                  </from>
                  <to>
                    <xdr:col>11</xdr:col>
                    <xdr:colOff>12700</xdr:colOff>
                    <xdr:row>33</xdr:row>
                    <xdr:rowOff>215900</xdr:rowOff>
                  </to>
                </anchor>
              </controlPr>
            </control>
          </mc:Choice>
        </mc:AlternateContent>
        <mc:AlternateContent xmlns:mc="http://schemas.openxmlformats.org/markup-compatibility/2006">
          <mc:Choice Requires="x14">
            <control shapeId="25628" r:id="rId10" name="Button 28">
              <controlPr defaultSize="0" print="0" autoFill="0" autoPict="0" macro="[0]!M1_DF_Calculation_1201">
                <anchor moveWithCells="1" sizeWithCells="1">
                  <from>
                    <xdr:col>10</xdr:col>
                    <xdr:colOff>0</xdr:colOff>
                    <xdr:row>43</xdr:row>
                    <xdr:rowOff>203200</xdr:rowOff>
                  </from>
                  <to>
                    <xdr:col>11</xdr:col>
                    <xdr:colOff>25400</xdr:colOff>
                    <xdr:row>44</xdr:row>
                    <xdr:rowOff>203200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13D19-701F-4DA1-ADF2-59E54E2003BA}">
  <sheetPr codeName="Sheet1">
    <tabColor theme="9" tint="0.39997558519241921"/>
  </sheetPr>
  <dimension ref="A1:AX30"/>
  <sheetViews>
    <sheetView showGridLines="0" showRowColHeaders="0" zoomScale="90" zoomScaleNormal="100" workbookViewId="0">
      <selection activeCell="I18" sqref="I18"/>
    </sheetView>
  </sheetViews>
  <sheetFormatPr baseColWidth="10" defaultColWidth="0" defaultRowHeight="15" zeroHeight="1"/>
  <cols>
    <col min="1" max="1" width="0.83203125" style="50" customWidth="1"/>
    <col min="2" max="2" width="10.33203125" style="50" customWidth="1"/>
    <col min="3" max="3" width="74.33203125" style="50" customWidth="1"/>
    <col min="4" max="4" width="13.33203125" style="50" customWidth="1"/>
    <col min="5" max="5" width="10.1640625" style="50" customWidth="1"/>
    <col min="6" max="6" width="12.33203125" style="50" customWidth="1"/>
    <col min="7" max="7" width="5" style="50" customWidth="1"/>
    <col min="8" max="8" width="4.33203125" style="50" customWidth="1"/>
    <col min="9" max="9" width="72" style="50" customWidth="1"/>
    <col min="10" max="10" width="18.33203125" style="50" customWidth="1"/>
    <col min="11" max="11" width="11.1640625" style="50" customWidth="1"/>
    <col min="12" max="12" width="19.33203125" style="50" customWidth="1"/>
    <col min="13" max="13" width="16.33203125" style="50" customWidth="1"/>
    <col min="14" max="14" width="18.6640625" style="50" customWidth="1"/>
    <col min="15" max="15" width="8" style="50" customWidth="1"/>
    <col min="16" max="16" width="7" style="50" customWidth="1"/>
    <col min="17" max="50" width="0" style="50" hidden="1" customWidth="1"/>
    <col min="51" max="16384" width="9" style="50" hidden="1"/>
  </cols>
  <sheetData>
    <row r="1" spans="1:17" ht="56" customHeight="1">
      <c r="A1" s="396" t="s">
        <v>215</v>
      </c>
      <c r="B1" s="396"/>
      <c r="C1" s="396"/>
      <c r="D1" s="396"/>
      <c r="E1" s="396"/>
      <c r="F1" s="396"/>
    </row>
    <row r="2" spans="1:17" ht="49.25" customHeight="1" thickBot="1">
      <c r="A2" s="180"/>
      <c r="B2" s="180"/>
      <c r="C2" s="180"/>
      <c r="D2" s="180"/>
      <c r="E2" s="180"/>
      <c r="F2" s="180"/>
    </row>
    <row r="3" spans="1:17" ht="45" customHeight="1" thickBot="1">
      <c r="B3" s="393" t="s">
        <v>144</v>
      </c>
      <c r="C3" s="394"/>
      <c r="D3" s="394"/>
      <c r="E3" s="394"/>
      <c r="F3" s="395"/>
      <c r="G3" s="129"/>
      <c r="H3" s="129"/>
      <c r="I3" s="393" t="s">
        <v>145</v>
      </c>
      <c r="J3" s="394"/>
      <c r="K3" s="394"/>
      <c r="L3" s="181" t="s">
        <v>181</v>
      </c>
      <c r="M3" s="181" t="s">
        <v>216</v>
      </c>
      <c r="N3" s="182" t="s">
        <v>183</v>
      </c>
    </row>
    <row r="4" spans="1:17" ht="35" customHeight="1">
      <c r="B4" s="51"/>
      <c r="C4" s="60" t="s">
        <v>147</v>
      </c>
      <c r="F4" s="52"/>
      <c r="I4" s="89" t="s">
        <v>148</v>
      </c>
      <c r="J4" s="86" t="s">
        <v>149</v>
      </c>
      <c r="K4" s="60" t="s">
        <v>150</v>
      </c>
      <c r="L4" s="160">
        <v>9.6357105683684132</v>
      </c>
      <c r="M4" s="160">
        <v>6.920106162157996</v>
      </c>
      <c r="N4" s="161">
        <v>3.8580345595550583</v>
      </c>
      <c r="O4" s="131"/>
    </row>
    <row r="5" spans="1:17" ht="35" customHeight="1">
      <c r="B5" s="51"/>
      <c r="C5" s="150" t="s">
        <v>274</v>
      </c>
      <c r="F5" s="52"/>
      <c r="I5" s="89" t="s">
        <v>151</v>
      </c>
      <c r="J5" s="86" t="s">
        <v>152</v>
      </c>
      <c r="K5" s="60" t="s">
        <v>150</v>
      </c>
      <c r="L5" s="160">
        <v>2.1147903283627607</v>
      </c>
      <c r="M5" s="160">
        <v>1.5187870866964881</v>
      </c>
      <c r="N5" s="161">
        <v>0.84513547610529627</v>
      </c>
    </row>
    <row r="6" spans="1:17" ht="35" customHeight="1">
      <c r="B6" s="51"/>
      <c r="F6" s="52"/>
      <c r="I6" s="89" t="s">
        <v>153</v>
      </c>
      <c r="J6" s="86" t="s">
        <v>154</v>
      </c>
      <c r="K6" s="60" t="s">
        <v>150</v>
      </c>
      <c r="L6" s="160">
        <v>0.58006229409014975</v>
      </c>
      <c r="M6" s="160">
        <v>0.42380967537849024</v>
      </c>
      <c r="N6" s="161">
        <v>0.34584118339341469</v>
      </c>
    </row>
    <row r="7" spans="1:17" ht="38" customHeight="1">
      <c r="B7" s="51"/>
      <c r="F7" s="52"/>
      <c r="I7" s="89"/>
      <c r="J7" s="86"/>
      <c r="K7" s="60"/>
      <c r="L7" s="160"/>
      <c r="M7" s="160"/>
      <c r="N7" s="161"/>
    </row>
    <row r="8" spans="1:17" ht="38" customHeight="1" thickBot="1">
      <c r="B8" s="51"/>
      <c r="F8" s="52"/>
      <c r="I8" s="51"/>
      <c r="N8" s="52"/>
      <c r="O8" s="131"/>
    </row>
    <row r="9" spans="1:17" ht="45" customHeight="1" thickBot="1">
      <c r="B9" s="51"/>
      <c r="F9" s="52"/>
      <c r="I9" s="393" t="s">
        <v>217</v>
      </c>
      <c r="J9" s="394"/>
      <c r="K9" s="394"/>
      <c r="L9" s="394"/>
      <c r="M9" s="394"/>
      <c r="N9" s="395"/>
    </row>
    <row r="10" spans="1:17" ht="35" customHeight="1">
      <c r="B10" s="51"/>
      <c r="F10" s="52"/>
      <c r="I10" s="90" t="s">
        <v>156</v>
      </c>
      <c r="J10" s="84" t="s">
        <v>157</v>
      </c>
      <c r="K10" s="85" t="s">
        <v>138</v>
      </c>
      <c r="L10" s="339">
        <v>15.338585675184435</v>
      </c>
      <c r="M10" s="339">
        <v>12.663236820906919</v>
      </c>
      <c r="N10" s="340">
        <v>5.851949295558752</v>
      </c>
    </row>
    <row r="11" spans="1:17" ht="35" customHeight="1">
      <c r="B11" s="51"/>
      <c r="F11" s="52"/>
      <c r="I11" s="89" t="s">
        <v>158</v>
      </c>
      <c r="J11" s="86" t="s">
        <v>159</v>
      </c>
      <c r="K11" s="60" t="s">
        <v>138</v>
      </c>
      <c r="L11" s="341">
        <v>4.7973367242637943</v>
      </c>
      <c r="M11" s="341">
        <v>3.9012904109589037</v>
      </c>
      <c r="N11" s="342">
        <v>3.0534111826953341</v>
      </c>
      <c r="O11" s="131"/>
    </row>
    <row r="12" spans="1:17" ht="35" customHeight="1">
      <c r="B12" s="51"/>
      <c r="F12" s="52"/>
      <c r="I12" s="89" t="s">
        <v>160</v>
      </c>
      <c r="J12" s="86" t="s">
        <v>161</v>
      </c>
      <c r="K12" s="60" t="s">
        <v>138</v>
      </c>
      <c r="L12" s="341">
        <v>21.13592239944823</v>
      </c>
      <c r="M12" s="341">
        <v>17.564527231865824</v>
      </c>
      <c r="N12" s="342">
        <v>9.9053604782540852</v>
      </c>
    </row>
    <row r="13" spans="1:17" ht="35" customHeight="1">
      <c r="B13" s="51"/>
      <c r="F13" s="52"/>
      <c r="I13" s="89" t="s">
        <v>162</v>
      </c>
      <c r="J13" s="86" t="s">
        <v>163</v>
      </c>
      <c r="K13" s="60" t="s">
        <v>138</v>
      </c>
      <c r="L13" s="341">
        <v>4.5563432171681226</v>
      </c>
      <c r="M13" s="341">
        <v>4.5563372396126374</v>
      </c>
      <c r="N13" s="342">
        <v>4.5649894823186692</v>
      </c>
      <c r="O13" s="131"/>
      <c r="Q13" s="61"/>
    </row>
    <row r="14" spans="1:17" ht="35" customHeight="1">
      <c r="B14" s="51"/>
      <c r="F14" s="52"/>
      <c r="I14" s="89" t="s">
        <v>164</v>
      </c>
      <c r="J14" s="86" t="s">
        <v>137</v>
      </c>
      <c r="K14" s="60" t="s">
        <v>138</v>
      </c>
      <c r="L14" s="341">
        <v>214.89452793314348</v>
      </c>
      <c r="M14" s="341">
        <v>151.02462144651173</v>
      </c>
      <c r="N14" s="342">
        <v>116.63271449546308</v>
      </c>
    </row>
    <row r="15" spans="1:17" ht="35" customHeight="1">
      <c r="B15" s="51"/>
      <c r="F15" s="52"/>
      <c r="I15" s="89" t="s">
        <v>165</v>
      </c>
      <c r="J15" s="86" t="s">
        <v>166</v>
      </c>
      <c r="K15" s="60" t="s">
        <v>131</v>
      </c>
      <c r="L15" s="341">
        <v>62.238858065704939</v>
      </c>
      <c r="M15" s="341">
        <v>44.521197497437676</v>
      </c>
      <c r="N15" s="342">
        <v>24.676314326095142</v>
      </c>
    </row>
    <row r="16" spans="1:17" ht="39.5" customHeight="1" thickBot="1">
      <c r="B16" s="53"/>
      <c r="C16" s="149"/>
      <c r="D16" s="54"/>
      <c r="E16" s="54"/>
      <c r="F16" s="55"/>
      <c r="I16" s="136" t="s">
        <v>167</v>
      </c>
      <c r="J16" s="142" t="s">
        <v>168</v>
      </c>
      <c r="K16" s="88" t="s">
        <v>131</v>
      </c>
      <c r="L16" s="343">
        <v>81</v>
      </c>
      <c r="M16" s="343">
        <v>66</v>
      </c>
      <c r="N16" s="344">
        <v>43</v>
      </c>
    </row>
    <row r="17" spans="3:50" ht="20" customHeight="1">
      <c r="C17" s="62"/>
      <c r="W17" s="56"/>
      <c r="X17" s="56"/>
      <c r="Y17" s="56"/>
      <c r="Z17" s="56"/>
      <c r="AA17" s="56"/>
      <c r="AB17" s="56"/>
      <c r="AC17" s="56"/>
      <c r="AD17" s="56"/>
      <c r="AE17" s="56"/>
      <c r="AF17" s="56"/>
      <c r="AG17" s="56"/>
      <c r="AH17" s="56"/>
      <c r="AI17" s="56"/>
      <c r="AJ17" s="56"/>
      <c r="AK17" s="56"/>
      <c r="AL17" s="56"/>
      <c r="AM17" s="56"/>
      <c r="AN17" s="56"/>
      <c r="AO17" s="56"/>
      <c r="AP17" s="56"/>
      <c r="AQ17" s="56"/>
      <c r="AR17" s="56"/>
      <c r="AS17" s="56"/>
      <c r="AT17" s="56"/>
      <c r="AU17" s="56"/>
      <c r="AV17" s="56"/>
      <c r="AW17" s="56"/>
      <c r="AX17" s="56"/>
    </row>
    <row r="18" spans="3:50" ht="22.25" customHeight="1">
      <c r="C18" s="423"/>
      <c r="D18" s="423"/>
      <c r="E18" s="423"/>
      <c r="F18" s="134"/>
      <c r="G18" s="134"/>
      <c r="H18" s="134"/>
    </row>
    <row r="19" spans="3:50" ht="18" hidden="1">
      <c r="C19" s="57"/>
      <c r="D19" s="86"/>
      <c r="E19" s="60"/>
      <c r="F19" s="132"/>
      <c r="G19" s="132"/>
      <c r="H19" s="132"/>
    </row>
    <row r="20" spans="3:50" ht="18" hidden="1">
      <c r="C20" s="57"/>
      <c r="D20" s="86"/>
      <c r="E20" s="60"/>
      <c r="F20" s="132"/>
      <c r="G20" s="132"/>
      <c r="H20" s="132"/>
    </row>
    <row r="21" spans="3:50" ht="18" hidden="1">
      <c r="C21" s="57"/>
      <c r="D21" s="86"/>
      <c r="E21" s="60"/>
      <c r="F21" s="132"/>
      <c r="G21" s="132"/>
      <c r="H21" s="132"/>
    </row>
    <row r="22" spans="3:50" ht="18" hidden="1">
      <c r="C22" s="135"/>
      <c r="D22" s="86"/>
      <c r="E22" s="87"/>
      <c r="F22" s="133"/>
      <c r="G22" s="133"/>
      <c r="H22" s="133"/>
    </row>
    <row r="23" spans="3:50" ht="18" hidden="1">
      <c r="C23" s="57"/>
      <c r="D23" s="86"/>
      <c r="E23" s="60"/>
      <c r="F23" s="130"/>
      <c r="G23" s="130"/>
      <c r="H23" s="130"/>
    </row>
    <row r="24" spans="3:50" ht="18" hidden="1">
      <c r="C24" s="57"/>
      <c r="D24" s="86"/>
      <c r="E24" s="60"/>
      <c r="F24" s="130"/>
      <c r="G24" s="130"/>
      <c r="H24" s="130"/>
    </row>
    <row r="25" spans="3:50" ht="18" hidden="1">
      <c r="C25" s="57"/>
      <c r="D25" s="86"/>
      <c r="E25" s="60"/>
      <c r="F25" s="130"/>
      <c r="G25" s="130"/>
      <c r="H25" s="130"/>
    </row>
    <row r="26" spans="3:50" ht="18" hidden="1">
      <c r="C26" s="57"/>
      <c r="D26" s="86"/>
      <c r="E26" s="60"/>
      <c r="F26" s="130"/>
      <c r="G26" s="130"/>
      <c r="H26" s="130"/>
    </row>
    <row r="27" spans="3:50" ht="18" hidden="1">
      <c r="C27" s="57"/>
      <c r="D27" s="86"/>
      <c r="E27" s="60"/>
      <c r="F27" s="130"/>
      <c r="G27" s="130"/>
      <c r="H27" s="130"/>
    </row>
    <row r="28" spans="3:50" ht="18" hidden="1">
      <c r="C28" s="86"/>
      <c r="D28" s="86"/>
      <c r="E28" s="60"/>
      <c r="F28" s="60"/>
      <c r="G28" s="60"/>
      <c r="H28" s="60"/>
    </row>
    <row r="30" spans="3:50" ht="21.75" hidden="1" customHeight="1"/>
  </sheetData>
  <sheetProtection algorithmName="SHA-512" hashValue="Fmx4I/nAJjfTsWR6FdwhyFG5EyuVi7MN0DdQJNHeMFgqsILNIiCgEocgR/n5c44JS1xtKweo2SJWh+Ji84Eu4w==" saltValue="JFyCc1hZGtkKxt7iVUpCiQ==" spinCount="100000" sheet="1" objects="1" scenarios="1"/>
  <mergeCells count="5">
    <mergeCell ref="C18:E18"/>
    <mergeCell ref="I3:K3"/>
    <mergeCell ref="A1:F1"/>
    <mergeCell ref="I9:N9"/>
    <mergeCell ref="B3:F3"/>
  </mergeCells>
  <phoneticPr fontId="12" type="noConversion"/>
  <dataValidations disablePrompts="1" count="2">
    <dataValidation type="whole" allowBlank="1" showInputMessage="1" showErrorMessage="1" sqref="E9" xr:uid="{B9704F35-F50B-47E7-ACAD-BBE908CBB11F}">
      <formula1>1</formula1>
      <formula2>3</formula2>
    </dataValidation>
    <dataValidation type="list" allowBlank="1" showInputMessage="1" showErrorMessage="1" sqref="C5" xr:uid="{37032D22-7BF5-4489-BC25-43091164A8E6}">
      <formula1>"Vadose-zone mass discharge rate, Mass remaining in the vadose zone, PFAS concentration in a receptor well"</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M1_SaveMultipleCSVs">
                <anchor moveWithCells="1" sizeWithCells="1">
                  <from>
                    <xdr:col>3</xdr:col>
                    <xdr:colOff>469900</xdr:colOff>
                    <xdr:row>4</xdr:row>
                    <xdr:rowOff>12700</xdr:rowOff>
                  </from>
                  <to>
                    <xdr:col>5</xdr:col>
                    <xdr:colOff>508000</xdr:colOff>
                    <xdr:row>5</xdr:row>
                    <xdr:rowOff>12700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461E28-58A4-4EE1-B530-F13670AFC360}">
  <sheetPr codeName="Sheet12">
    <tabColor theme="9" tint="0.39997558519241921"/>
  </sheetPr>
  <dimension ref="A1:TX102"/>
  <sheetViews>
    <sheetView showGridLines="0" showRowColHeaders="0" zoomScaleNormal="100" workbookViewId="0">
      <selection activeCell="P6" sqref="P6"/>
    </sheetView>
  </sheetViews>
  <sheetFormatPr baseColWidth="10" defaultColWidth="0" defaultRowHeight="20" customHeight="1"/>
  <cols>
    <col min="1" max="1" width="19.6640625" style="78" customWidth="1"/>
    <col min="2" max="2" width="36.1640625" style="79" customWidth="1"/>
    <col min="3" max="3" width="33.33203125" style="79" customWidth="1"/>
    <col min="4" max="4" width="32.1640625" style="79" customWidth="1"/>
    <col min="5" max="5" width="32.6640625" style="79" customWidth="1"/>
    <col min="6" max="6" width="28.33203125" style="79" customWidth="1"/>
    <col min="7" max="7" width="32.33203125" style="79" customWidth="1"/>
    <col min="8" max="8" width="33" style="79" customWidth="1"/>
    <col min="9" max="9" width="30" style="79" customWidth="1"/>
    <col min="10" max="10" width="35.33203125" style="79" customWidth="1"/>
    <col min="11" max="11" width="37.33203125" style="79" customWidth="1"/>
    <col min="12" max="12" width="38.1640625" style="79" customWidth="1"/>
    <col min="13" max="13" width="38.33203125" style="79" customWidth="1"/>
    <col min="14" max="14" width="37.33203125" style="348" customWidth="1"/>
    <col min="15" max="15" width="37.6640625" style="349" customWidth="1"/>
    <col min="16" max="16" width="37.1640625" style="349" customWidth="1"/>
    <col min="17" max="32" width="9" style="77" hidden="1" customWidth="1"/>
    <col min="33" max="33" width="11.6640625" style="77" hidden="1" customWidth="1"/>
    <col min="34" max="16384" width="9" style="77" hidden="1"/>
  </cols>
  <sheetData>
    <row r="1" spans="1:544" s="70" customFormat="1" ht="41.25" customHeight="1" thickBot="1">
      <c r="A1" s="424" t="s">
        <v>170</v>
      </c>
      <c r="B1" s="424"/>
      <c r="C1" s="424"/>
      <c r="D1" s="424"/>
      <c r="E1" s="424"/>
      <c r="F1" s="424"/>
      <c r="G1" s="424"/>
      <c r="H1" s="424"/>
      <c r="I1" s="424"/>
      <c r="J1" s="424"/>
      <c r="K1" s="424"/>
      <c r="L1" s="424"/>
      <c r="M1" s="424"/>
      <c r="N1" s="151"/>
      <c r="O1" s="151"/>
      <c r="P1" s="151"/>
    </row>
    <row r="2" spans="1:544" s="37" customFormat="1" ht="48" customHeight="1" thickBot="1">
      <c r="A2" s="154" t="s">
        <v>171</v>
      </c>
      <c r="B2" s="155" t="s">
        <v>218</v>
      </c>
      <c r="C2" s="155" t="s">
        <v>219</v>
      </c>
      <c r="D2" s="155" t="s">
        <v>220</v>
      </c>
      <c r="E2" s="155" t="s">
        <v>221</v>
      </c>
      <c r="F2" s="155" t="s">
        <v>222</v>
      </c>
      <c r="G2" s="155" t="s">
        <v>223</v>
      </c>
      <c r="H2" s="155" t="s">
        <v>224</v>
      </c>
      <c r="I2" s="155" t="s">
        <v>225</v>
      </c>
      <c r="J2" s="155" t="s">
        <v>226</v>
      </c>
      <c r="K2" s="155" t="s">
        <v>227</v>
      </c>
      <c r="L2" s="155" t="s">
        <v>228</v>
      </c>
      <c r="M2" s="156" t="s">
        <v>229</v>
      </c>
      <c r="N2" s="156" t="s">
        <v>230</v>
      </c>
      <c r="O2" s="156" t="s">
        <v>231</v>
      </c>
      <c r="P2" s="156" t="s">
        <v>232</v>
      </c>
    </row>
    <row r="3" spans="1:544" s="73" customFormat="1" ht="20" customHeight="1">
      <c r="A3" s="71">
        <v>1</v>
      </c>
      <c r="B3" s="72">
        <v>0.29098967312505758</v>
      </c>
      <c r="C3" s="72">
        <v>0.28388191780755834</v>
      </c>
      <c r="D3" s="72">
        <v>0.41211705712362134</v>
      </c>
      <c r="E3" s="72">
        <v>7.6530746222689425E-4</v>
      </c>
      <c r="F3" s="72">
        <v>1.1555811270842012E-3</v>
      </c>
      <c r="G3" s="72">
        <v>2.4703569511807691E-3</v>
      </c>
      <c r="H3" s="72">
        <v>131992.91572952611</v>
      </c>
      <c r="I3" s="72">
        <v>183955.48273929782</v>
      </c>
      <c r="J3" s="72">
        <v>347167.40892093867</v>
      </c>
      <c r="K3" s="75">
        <v>190639882.08427048</v>
      </c>
      <c r="L3" s="75">
        <v>190587919.5172607</v>
      </c>
      <c r="M3" s="75">
        <v>190424707.59107906</v>
      </c>
      <c r="N3" s="347">
        <v>99.930811124160982</v>
      </c>
      <c r="O3" s="347">
        <v>99.903573059320564</v>
      </c>
      <c r="P3" s="347">
        <v>99.818019606443059</v>
      </c>
    </row>
    <row r="4" spans="1:544" s="73" customFormat="1" ht="20" customHeight="1">
      <c r="A4" s="74">
        <v>2</v>
      </c>
      <c r="B4" s="75">
        <v>0.29573317039026914</v>
      </c>
      <c r="C4" s="75">
        <v>0.3014174186719466</v>
      </c>
      <c r="D4" s="75">
        <v>0.47614653676402618</v>
      </c>
      <c r="E4" s="75">
        <v>9.174531076998996E-4</v>
      </c>
      <c r="F4" s="75">
        <v>1.423337214161956E-3</v>
      </c>
      <c r="G4" s="75">
        <v>3.2149438501497649E-3</v>
      </c>
      <c r="H4" s="75">
        <v>134144.56608902608</v>
      </c>
      <c r="I4" s="75">
        <v>195318.48729942139</v>
      </c>
      <c r="J4" s="75">
        <v>401105.84257001575</v>
      </c>
      <c r="K4" s="75">
        <v>190506813.3433612</v>
      </c>
      <c r="L4" s="75">
        <v>190398282.53224134</v>
      </c>
      <c r="M4" s="75">
        <v>190050570.96533358</v>
      </c>
      <c r="N4" s="347">
        <v>99.86105831552014</v>
      </c>
      <c r="O4" s="347">
        <v>99.804167953080793</v>
      </c>
      <c r="P4" s="347">
        <v>99.621902319371543</v>
      </c>
    </row>
    <row r="5" spans="1:544" s="73" customFormat="1" ht="20" customHeight="1">
      <c r="A5" s="74">
        <v>3</v>
      </c>
      <c r="B5" s="75">
        <v>0.31157840536081471</v>
      </c>
      <c r="C5" s="75">
        <v>0.32675584625805987</v>
      </c>
      <c r="D5" s="75">
        <v>0.54499877854448964</v>
      </c>
      <c r="E5" s="75">
        <v>1.0477007754625548E-3</v>
      </c>
      <c r="F5" s="75">
        <v>1.6561567846761546E-3</v>
      </c>
      <c r="G5" s="75">
        <v>3.8836777686870705E-3</v>
      </c>
      <c r="H5" s="75">
        <v>141331.96467166551</v>
      </c>
      <c r="I5" s="75">
        <v>211737.78837522279</v>
      </c>
      <c r="J5" s="75">
        <v>459106.97104587819</v>
      </c>
      <c r="K5" s="75">
        <v>190369075.07798085</v>
      </c>
      <c r="L5" s="75">
        <v>190194754.39440402</v>
      </c>
      <c r="M5" s="75">
        <v>189620464.55852565</v>
      </c>
      <c r="N5" s="347">
        <v>99.788857806204845</v>
      </c>
      <c r="O5" s="347">
        <v>99.697481295082952</v>
      </c>
      <c r="P5" s="347">
        <v>99.39644644082135</v>
      </c>
    </row>
    <row r="6" spans="1:544" s="73" customFormat="1" ht="20" customHeight="1">
      <c r="A6" s="74">
        <v>4</v>
      </c>
      <c r="B6" s="75">
        <v>0.33016960472532353</v>
      </c>
      <c r="C6" s="75">
        <v>0.35373265155387368</v>
      </c>
      <c r="D6" s="75">
        <v>0.61925873594513781</v>
      </c>
      <c r="E6" s="75">
        <v>1.1671083397776453E-3</v>
      </c>
      <c r="F6" s="75">
        <v>1.8720328143580097E-3</v>
      </c>
      <c r="G6" s="75">
        <v>4.5375771153790849E-3</v>
      </c>
      <c r="H6" s="75">
        <v>149764.93270340675</v>
      </c>
      <c r="I6" s="75">
        <v>229218.75820691016</v>
      </c>
      <c r="J6" s="75">
        <v>521663.55916018417</v>
      </c>
      <c r="K6" s="75">
        <v>190223526.62929332</v>
      </c>
      <c r="L6" s="75">
        <v>189974276.12111294</v>
      </c>
      <c r="M6" s="75">
        <v>189130079.29342261</v>
      </c>
      <c r="N6" s="347">
        <v>99.712563305934538</v>
      </c>
      <c r="O6" s="347">
        <v>99.581909608590337</v>
      </c>
      <c r="P6" s="347">
        <v>99.139393211616024</v>
      </c>
    </row>
    <row r="7" spans="1:544" s="73" customFormat="1" ht="20" customHeight="1">
      <c r="A7" s="74">
        <v>5</v>
      </c>
      <c r="B7" s="75">
        <v>0.34971479175728371</v>
      </c>
      <c r="C7" s="75">
        <v>0.38121560663470461</v>
      </c>
      <c r="D7" s="75">
        <v>0.71714915212215535</v>
      </c>
      <c r="E7" s="75">
        <v>1.2798961407405008E-3</v>
      </c>
      <c r="F7" s="75">
        <v>2.0779514691052002E-3</v>
      </c>
      <c r="G7" s="75">
        <v>5.2825558224607397E-3</v>
      </c>
      <c r="H7" s="75">
        <v>158630.62954110387</v>
      </c>
      <c r="I7" s="75">
        <v>247027.71309928861</v>
      </c>
      <c r="J7" s="75">
        <v>604126.44574770378</v>
      </c>
      <c r="K7" s="75">
        <v>190069328.84817106</v>
      </c>
      <c r="L7" s="75">
        <v>189736152.88545984</v>
      </c>
      <c r="M7" s="75">
        <v>188567184.29096866</v>
      </c>
      <c r="N7" s="347">
        <v>99.631734944247441</v>
      </c>
      <c r="O7" s="347">
        <v>99.457088674868785</v>
      </c>
      <c r="P7" s="347">
        <v>98.844331372729158</v>
      </c>
    </row>
    <row r="8" spans="1:544" s="73" customFormat="1" ht="20" customHeight="1">
      <c r="A8" s="74">
        <v>6</v>
      </c>
      <c r="B8" s="75">
        <v>0.36963929914449845</v>
      </c>
      <c r="C8" s="75">
        <v>0.40931121710409823</v>
      </c>
      <c r="D8" s="75">
        <v>0.87212637125225168</v>
      </c>
      <c r="E8" s="75">
        <v>1.388209419094294E-3</v>
      </c>
      <c r="F8" s="75">
        <v>2.2785734729357607E-3</v>
      </c>
      <c r="G8" s="75">
        <v>6.3193558630060022E-3</v>
      </c>
      <c r="H8" s="75">
        <v>167668.3860919445</v>
      </c>
      <c r="I8" s="75">
        <v>265233.66868345567</v>
      </c>
      <c r="J8" s="75">
        <v>734679.2551428969</v>
      </c>
      <c r="K8" s="75">
        <v>189906179.34035453</v>
      </c>
      <c r="L8" s="75">
        <v>189480022.19456849</v>
      </c>
      <c r="M8" s="75">
        <v>187897781.44052336</v>
      </c>
      <c r="N8" s="347">
        <v>99.546214210220725</v>
      </c>
      <c r="O8" s="347">
        <v>99.322828480125011</v>
      </c>
      <c r="P8" s="347">
        <v>98.493439580925312</v>
      </c>
    </row>
    <row r="9" spans="1:544" s="76" customFormat="1" ht="20" customHeight="1">
      <c r="A9" s="74">
        <v>7</v>
      </c>
      <c r="B9" s="75">
        <v>0.38976957112905952</v>
      </c>
      <c r="C9" s="75">
        <v>0.43924645234389759</v>
      </c>
      <c r="D9" s="75">
        <v>1.1273652139724653</v>
      </c>
      <c r="E9" s="75">
        <v>1.4933911766462943E-3</v>
      </c>
      <c r="F9" s="75">
        <v>2.4801799031514116E-3</v>
      </c>
      <c r="G9" s="75">
        <v>7.9337642182921407E-3</v>
      </c>
      <c r="H9" s="75">
        <v>176799.47746414138</v>
      </c>
      <c r="I9" s="75">
        <v>284631.70111884567</v>
      </c>
      <c r="J9" s="75">
        <v>949692.45625040482</v>
      </c>
      <c r="K9" s="75">
        <v>189733945.40857649</v>
      </c>
      <c r="L9" s="75">
        <v>189205089.50966734</v>
      </c>
      <c r="M9" s="75">
        <v>187055595.58482671</v>
      </c>
      <c r="N9" s="347">
        <v>99.455931545767157</v>
      </c>
      <c r="O9" s="347">
        <v>99.178712538033892</v>
      </c>
      <c r="P9" s="347">
        <v>98.051977307884982</v>
      </c>
    </row>
    <row r="10" spans="1:544" ht="20" customHeight="1">
      <c r="A10" s="74">
        <v>8</v>
      </c>
      <c r="B10" s="75">
        <v>0.41019881578600514</v>
      </c>
      <c r="C10" s="75">
        <v>0.47351156382404413</v>
      </c>
      <c r="D10" s="75">
        <v>1.5330079177948424</v>
      </c>
      <c r="E10" s="75">
        <v>1.5966133394671486E-3</v>
      </c>
      <c r="F10" s="75">
        <v>2.693342631407481E-3</v>
      </c>
      <c r="G10" s="75">
        <v>1.0480380367748199E-2</v>
      </c>
      <c r="H10" s="75">
        <v>186066.18284053192</v>
      </c>
      <c r="I10" s="75">
        <v>306835.49335798062</v>
      </c>
      <c r="J10" s="75">
        <v>1291405.8699503753</v>
      </c>
      <c r="K10" s="75">
        <v>189552512.57842416</v>
      </c>
      <c r="L10" s="75">
        <v>188909355.91242892</v>
      </c>
      <c r="M10" s="75">
        <v>185935046.42172632</v>
      </c>
      <c r="N10" s="347">
        <v>99.36082694496983</v>
      </c>
      <c r="O10" s="347">
        <v>99.023693043027919</v>
      </c>
      <c r="P10" s="347">
        <v>97.464600807496552</v>
      </c>
      <c r="Q10" s="73"/>
      <c r="R10" s="73"/>
      <c r="S10" s="73"/>
      <c r="T10" s="73"/>
      <c r="U10" s="73"/>
      <c r="V10" s="73"/>
      <c r="W10" s="73"/>
      <c r="X10" s="73"/>
      <c r="Y10" s="73"/>
      <c r="Z10" s="73"/>
      <c r="AA10" s="73"/>
      <c r="AB10" s="73"/>
      <c r="AC10" s="73"/>
      <c r="AD10" s="73"/>
      <c r="AE10" s="73"/>
      <c r="AF10" s="73"/>
      <c r="AG10" s="73"/>
      <c r="AH10" s="73"/>
      <c r="AI10" s="73"/>
      <c r="AJ10" s="73"/>
      <c r="AK10" s="73"/>
      <c r="AL10" s="73"/>
      <c r="AM10" s="73"/>
      <c r="AN10" s="73"/>
      <c r="AO10" s="73"/>
      <c r="AP10" s="73"/>
      <c r="AQ10" s="73"/>
      <c r="AR10" s="73"/>
      <c r="AS10" s="73"/>
      <c r="AT10" s="73"/>
      <c r="AU10" s="73"/>
      <c r="AV10" s="73"/>
      <c r="AW10" s="73"/>
      <c r="AX10" s="73"/>
      <c r="AY10" s="73"/>
      <c r="AZ10" s="73"/>
      <c r="BA10" s="73"/>
      <c r="BB10" s="73"/>
      <c r="BC10" s="73"/>
      <c r="BD10" s="73"/>
      <c r="BE10" s="73"/>
      <c r="BF10" s="73"/>
      <c r="BG10" s="73"/>
      <c r="BH10" s="73"/>
      <c r="BI10" s="73"/>
      <c r="BJ10" s="73"/>
      <c r="BK10" s="73"/>
      <c r="BL10" s="73"/>
      <c r="BM10" s="73"/>
      <c r="BN10" s="73"/>
      <c r="BO10" s="73"/>
      <c r="BP10" s="73"/>
      <c r="BQ10" s="73"/>
      <c r="BR10" s="73"/>
      <c r="BS10" s="73"/>
      <c r="BT10" s="73"/>
      <c r="BU10" s="73"/>
      <c r="BV10" s="73"/>
      <c r="BW10" s="73"/>
      <c r="BX10" s="73"/>
      <c r="BY10" s="73"/>
      <c r="BZ10" s="73"/>
      <c r="CA10" s="73"/>
      <c r="CB10" s="73"/>
      <c r="CC10" s="73"/>
      <c r="CD10" s="73"/>
      <c r="CE10" s="73"/>
      <c r="CF10" s="73"/>
      <c r="CG10" s="73"/>
      <c r="CH10" s="73"/>
      <c r="CI10" s="73"/>
      <c r="CJ10" s="73"/>
      <c r="CK10" s="73"/>
      <c r="CL10" s="73"/>
      <c r="CM10" s="73"/>
      <c r="CN10" s="73"/>
      <c r="CO10" s="73"/>
      <c r="CP10" s="73"/>
      <c r="CQ10" s="73"/>
      <c r="CR10" s="73"/>
      <c r="CS10" s="73"/>
      <c r="CT10" s="73"/>
      <c r="CU10" s="73"/>
      <c r="CV10" s="73"/>
      <c r="CW10" s="73"/>
      <c r="CX10" s="73"/>
      <c r="CY10" s="73"/>
      <c r="CZ10" s="73"/>
      <c r="DA10" s="73"/>
      <c r="DB10" s="73"/>
      <c r="DC10" s="73"/>
      <c r="DD10" s="73"/>
      <c r="DE10" s="73"/>
      <c r="DF10" s="73"/>
      <c r="DG10" s="73"/>
      <c r="DH10" s="73"/>
      <c r="DI10" s="73"/>
      <c r="DJ10" s="73"/>
      <c r="DK10" s="73"/>
      <c r="DL10" s="73"/>
      <c r="DM10" s="73"/>
      <c r="DN10" s="73"/>
      <c r="DO10" s="73"/>
      <c r="DP10" s="73"/>
      <c r="DQ10" s="73"/>
      <c r="DR10" s="73"/>
      <c r="DS10" s="73"/>
      <c r="DT10" s="73"/>
      <c r="DU10" s="73"/>
      <c r="DV10" s="73"/>
      <c r="DW10" s="73"/>
      <c r="DX10" s="73"/>
      <c r="DY10" s="73"/>
      <c r="DZ10" s="73"/>
      <c r="EA10" s="73"/>
      <c r="EB10" s="73"/>
      <c r="EC10" s="73"/>
      <c r="ED10" s="73"/>
      <c r="EE10" s="73"/>
      <c r="EF10" s="73"/>
      <c r="EG10" s="73"/>
      <c r="EH10" s="73"/>
      <c r="EI10" s="73"/>
      <c r="EJ10" s="73"/>
      <c r="EK10" s="73"/>
      <c r="EL10" s="73"/>
      <c r="EM10" s="73"/>
      <c r="EN10" s="73"/>
      <c r="EO10" s="73"/>
      <c r="EP10" s="73"/>
      <c r="EQ10" s="73"/>
      <c r="ER10" s="73"/>
      <c r="ES10" s="73"/>
      <c r="ET10" s="73"/>
      <c r="EU10" s="73"/>
      <c r="EV10" s="73"/>
      <c r="EW10" s="73"/>
      <c r="EX10" s="73"/>
      <c r="EY10" s="73"/>
      <c r="EZ10" s="73"/>
      <c r="FA10" s="73"/>
      <c r="FB10" s="73"/>
      <c r="FC10" s="73"/>
      <c r="FD10" s="73"/>
      <c r="FE10" s="73"/>
      <c r="FF10" s="73"/>
      <c r="FG10" s="73"/>
      <c r="FH10" s="73"/>
      <c r="FI10" s="73"/>
      <c r="FJ10" s="73"/>
      <c r="FK10" s="73"/>
      <c r="FL10" s="73"/>
      <c r="FM10" s="73"/>
      <c r="FN10" s="73"/>
      <c r="FO10" s="73"/>
      <c r="FP10" s="73"/>
      <c r="FQ10" s="73"/>
      <c r="FR10" s="73"/>
      <c r="FS10" s="73"/>
      <c r="FT10" s="73"/>
      <c r="FU10" s="73"/>
      <c r="FV10" s="73"/>
      <c r="FW10" s="73"/>
      <c r="FX10" s="73"/>
      <c r="FY10" s="73"/>
      <c r="FZ10" s="73"/>
      <c r="GA10" s="73"/>
      <c r="GB10" s="73"/>
      <c r="GC10" s="73"/>
      <c r="GD10" s="73"/>
      <c r="GE10" s="73"/>
      <c r="GF10" s="73"/>
      <c r="GG10" s="73"/>
      <c r="GH10" s="73"/>
      <c r="GI10" s="73"/>
      <c r="GJ10" s="73"/>
      <c r="GK10" s="73"/>
      <c r="GL10" s="73"/>
      <c r="GM10" s="73"/>
      <c r="GN10" s="73"/>
      <c r="GO10" s="73"/>
      <c r="GP10" s="73"/>
      <c r="GQ10" s="73"/>
      <c r="GR10" s="73"/>
      <c r="GS10" s="73"/>
      <c r="GT10" s="73"/>
      <c r="GU10" s="73"/>
      <c r="GV10" s="73"/>
      <c r="GW10" s="73"/>
      <c r="GX10" s="73"/>
      <c r="GY10" s="73"/>
      <c r="GZ10" s="73"/>
      <c r="HA10" s="73"/>
      <c r="HB10" s="73"/>
      <c r="HC10" s="73"/>
      <c r="HD10" s="73"/>
      <c r="HE10" s="73"/>
      <c r="HF10" s="73"/>
      <c r="HG10" s="73"/>
      <c r="HH10" s="73"/>
      <c r="HI10" s="73"/>
      <c r="HJ10" s="73"/>
      <c r="HK10" s="73"/>
      <c r="HL10" s="73"/>
      <c r="HM10" s="73"/>
      <c r="HN10" s="73"/>
      <c r="HO10" s="73"/>
      <c r="HP10" s="73"/>
      <c r="HQ10" s="73"/>
      <c r="HR10" s="73"/>
      <c r="HS10" s="73"/>
      <c r="HT10" s="73"/>
      <c r="HU10" s="73"/>
      <c r="HV10" s="73"/>
      <c r="HW10" s="73"/>
      <c r="HX10" s="73"/>
      <c r="HY10" s="73"/>
      <c r="HZ10" s="73"/>
      <c r="IA10" s="73"/>
      <c r="IB10" s="73"/>
      <c r="IC10" s="73"/>
      <c r="ID10" s="73"/>
      <c r="IE10" s="73"/>
      <c r="IF10" s="73"/>
      <c r="IG10" s="73"/>
      <c r="IH10" s="73"/>
      <c r="II10" s="73"/>
      <c r="IJ10" s="73"/>
      <c r="IK10" s="73"/>
      <c r="IL10" s="73"/>
      <c r="IM10" s="73"/>
      <c r="IN10" s="73"/>
      <c r="IO10" s="73"/>
      <c r="IP10" s="73"/>
      <c r="IQ10" s="73"/>
      <c r="IR10" s="73"/>
      <c r="IS10" s="73"/>
      <c r="IT10" s="73"/>
      <c r="IU10" s="73"/>
      <c r="IV10" s="73"/>
      <c r="IW10" s="73"/>
      <c r="IX10" s="73"/>
      <c r="IY10" s="73"/>
      <c r="IZ10" s="73"/>
      <c r="JA10" s="73"/>
      <c r="JB10" s="73"/>
      <c r="JC10" s="73"/>
      <c r="JD10" s="73"/>
      <c r="JE10" s="73"/>
      <c r="JF10" s="73"/>
      <c r="JG10" s="73"/>
      <c r="JH10" s="73"/>
      <c r="JI10" s="73"/>
      <c r="JJ10" s="73"/>
      <c r="JK10" s="73"/>
      <c r="JL10" s="73"/>
      <c r="JM10" s="73"/>
      <c r="JN10" s="73"/>
      <c r="JO10" s="73"/>
      <c r="JP10" s="73"/>
      <c r="JQ10" s="73"/>
      <c r="JR10" s="73"/>
      <c r="JS10" s="73"/>
      <c r="JT10" s="73"/>
      <c r="JU10" s="73"/>
      <c r="JV10" s="73"/>
      <c r="JW10" s="73"/>
      <c r="JX10" s="73"/>
      <c r="JY10" s="73"/>
      <c r="JZ10" s="73"/>
      <c r="KA10" s="73"/>
      <c r="KB10" s="73"/>
      <c r="KC10" s="73"/>
      <c r="KD10" s="73"/>
      <c r="KE10" s="73"/>
      <c r="KF10" s="73"/>
      <c r="KG10" s="73"/>
      <c r="KH10" s="73"/>
      <c r="KI10" s="73"/>
      <c r="KJ10" s="73"/>
      <c r="KK10" s="73"/>
      <c r="KL10" s="73"/>
      <c r="KM10" s="73"/>
      <c r="KN10" s="73"/>
      <c r="KO10" s="73"/>
      <c r="KP10" s="73"/>
      <c r="KQ10" s="73"/>
      <c r="KR10" s="73"/>
      <c r="KS10" s="73"/>
      <c r="KT10" s="73"/>
      <c r="KU10" s="73"/>
      <c r="KV10" s="73"/>
      <c r="KW10" s="73"/>
      <c r="KX10" s="73"/>
      <c r="KY10" s="73"/>
      <c r="KZ10" s="73"/>
      <c r="LA10" s="73"/>
      <c r="LB10" s="73"/>
      <c r="LC10" s="73"/>
      <c r="LD10" s="73"/>
      <c r="LE10" s="73"/>
      <c r="LF10" s="73"/>
      <c r="LG10" s="73"/>
      <c r="LH10" s="73"/>
      <c r="LI10" s="73"/>
      <c r="LJ10" s="73"/>
      <c r="LK10" s="73"/>
      <c r="LL10" s="73"/>
      <c r="LM10" s="73"/>
      <c r="LN10" s="73"/>
      <c r="LO10" s="73"/>
      <c r="LP10" s="73"/>
      <c r="LQ10" s="73"/>
      <c r="LR10" s="73"/>
      <c r="LS10" s="73"/>
      <c r="LT10" s="73"/>
      <c r="LU10" s="73"/>
      <c r="LV10" s="73"/>
      <c r="LW10" s="73"/>
      <c r="LX10" s="73"/>
      <c r="LY10" s="73"/>
      <c r="LZ10" s="73"/>
      <c r="MA10" s="73"/>
      <c r="MB10" s="73"/>
      <c r="MC10" s="73"/>
      <c r="MD10" s="73"/>
      <c r="ME10" s="73"/>
      <c r="MF10" s="73"/>
      <c r="MG10" s="73"/>
      <c r="MH10" s="73"/>
      <c r="MI10" s="73"/>
      <c r="MJ10" s="73"/>
      <c r="MK10" s="73"/>
      <c r="ML10" s="73"/>
      <c r="MM10" s="73"/>
      <c r="MN10" s="73"/>
      <c r="MO10" s="73"/>
      <c r="MP10" s="73"/>
      <c r="MQ10" s="73"/>
      <c r="MR10" s="73"/>
      <c r="MS10" s="73"/>
      <c r="MT10" s="73"/>
      <c r="MU10" s="73"/>
      <c r="MV10" s="73"/>
      <c r="MW10" s="73"/>
      <c r="MX10" s="73"/>
      <c r="MY10" s="73"/>
      <c r="MZ10" s="73"/>
      <c r="NA10" s="73"/>
      <c r="NB10" s="73"/>
      <c r="NC10" s="73"/>
      <c r="ND10" s="73"/>
      <c r="NE10" s="73"/>
      <c r="NF10" s="73"/>
      <c r="NG10" s="73"/>
      <c r="NH10" s="73"/>
      <c r="NI10" s="73"/>
      <c r="NJ10" s="73"/>
      <c r="NK10" s="73"/>
      <c r="NL10" s="73"/>
      <c r="NM10" s="73"/>
      <c r="NN10" s="73"/>
      <c r="NO10" s="73"/>
      <c r="NP10" s="73"/>
      <c r="NQ10" s="73"/>
      <c r="NR10" s="73"/>
      <c r="NS10" s="73"/>
      <c r="NT10" s="73"/>
      <c r="NU10" s="73"/>
      <c r="NV10" s="73"/>
      <c r="NW10" s="73"/>
      <c r="NX10" s="73"/>
      <c r="NY10" s="73"/>
      <c r="NZ10" s="73"/>
      <c r="OA10" s="73"/>
      <c r="OB10" s="73"/>
      <c r="OC10" s="73"/>
      <c r="OD10" s="73"/>
      <c r="OE10" s="73"/>
      <c r="OF10" s="73"/>
      <c r="OG10" s="73"/>
      <c r="OH10" s="73"/>
      <c r="OI10" s="73"/>
      <c r="OJ10" s="73"/>
      <c r="OK10" s="73"/>
      <c r="OL10" s="73"/>
      <c r="OM10" s="73"/>
      <c r="ON10" s="73"/>
      <c r="OO10" s="73"/>
      <c r="OP10" s="73"/>
      <c r="OQ10" s="73"/>
      <c r="OR10" s="73"/>
      <c r="OS10" s="73"/>
      <c r="OT10" s="73"/>
      <c r="OU10" s="73"/>
      <c r="OV10" s="73"/>
      <c r="OW10" s="73"/>
      <c r="OX10" s="73"/>
      <c r="OY10" s="73"/>
      <c r="OZ10" s="73"/>
      <c r="PA10" s="73"/>
      <c r="PB10" s="73"/>
      <c r="PC10" s="73"/>
      <c r="PD10" s="73"/>
      <c r="PE10" s="73"/>
      <c r="PF10" s="73"/>
      <c r="PG10" s="73"/>
      <c r="PH10" s="73"/>
      <c r="PI10" s="73"/>
      <c r="PJ10" s="73"/>
      <c r="PK10" s="73"/>
      <c r="PL10" s="73"/>
      <c r="PM10" s="73"/>
      <c r="PN10" s="73"/>
      <c r="PO10" s="73"/>
      <c r="PP10" s="73"/>
      <c r="PQ10" s="73"/>
      <c r="PR10" s="73"/>
      <c r="PS10" s="73"/>
      <c r="PT10" s="73"/>
      <c r="PU10" s="73"/>
      <c r="PV10" s="73"/>
      <c r="PW10" s="73"/>
      <c r="PX10" s="73"/>
      <c r="PY10" s="73"/>
      <c r="PZ10" s="73"/>
      <c r="QA10" s="73"/>
      <c r="QB10" s="73"/>
      <c r="QC10" s="73"/>
      <c r="QD10" s="73"/>
      <c r="QE10" s="73"/>
      <c r="QF10" s="73"/>
      <c r="QG10" s="73"/>
      <c r="QH10" s="73"/>
      <c r="QI10" s="73"/>
      <c r="QJ10" s="73"/>
      <c r="QK10" s="73"/>
      <c r="QL10" s="73"/>
      <c r="QM10" s="73"/>
      <c r="QN10" s="73"/>
      <c r="QO10" s="73"/>
      <c r="QP10" s="73"/>
      <c r="QQ10" s="73"/>
      <c r="QR10" s="73"/>
      <c r="QS10" s="73"/>
      <c r="QT10" s="73"/>
      <c r="QU10" s="73"/>
      <c r="QV10" s="73"/>
      <c r="QW10" s="73"/>
      <c r="QX10" s="73"/>
      <c r="QY10" s="73"/>
      <c r="QZ10" s="73"/>
      <c r="RA10" s="73"/>
      <c r="RB10" s="73"/>
      <c r="RC10" s="73"/>
      <c r="RD10" s="73"/>
      <c r="RE10" s="73"/>
      <c r="RF10" s="73"/>
      <c r="RG10" s="73"/>
      <c r="RH10" s="73"/>
      <c r="RI10" s="73"/>
      <c r="RJ10" s="73"/>
      <c r="RK10" s="73"/>
      <c r="RL10" s="73"/>
      <c r="RM10" s="73"/>
      <c r="RN10" s="73"/>
      <c r="RO10" s="73"/>
      <c r="RP10" s="73"/>
      <c r="RQ10" s="73"/>
      <c r="RR10" s="73"/>
      <c r="RS10" s="73"/>
      <c r="RT10" s="73"/>
      <c r="RU10" s="73"/>
      <c r="RV10" s="73"/>
      <c r="RW10" s="73"/>
      <c r="RX10" s="73"/>
      <c r="RY10" s="73"/>
      <c r="RZ10" s="73"/>
      <c r="SA10" s="73"/>
      <c r="SB10" s="73"/>
      <c r="SC10" s="73"/>
      <c r="SD10" s="73"/>
      <c r="SE10" s="73"/>
      <c r="SF10" s="73"/>
      <c r="SG10" s="73"/>
      <c r="SH10" s="73"/>
      <c r="SI10" s="73"/>
      <c r="SJ10" s="73"/>
      <c r="SK10" s="73"/>
      <c r="SL10" s="73"/>
      <c r="SM10" s="73"/>
      <c r="SN10" s="73"/>
      <c r="SO10" s="73"/>
      <c r="SP10" s="73"/>
      <c r="SQ10" s="73"/>
      <c r="SR10" s="73"/>
      <c r="SS10" s="73"/>
      <c r="ST10" s="73"/>
      <c r="SU10" s="73"/>
      <c r="SV10" s="73"/>
      <c r="SW10" s="73"/>
      <c r="SX10" s="73"/>
      <c r="SY10" s="73"/>
      <c r="SZ10" s="73"/>
      <c r="TA10" s="73"/>
      <c r="TB10" s="73"/>
      <c r="TC10" s="73"/>
      <c r="TD10" s="73"/>
      <c r="TE10" s="73"/>
      <c r="TF10" s="73"/>
      <c r="TG10" s="73"/>
      <c r="TH10" s="73"/>
      <c r="TI10" s="73"/>
      <c r="TJ10" s="73"/>
      <c r="TK10" s="73"/>
      <c r="TL10" s="73"/>
      <c r="TM10" s="73"/>
      <c r="TN10" s="73"/>
      <c r="TO10" s="73"/>
      <c r="TP10" s="73"/>
      <c r="TQ10" s="73"/>
      <c r="TR10" s="73"/>
      <c r="TS10" s="73"/>
      <c r="TT10" s="73"/>
      <c r="TU10" s="73"/>
      <c r="TV10" s="73"/>
      <c r="TW10" s="73"/>
      <c r="TX10" s="73"/>
    </row>
    <row r="11" spans="1:544" ht="20" customHeight="1">
      <c r="A11" s="74">
        <v>9</v>
      </c>
      <c r="B11" s="75">
        <v>0.43131934007338241</v>
      </c>
      <c r="C11" s="75">
        <v>0.51572839839908002</v>
      </c>
      <c r="D11" s="75">
        <v>2.1405870886796015</v>
      </c>
      <c r="E11" s="75">
        <v>1.6993727439652919E-3</v>
      </c>
      <c r="F11" s="75">
        <v>2.9339979644143017E-3</v>
      </c>
      <c r="G11" s="75">
        <v>1.4355285837527728E-2</v>
      </c>
      <c r="H11" s="75">
        <v>195646.45265728622</v>
      </c>
      <c r="I11" s="75">
        <v>334192.00216260384</v>
      </c>
      <c r="J11" s="75">
        <v>1803230.5635036966</v>
      </c>
      <c r="K11" s="75">
        <v>189361656.26067525</v>
      </c>
      <c r="L11" s="75">
        <v>188588842.16466862</v>
      </c>
      <c r="M11" s="75">
        <v>184387728.2049993</v>
      </c>
      <c r="N11" s="347">
        <v>99.260782681239178</v>
      </c>
      <c r="O11" s="347">
        <v>98.85568413303514</v>
      </c>
      <c r="P11" s="347">
        <v>96.653517823316093</v>
      </c>
      <c r="Q11" s="73"/>
      <c r="R11" s="73"/>
      <c r="S11" s="73"/>
      <c r="T11" s="73"/>
      <c r="U11" s="73"/>
      <c r="V11" s="73"/>
      <c r="W11" s="73"/>
      <c r="X11" s="73"/>
      <c r="Y11" s="73"/>
      <c r="Z11" s="73"/>
      <c r="AA11" s="73"/>
      <c r="AB11" s="73"/>
      <c r="AC11" s="73"/>
      <c r="AD11" s="73"/>
      <c r="AE11" s="73"/>
      <c r="AF11" s="73"/>
      <c r="AG11" s="73"/>
      <c r="AH11" s="73"/>
      <c r="AI11" s="73"/>
      <c r="AJ11" s="73"/>
      <c r="AK11" s="73"/>
      <c r="AL11" s="73"/>
      <c r="AM11" s="73"/>
      <c r="AN11" s="73"/>
      <c r="AO11" s="73"/>
      <c r="AP11" s="73"/>
      <c r="AQ11" s="73"/>
      <c r="AR11" s="73"/>
      <c r="AS11" s="73"/>
      <c r="AT11" s="73"/>
      <c r="AU11" s="73"/>
      <c r="AV11" s="73"/>
      <c r="AW11" s="73"/>
      <c r="AX11" s="73"/>
      <c r="AY11" s="73"/>
      <c r="AZ11" s="73"/>
      <c r="BA11" s="73"/>
      <c r="BB11" s="73"/>
      <c r="BC11" s="73"/>
      <c r="BD11" s="73"/>
      <c r="BE11" s="73"/>
      <c r="BF11" s="73"/>
      <c r="BG11" s="73"/>
      <c r="BH11" s="73"/>
      <c r="BI11" s="73"/>
      <c r="BJ11" s="73"/>
      <c r="BK11" s="73"/>
      <c r="BL11" s="73"/>
      <c r="BM11" s="73"/>
      <c r="BN11" s="73"/>
      <c r="BO11" s="73"/>
      <c r="BP11" s="73"/>
      <c r="BQ11" s="73"/>
      <c r="BR11" s="73"/>
      <c r="BS11" s="73"/>
      <c r="BT11" s="73"/>
      <c r="BU11" s="73"/>
      <c r="BV11" s="73"/>
      <c r="BW11" s="73"/>
      <c r="BX11" s="73"/>
      <c r="BY11" s="73"/>
      <c r="BZ11" s="73"/>
      <c r="CA11" s="73"/>
      <c r="CB11" s="73"/>
      <c r="CC11" s="73"/>
      <c r="CD11" s="73"/>
      <c r="CE11" s="73"/>
      <c r="CF11" s="73"/>
      <c r="CG11" s="73"/>
      <c r="CH11" s="73"/>
      <c r="CI11" s="73"/>
      <c r="CJ11" s="73"/>
      <c r="CK11" s="73"/>
      <c r="CL11" s="73"/>
      <c r="CM11" s="73"/>
      <c r="CN11" s="73"/>
      <c r="CO11" s="73"/>
      <c r="CP11" s="73"/>
      <c r="CQ11" s="73"/>
      <c r="CR11" s="73"/>
      <c r="CS11" s="73"/>
      <c r="CT11" s="73"/>
      <c r="CU11" s="73"/>
      <c r="CV11" s="73"/>
      <c r="CW11" s="73"/>
      <c r="CX11" s="73"/>
      <c r="CY11" s="73"/>
      <c r="CZ11" s="73"/>
      <c r="DA11" s="73"/>
      <c r="DB11" s="73"/>
      <c r="DC11" s="73"/>
      <c r="DD11" s="73"/>
      <c r="DE11" s="73"/>
      <c r="DF11" s="73"/>
      <c r="DG11" s="73"/>
      <c r="DH11" s="73"/>
      <c r="DI11" s="73"/>
      <c r="DJ11" s="73"/>
      <c r="DK11" s="73"/>
      <c r="DL11" s="73"/>
      <c r="DM11" s="73"/>
      <c r="DN11" s="73"/>
      <c r="DO11" s="73"/>
      <c r="DP11" s="73"/>
      <c r="DQ11" s="73"/>
      <c r="DR11" s="73"/>
      <c r="DS11" s="73"/>
      <c r="DT11" s="73"/>
      <c r="DU11" s="73"/>
      <c r="DV11" s="73"/>
      <c r="DW11" s="73"/>
      <c r="DX11" s="73"/>
      <c r="DY11" s="73"/>
      <c r="DZ11" s="73"/>
      <c r="EA11" s="73"/>
      <c r="EB11" s="73"/>
      <c r="EC11" s="73"/>
      <c r="ED11" s="73"/>
      <c r="EE11" s="73"/>
      <c r="EF11" s="73"/>
      <c r="EG11" s="73"/>
      <c r="EH11" s="73"/>
      <c r="EI11" s="73"/>
      <c r="EJ11" s="73"/>
      <c r="EK11" s="73"/>
      <c r="EL11" s="73"/>
      <c r="EM11" s="73"/>
      <c r="EN11" s="73"/>
      <c r="EO11" s="73"/>
      <c r="EP11" s="73"/>
      <c r="EQ11" s="73"/>
      <c r="ER11" s="73"/>
      <c r="ES11" s="73"/>
      <c r="ET11" s="73"/>
      <c r="EU11" s="73"/>
      <c r="EV11" s="73"/>
      <c r="EW11" s="73"/>
      <c r="EX11" s="73"/>
      <c r="EY11" s="73"/>
      <c r="EZ11" s="73"/>
      <c r="FA11" s="73"/>
      <c r="FB11" s="73"/>
      <c r="FC11" s="73"/>
      <c r="FD11" s="73"/>
      <c r="FE11" s="73"/>
      <c r="FF11" s="73"/>
      <c r="FG11" s="73"/>
      <c r="FH11" s="73"/>
      <c r="FI11" s="73"/>
      <c r="FJ11" s="73"/>
      <c r="FK11" s="73"/>
      <c r="FL11" s="73"/>
      <c r="FM11" s="73"/>
      <c r="FN11" s="73"/>
      <c r="FO11" s="73"/>
      <c r="FP11" s="73"/>
      <c r="FQ11" s="73"/>
      <c r="FR11" s="73"/>
      <c r="FS11" s="73"/>
      <c r="FT11" s="73"/>
      <c r="FU11" s="73"/>
      <c r="FV11" s="73"/>
      <c r="FW11" s="73"/>
      <c r="FX11" s="73"/>
      <c r="FY11" s="73"/>
      <c r="FZ11" s="73"/>
      <c r="GA11" s="73"/>
      <c r="GB11" s="73"/>
      <c r="GC11" s="73"/>
      <c r="GD11" s="73"/>
      <c r="GE11" s="73"/>
      <c r="GF11" s="73"/>
      <c r="GG11" s="73"/>
      <c r="GH11" s="73"/>
      <c r="GI11" s="73"/>
      <c r="GJ11" s="73"/>
      <c r="GK11" s="73"/>
      <c r="GL11" s="73"/>
      <c r="GM11" s="73"/>
      <c r="GN11" s="73"/>
      <c r="GO11" s="73"/>
      <c r="GP11" s="73"/>
      <c r="GQ11" s="73"/>
      <c r="GR11" s="73"/>
      <c r="GS11" s="73"/>
      <c r="GT11" s="73"/>
      <c r="GU11" s="73"/>
      <c r="GV11" s="73"/>
      <c r="GW11" s="73"/>
      <c r="GX11" s="73"/>
      <c r="GY11" s="73"/>
      <c r="GZ11" s="73"/>
      <c r="HA11" s="73"/>
      <c r="HB11" s="73"/>
      <c r="HC11" s="73"/>
      <c r="HD11" s="73"/>
      <c r="HE11" s="73"/>
      <c r="HF11" s="73"/>
      <c r="HG11" s="73"/>
      <c r="HH11" s="73"/>
      <c r="HI11" s="73"/>
      <c r="HJ11" s="73"/>
      <c r="HK11" s="73"/>
      <c r="HL11" s="73"/>
      <c r="HM11" s="73"/>
      <c r="HN11" s="73"/>
      <c r="HO11" s="73"/>
      <c r="HP11" s="73"/>
      <c r="HQ11" s="73"/>
      <c r="HR11" s="73"/>
      <c r="HS11" s="73"/>
      <c r="HT11" s="73"/>
      <c r="HU11" s="73"/>
      <c r="HV11" s="73"/>
      <c r="HW11" s="73"/>
      <c r="HX11" s="73"/>
      <c r="HY11" s="73"/>
      <c r="HZ11" s="73"/>
      <c r="IA11" s="73"/>
      <c r="IB11" s="73"/>
      <c r="IC11" s="73"/>
      <c r="ID11" s="73"/>
      <c r="IE11" s="73"/>
      <c r="IF11" s="73"/>
      <c r="IG11" s="73"/>
      <c r="IH11" s="73"/>
      <c r="II11" s="73"/>
      <c r="IJ11" s="73"/>
      <c r="IK11" s="73"/>
      <c r="IL11" s="73"/>
      <c r="IM11" s="73"/>
      <c r="IN11" s="73"/>
      <c r="IO11" s="73"/>
      <c r="IP11" s="73"/>
      <c r="IQ11" s="73"/>
      <c r="IR11" s="73"/>
      <c r="IS11" s="73"/>
      <c r="IT11" s="73"/>
      <c r="IU11" s="73"/>
      <c r="IV11" s="73"/>
      <c r="IW11" s="73"/>
      <c r="IX11" s="73"/>
      <c r="IY11" s="73"/>
      <c r="IZ11" s="73"/>
      <c r="JA11" s="73"/>
      <c r="JB11" s="73"/>
      <c r="JC11" s="73"/>
      <c r="JD11" s="73"/>
      <c r="JE11" s="73"/>
      <c r="JF11" s="73"/>
      <c r="JG11" s="73"/>
      <c r="JH11" s="73"/>
      <c r="JI11" s="73"/>
      <c r="JJ11" s="73"/>
      <c r="JK11" s="73"/>
      <c r="JL11" s="73"/>
      <c r="JM11" s="73"/>
      <c r="JN11" s="73"/>
      <c r="JO11" s="73"/>
      <c r="JP11" s="73"/>
      <c r="JQ11" s="73"/>
      <c r="JR11" s="73"/>
      <c r="JS11" s="73"/>
      <c r="JT11" s="73"/>
      <c r="JU11" s="73"/>
      <c r="JV11" s="73"/>
      <c r="JW11" s="73"/>
      <c r="JX11" s="73"/>
      <c r="JY11" s="73"/>
      <c r="JZ11" s="73"/>
      <c r="KA11" s="73"/>
      <c r="KB11" s="73"/>
      <c r="KC11" s="73"/>
      <c r="KD11" s="73"/>
      <c r="KE11" s="73"/>
      <c r="KF11" s="73"/>
      <c r="KG11" s="73"/>
      <c r="KH11" s="73"/>
      <c r="KI11" s="73"/>
      <c r="KJ11" s="73"/>
      <c r="KK11" s="73"/>
      <c r="KL11" s="73"/>
      <c r="KM11" s="73"/>
      <c r="KN11" s="73"/>
      <c r="KO11" s="73"/>
      <c r="KP11" s="73"/>
      <c r="KQ11" s="73"/>
      <c r="KR11" s="73"/>
      <c r="KS11" s="73"/>
      <c r="KT11" s="73"/>
      <c r="KU11" s="73"/>
      <c r="KV11" s="73"/>
      <c r="KW11" s="73"/>
      <c r="KX11" s="73"/>
      <c r="KY11" s="73"/>
      <c r="KZ11" s="73"/>
      <c r="LA11" s="73"/>
      <c r="LB11" s="73"/>
      <c r="LC11" s="73"/>
      <c r="LD11" s="73"/>
      <c r="LE11" s="73"/>
      <c r="LF11" s="73"/>
      <c r="LG11" s="73"/>
      <c r="LH11" s="73"/>
      <c r="LI11" s="73"/>
      <c r="LJ11" s="73"/>
      <c r="LK11" s="73"/>
      <c r="LL11" s="73"/>
      <c r="LM11" s="73"/>
      <c r="LN11" s="73"/>
      <c r="LO11" s="73"/>
      <c r="LP11" s="73"/>
      <c r="LQ11" s="73"/>
      <c r="LR11" s="73"/>
      <c r="LS11" s="73"/>
      <c r="LT11" s="73"/>
      <c r="LU11" s="73"/>
      <c r="LV11" s="73"/>
      <c r="LW11" s="73"/>
      <c r="LX11" s="73"/>
      <c r="LY11" s="73"/>
      <c r="LZ11" s="73"/>
      <c r="MA11" s="73"/>
      <c r="MB11" s="73"/>
      <c r="MC11" s="73"/>
      <c r="MD11" s="73"/>
      <c r="ME11" s="73"/>
      <c r="MF11" s="73"/>
      <c r="MG11" s="73"/>
      <c r="MH11" s="73"/>
      <c r="MI11" s="73"/>
      <c r="MJ11" s="73"/>
      <c r="MK11" s="73"/>
      <c r="ML11" s="73"/>
      <c r="MM11" s="73"/>
      <c r="MN11" s="73"/>
      <c r="MO11" s="73"/>
      <c r="MP11" s="73"/>
      <c r="MQ11" s="73"/>
      <c r="MR11" s="73"/>
      <c r="MS11" s="73"/>
      <c r="MT11" s="73"/>
      <c r="MU11" s="73"/>
      <c r="MV11" s="73"/>
      <c r="MW11" s="73"/>
      <c r="MX11" s="73"/>
      <c r="MY11" s="73"/>
      <c r="MZ11" s="73"/>
      <c r="NA11" s="73"/>
      <c r="NB11" s="73"/>
      <c r="NC11" s="73"/>
      <c r="ND11" s="73"/>
      <c r="NE11" s="73"/>
      <c r="NF11" s="73"/>
      <c r="NG11" s="73"/>
      <c r="NH11" s="73"/>
      <c r="NI11" s="73"/>
      <c r="NJ11" s="73"/>
      <c r="NK11" s="73"/>
      <c r="NL11" s="73"/>
      <c r="NM11" s="73"/>
      <c r="NN11" s="73"/>
      <c r="NO11" s="73"/>
      <c r="NP11" s="73"/>
      <c r="NQ11" s="73"/>
      <c r="NR11" s="73"/>
      <c r="NS11" s="73"/>
      <c r="NT11" s="73"/>
      <c r="NU11" s="73"/>
      <c r="NV11" s="73"/>
      <c r="NW11" s="73"/>
      <c r="NX11" s="73"/>
      <c r="NY11" s="73"/>
      <c r="NZ11" s="73"/>
      <c r="OA11" s="73"/>
      <c r="OB11" s="73"/>
      <c r="OC11" s="73"/>
      <c r="OD11" s="73"/>
      <c r="OE11" s="73"/>
      <c r="OF11" s="73"/>
      <c r="OG11" s="73"/>
      <c r="OH11" s="73"/>
      <c r="OI11" s="73"/>
      <c r="OJ11" s="73"/>
      <c r="OK11" s="73"/>
      <c r="OL11" s="73"/>
      <c r="OM11" s="73"/>
      <c r="ON11" s="73"/>
      <c r="OO11" s="73"/>
      <c r="OP11" s="73"/>
      <c r="OQ11" s="73"/>
      <c r="OR11" s="73"/>
      <c r="OS11" s="73"/>
      <c r="OT11" s="73"/>
      <c r="OU11" s="73"/>
      <c r="OV11" s="73"/>
      <c r="OW11" s="73"/>
      <c r="OX11" s="73"/>
      <c r="OY11" s="73"/>
      <c r="OZ11" s="73"/>
      <c r="PA11" s="73"/>
      <c r="PB11" s="73"/>
      <c r="PC11" s="73"/>
      <c r="PD11" s="73"/>
      <c r="PE11" s="73"/>
      <c r="PF11" s="73"/>
      <c r="PG11" s="73"/>
      <c r="PH11" s="73"/>
      <c r="PI11" s="73"/>
      <c r="PJ11" s="73"/>
      <c r="PK11" s="73"/>
      <c r="PL11" s="73"/>
      <c r="PM11" s="73"/>
      <c r="PN11" s="73"/>
      <c r="PO11" s="73"/>
      <c r="PP11" s="73"/>
      <c r="PQ11" s="73"/>
      <c r="PR11" s="73"/>
      <c r="PS11" s="73"/>
      <c r="PT11" s="73"/>
      <c r="PU11" s="73"/>
      <c r="PV11" s="73"/>
      <c r="PW11" s="73"/>
      <c r="PX11" s="73"/>
      <c r="PY11" s="73"/>
      <c r="PZ11" s="73"/>
      <c r="QA11" s="73"/>
      <c r="QB11" s="73"/>
      <c r="QC11" s="73"/>
      <c r="QD11" s="73"/>
      <c r="QE11" s="73"/>
      <c r="QF11" s="73"/>
      <c r="QG11" s="73"/>
      <c r="QH11" s="73"/>
      <c r="QI11" s="73"/>
      <c r="QJ11" s="73"/>
      <c r="QK11" s="73"/>
      <c r="QL11" s="73"/>
      <c r="QM11" s="73"/>
      <c r="QN11" s="73"/>
      <c r="QO11" s="73"/>
      <c r="QP11" s="73"/>
      <c r="QQ11" s="73"/>
      <c r="QR11" s="73"/>
      <c r="QS11" s="73"/>
      <c r="QT11" s="73"/>
      <c r="QU11" s="73"/>
      <c r="QV11" s="73"/>
      <c r="QW11" s="73"/>
      <c r="QX11" s="73"/>
      <c r="QY11" s="73"/>
      <c r="QZ11" s="73"/>
      <c r="RA11" s="73"/>
      <c r="RB11" s="73"/>
      <c r="RC11" s="73"/>
      <c r="RD11" s="73"/>
      <c r="RE11" s="73"/>
      <c r="RF11" s="73"/>
      <c r="RG11" s="73"/>
      <c r="RH11" s="73"/>
      <c r="RI11" s="73"/>
      <c r="RJ11" s="73"/>
      <c r="RK11" s="73"/>
      <c r="RL11" s="73"/>
      <c r="RM11" s="73"/>
      <c r="RN11" s="73"/>
      <c r="RO11" s="73"/>
      <c r="RP11" s="73"/>
      <c r="RQ11" s="73"/>
      <c r="RR11" s="73"/>
      <c r="RS11" s="73"/>
      <c r="RT11" s="73"/>
      <c r="RU11" s="73"/>
      <c r="RV11" s="73"/>
      <c r="RW11" s="73"/>
      <c r="RX11" s="73"/>
      <c r="RY11" s="73"/>
      <c r="RZ11" s="73"/>
      <c r="SA11" s="73"/>
      <c r="SB11" s="73"/>
      <c r="SC11" s="73"/>
      <c r="SD11" s="73"/>
      <c r="SE11" s="73"/>
      <c r="SF11" s="73"/>
      <c r="SG11" s="73"/>
      <c r="SH11" s="73"/>
      <c r="SI11" s="73"/>
      <c r="SJ11" s="73"/>
      <c r="SK11" s="73"/>
      <c r="SL11" s="73"/>
      <c r="SM11" s="73"/>
      <c r="SN11" s="73"/>
      <c r="SO11" s="73"/>
      <c r="SP11" s="73"/>
      <c r="SQ11" s="73"/>
      <c r="SR11" s="73"/>
      <c r="SS11" s="73"/>
      <c r="ST11" s="73"/>
      <c r="SU11" s="73"/>
      <c r="SV11" s="73"/>
      <c r="SW11" s="73"/>
      <c r="SX11" s="73"/>
      <c r="SY11" s="73"/>
      <c r="SZ11" s="73"/>
      <c r="TA11" s="73"/>
      <c r="TB11" s="73"/>
      <c r="TC11" s="73"/>
      <c r="TD11" s="73"/>
      <c r="TE11" s="73"/>
      <c r="TF11" s="73"/>
      <c r="TG11" s="73"/>
      <c r="TH11" s="73"/>
      <c r="TI11" s="73"/>
      <c r="TJ11" s="73"/>
      <c r="TK11" s="73"/>
      <c r="TL11" s="73"/>
      <c r="TM11" s="73"/>
      <c r="TN11" s="73"/>
      <c r="TO11" s="73"/>
      <c r="TP11" s="73"/>
      <c r="TQ11" s="73"/>
      <c r="TR11" s="73"/>
      <c r="TS11" s="73"/>
      <c r="TT11" s="73"/>
      <c r="TU11" s="73"/>
      <c r="TV11" s="73"/>
      <c r="TW11" s="73"/>
      <c r="TX11" s="73"/>
    </row>
    <row r="12" spans="1:544" ht="20" customHeight="1">
      <c r="A12" s="74">
        <v>10</v>
      </c>
      <c r="B12" s="75">
        <v>0.45386436147472342</v>
      </c>
      <c r="C12" s="75">
        <v>0.57036538386062607</v>
      </c>
      <c r="D12" s="75">
        <v>2.9880406435806974</v>
      </c>
      <c r="E12" s="75">
        <v>1.8038867036010036E-3</v>
      </c>
      <c r="F12" s="75">
        <v>3.2232159492686565E-3</v>
      </c>
      <c r="G12" s="75">
        <v>1.9917066362968319E-2</v>
      </c>
      <c r="H12" s="75">
        <v>205872.87436493451</v>
      </c>
      <c r="I12" s="75">
        <v>369596.76874168572</v>
      </c>
      <c r="J12" s="75">
        <v>2517125.4381523798</v>
      </c>
      <c r="K12" s="75">
        <v>189160896.59716412</v>
      </c>
      <c r="L12" s="75">
        <v>188236947.77921647</v>
      </c>
      <c r="M12" s="75">
        <v>182227550.20417124</v>
      </c>
      <c r="N12" s="347">
        <v>99.155547219507127</v>
      </c>
      <c r="O12" s="347">
        <v>98.671225923221897</v>
      </c>
      <c r="P12" s="347">
        <v>95.521182147091253</v>
      </c>
      <c r="Q12" s="73"/>
      <c r="R12" s="73"/>
      <c r="S12" s="73"/>
      <c r="T12" s="73"/>
      <c r="U12" s="73"/>
      <c r="V12" s="73"/>
      <c r="W12" s="73"/>
      <c r="X12" s="73"/>
      <c r="Y12" s="73"/>
      <c r="Z12" s="73"/>
      <c r="AA12" s="73"/>
      <c r="AB12" s="73"/>
      <c r="AC12" s="73"/>
      <c r="AD12" s="73"/>
      <c r="AE12" s="73"/>
      <c r="AF12" s="73"/>
      <c r="AG12" s="73"/>
      <c r="AH12" s="73"/>
      <c r="AI12" s="73"/>
      <c r="AJ12" s="73"/>
      <c r="AK12" s="73"/>
      <c r="AL12" s="73"/>
      <c r="AM12" s="73"/>
      <c r="AN12" s="73"/>
      <c r="AO12" s="73"/>
      <c r="AP12" s="73"/>
      <c r="AQ12" s="73"/>
      <c r="AR12" s="73"/>
      <c r="AS12" s="73"/>
      <c r="AT12" s="73"/>
      <c r="AU12" s="73"/>
      <c r="AV12" s="73"/>
      <c r="AW12" s="73"/>
      <c r="AX12" s="73"/>
      <c r="AY12" s="73"/>
      <c r="AZ12" s="73"/>
      <c r="BA12" s="73"/>
      <c r="BB12" s="73"/>
      <c r="BC12" s="73"/>
      <c r="BD12" s="73"/>
      <c r="BE12" s="73"/>
      <c r="BF12" s="73"/>
      <c r="BG12" s="73"/>
      <c r="BH12" s="73"/>
      <c r="BI12" s="73"/>
      <c r="BJ12" s="73"/>
      <c r="BK12" s="73"/>
      <c r="BL12" s="73"/>
      <c r="BM12" s="73"/>
      <c r="BN12" s="73"/>
      <c r="BO12" s="73"/>
      <c r="BP12" s="73"/>
      <c r="BQ12" s="73"/>
      <c r="BR12" s="73"/>
      <c r="BS12" s="73"/>
      <c r="BT12" s="73"/>
      <c r="BU12" s="73"/>
      <c r="BV12" s="73"/>
      <c r="BW12" s="73"/>
      <c r="BX12" s="73"/>
      <c r="BY12" s="73"/>
      <c r="BZ12" s="73"/>
      <c r="CA12" s="73"/>
      <c r="CB12" s="73"/>
      <c r="CC12" s="73"/>
      <c r="CD12" s="73"/>
      <c r="CE12" s="73"/>
      <c r="CF12" s="73"/>
      <c r="CG12" s="73"/>
      <c r="CH12" s="73"/>
      <c r="CI12" s="73"/>
      <c r="CJ12" s="73"/>
      <c r="CK12" s="73"/>
      <c r="CL12" s="73"/>
      <c r="CM12" s="73"/>
      <c r="CN12" s="73"/>
      <c r="CO12" s="73"/>
      <c r="CP12" s="73"/>
      <c r="CQ12" s="73"/>
      <c r="CR12" s="73"/>
      <c r="CS12" s="73"/>
      <c r="CT12" s="73"/>
      <c r="CU12" s="73"/>
      <c r="CV12" s="73"/>
      <c r="CW12" s="73"/>
      <c r="CX12" s="73"/>
      <c r="CY12" s="73"/>
      <c r="CZ12" s="73"/>
      <c r="DA12" s="73"/>
      <c r="DB12" s="73"/>
      <c r="DC12" s="73"/>
      <c r="DD12" s="73"/>
      <c r="DE12" s="73"/>
      <c r="DF12" s="73"/>
      <c r="DG12" s="73"/>
      <c r="DH12" s="73"/>
      <c r="DI12" s="73"/>
      <c r="DJ12" s="73"/>
      <c r="DK12" s="73"/>
      <c r="DL12" s="73"/>
      <c r="DM12" s="73"/>
      <c r="DN12" s="73"/>
      <c r="DO12" s="73"/>
      <c r="DP12" s="73"/>
      <c r="DQ12" s="73"/>
      <c r="DR12" s="73"/>
      <c r="DS12" s="73"/>
      <c r="DT12" s="73"/>
      <c r="DU12" s="73"/>
      <c r="DV12" s="73"/>
      <c r="DW12" s="73"/>
      <c r="DX12" s="73"/>
      <c r="DY12" s="73"/>
      <c r="DZ12" s="73"/>
      <c r="EA12" s="73"/>
      <c r="EB12" s="73"/>
      <c r="EC12" s="73"/>
      <c r="ED12" s="73"/>
      <c r="EE12" s="73"/>
      <c r="EF12" s="73"/>
      <c r="EG12" s="73"/>
      <c r="EH12" s="73"/>
      <c r="EI12" s="73"/>
      <c r="EJ12" s="73"/>
      <c r="EK12" s="73"/>
      <c r="EL12" s="73"/>
      <c r="EM12" s="73"/>
      <c r="EN12" s="73"/>
      <c r="EO12" s="73"/>
      <c r="EP12" s="73"/>
      <c r="EQ12" s="73"/>
      <c r="ER12" s="73"/>
      <c r="ES12" s="73"/>
      <c r="ET12" s="73"/>
      <c r="EU12" s="73"/>
      <c r="EV12" s="73"/>
      <c r="EW12" s="73"/>
      <c r="EX12" s="73"/>
      <c r="EY12" s="73"/>
      <c r="EZ12" s="73"/>
      <c r="FA12" s="73"/>
      <c r="FB12" s="73"/>
      <c r="FC12" s="73"/>
      <c r="FD12" s="73"/>
      <c r="FE12" s="73"/>
      <c r="FF12" s="73"/>
      <c r="FG12" s="73"/>
      <c r="FH12" s="73"/>
      <c r="FI12" s="73"/>
      <c r="FJ12" s="73"/>
      <c r="FK12" s="73"/>
      <c r="FL12" s="73"/>
      <c r="FM12" s="73"/>
      <c r="FN12" s="73"/>
      <c r="FO12" s="73"/>
      <c r="FP12" s="73"/>
      <c r="FQ12" s="73"/>
      <c r="FR12" s="73"/>
      <c r="FS12" s="73"/>
      <c r="FT12" s="73"/>
      <c r="FU12" s="73"/>
      <c r="FV12" s="73"/>
      <c r="FW12" s="73"/>
      <c r="FX12" s="73"/>
      <c r="FY12" s="73"/>
      <c r="FZ12" s="73"/>
      <c r="GA12" s="73"/>
      <c r="GB12" s="73"/>
      <c r="GC12" s="73"/>
      <c r="GD12" s="73"/>
      <c r="GE12" s="73"/>
      <c r="GF12" s="73"/>
      <c r="GG12" s="73"/>
      <c r="GH12" s="73"/>
      <c r="GI12" s="73"/>
      <c r="GJ12" s="73"/>
      <c r="GK12" s="73"/>
      <c r="GL12" s="73"/>
      <c r="GM12" s="73"/>
      <c r="GN12" s="73"/>
      <c r="GO12" s="73"/>
      <c r="GP12" s="73"/>
      <c r="GQ12" s="73"/>
      <c r="GR12" s="73"/>
      <c r="GS12" s="73"/>
      <c r="GT12" s="73"/>
      <c r="GU12" s="73"/>
      <c r="GV12" s="73"/>
      <c r="GW12" s="73"/>
      <c r="GX12" s="73"/>
      <c r="GY12" s="73"/>
      <c r="GZ12" s="73"/>
      <c r="HA12" s="73"/>
      <c r="HB12" s="73"/>
      <c r="HC12" s="73"/>
      <c r="HD12" s="73"/>
      <c r="HE12" s="73"/>
      <c r="HF12" s="73"/>
      <c r="HG12" s="73"/>
      <c r="HH12" s="73"/>
      <c r="HI12" s="73"/>
      <c r="HJ12" s="73"/>
      <c r="HK12" s="73"/>
      <c r="HL12" s="73"/>
      <c r="HM12" s="73"/>
      <c r="HN12" s="73"/>
      <c r="HO12" s="73"/>
      <c r="HP12" s="73"/>
      <c r="HQ12" s="73"/>
      <c r="HR12" s="73"/>
      <c r="HS12" s="73"/>
      <c r="HT12" s="73"/>
      <c r="HU12" s="73"/>
      <c r="HV12" s="73"/>
      <c r="HW12" s="73"/>
      <c r="HX12" s="73"/>
      <c r="HY12" s="73"/>
      <c r="HZ12" s="73"/>
      <c r="IA12" s="73"/>
      <c r="IB12" s="73"/>
      <c r="IC12" s="73"/>
      <c r="ID12" s="73"/>
      <c r="IE12" s="73"/>
      <c r="IF12" s="73"/>
      <c r="IG12" s="73"/>
      <c r="IH12" s="73"/>
      <c r="II12" s="73"/>
      <c r="IJ12" s="73"/>
      <c r="IK12" s="73"/>
      <c r="IL12" s="73"/>
      <c r="IM12" s="73"/>
      <c r="IN12" s="73"/>
      <c r="IO12" s="73"/>
      <c r="IP12" s="73"/>
      <c r="IQ12" s="73"/>
      <c r="IR12" s="73"/>
      <c r="IS12" s="73"/>
      <c r="IT12" s="73"/>
      <c r="IU12" s="73"/>
      <c r="IV12" s="73"/>
      <c r="IW12" s="73"/>
      <c r="IX12" s="73"/>
      <c r="IY12" s="73"/>
      <c r="IZ12" s="73"/>
      <c r="JA12" s="73"/>
      <c r="JB12" s="73"/>
      <c r="JC12" s="73"/>
      <c r="JD12" s="73"/>
      <c r="JE12" s="73"/>
      <c r="JF12" s="73"/>
      <c r="JG12" s="73"/>
      <c r="JH12" s="73"/>
      <c r="JI12" s="73"/>
      <c r="JJ12" s="73"/>
      <c r="JK12" s="73"/>
      <c r="JL12" s="73"/>
      <c r="JM12" s="73"/>
      <c r="JN12" s="73"/>
      <c r="JO12" s="73"/>
      <c r="JP12" s="73"/>
      <c r="JQ12" s="73"/>
      <c r="JR12" s="73"/>
      <c r="JS12" s="73"/>
      <c r="JT12" s="73"/>
      <c r="JU12" s="73"/>
      <c r="JV12" s="73"/>
      <c r="JW12" s="73"/>
      <c r="JX12" s="73"/>
      <c r="JY12" s="73"/>
      <c r="JZ12" s="73"/>
      <c r="KA12" s="73"/>
      <c r="KB12" s="73"/>
      <c r="KC12" s="73"/>
      <c r="KD12" s="73"/>
      <c r="KE12" s="73"/>
      <c r="KF12" s="73"/>
      <c r="KG12" s="73"/>
      <c r="KH12" s="73"/>
      <c r="KI12" s="73"/>
      <c r="KJ12" s="73"/>
      <c r="KK12" s="73"/>
      <c r="KL12" s="73"/>
      <c r="KM12" s="73"/>
      <c r="KN12" s="73"/>
      <c r="KO12" s="73"/>
      <c r="KP12" s="73"/>
      <c r="KQ12" s="73"/>
      <c r="KR12" s="73"/>
      <c r="KS12" s="73"/>
      <c r="KT12" s="73"/>
      <c r="KU12" s="73"/>
      <c r="KV12" s="73"/>
      <c r="KW12" s="73"/>
      <c r="KX12" s="73"/>
      <c r="KY12" s="73"/>
      <c r="KZ12" s="73"/>
      <c r="LA12" s="73"/>
      <c r="LB12" s="73"/>
      <c r="LC12" s="73"/>
      <c r="LD12" s="73"/>
      <c r="LE12" s="73"/>
      <c r="LF12" s="73"/>
      <c r="LG12" s="73"/>
      <c r="LH12" s="73"/>
      <c r="LI12" s="73"/>
      <c r="LJ12" s="73"/>
      <c r="LK12" s="73"/>
      <c r="LL12" s="73"/>
      <c r="LM12" s="73"/>
      <c r="LN12" s="73"/>
      <c r="LO12" s="73"/>
      <c r="LP12" s="73"/>
      <c r="LQ12" s="73"/>
      <c r="LR12" s="73"/>
      <c r="LS12" s="73"/>
      <c r="LT12" s="73"/>
      <c r="LU12" s="73"/>
      <c r="LV12" s="73"/>
      <c r="LW12" s="73"/>
      <c r="LX12" s="73"/>
      <c r="LY12" s="73"/>
      <c r="LZ12" s="73"/>
      <c r="MA12" s="73"/>
      <c r="MB12" s="73"/>
      <c r="MC12" s="73"/>
      <c r="MD12" s="73"/>
      <c r="ME12" s="73"/>
      <c r="MF12" s="73"/>
      <c r="MG12" s="73"/>
      <c r="MH12" s="73"/>
      <c r="MI12" s="73"/>
      <c r="MJ12" s="73"/>
      <c r="MK12" s="73"/>
      <c r="ML12" s="73"/>
      <c r="MM12" s="73"/>
      <c r="MN12" s="73"/>
      <c r="MO12" s="73"/>
      <c r="MP12" s="73"/>
      <c r="MQ12" s="73"/>
      <c r="MR12" s="73"/>
      <c r="MS12" s="73"/>
      <c r="MT12" s="73"/>
      <c r="MU12" s="73"/>
      <c r="MV12" s="73"/>
      <c r="MW12" s="73"/>
      <c r="MX12" s="73"/>
      <c r="MY12" s="73"/>
      <c r="MZ12" s="73"/>
      <c r="NA12" s="73"/>
      <c r="NB12" s="73"/>
      <c r="NC12" s="73"/>
      <c r="ND12" s="73"/>
      <c r="NE12" s="73"/>
      <c r="NF12" s="73"/>
      <c r="NG12" s="73"/>
      <c r="NH12" s="73"/>
      <c r="NI12" s="73"/>
      <c r="NJ12" s="73"/>
      <c r="NK12" s="73"/>
      <c r="NL12" s="73"/>
      <c r="NM12" s="73"/>
      <c r="NN12" s="73"/>
      <c r="NO12" s="73"/>
      <c r="NP12" s="73"/>
      <c r="NQ12" s="73"/>
      <c r="NR12" s="73"/>
      <c r="NS12" s="73"/>
      <c r="NT12" s="73"/>
      <c r="NU12" s="73"/>
      <c r="NV12" s="73"/>
      <c r="NW12" s="73"/>
      <c r="NX12" s="73"/>
      <c r="NY12" s="73"/>
      <c r="NZ12" s="73"/>
      <c r="OA12" s="73"/>
      <c r="OB12" s="73"/>
      <c r="OC12" s="73"/>
      <c r="OD12" s="73"/>
      <c r="OE12" s="73"/>
      <c r="OF12" s="73"/>
      <c r="OG12" s="73"/>
      <c r="OH12" s="73"/>
      <c r="OI12" s="73"/>
      <c r="OJ12" s="73"/>
      <c r="OK12" s="73"/>
      <c r="OL12" s="73"/>
      <c r="OM12" s="73"/>
      <c r="ON12" s="73"/>
      <c r="OO12" s="73"/>
      <c r="OP12" s="73"/>
      <c r="OQ12" s="73"/>
      <c r="OR12" s="73"/>
      <c r="OS12" s="73"/>
      <c r="OT12" s="73"/>
      <c r="OU12" s="73"/>
      <c r="OV12" s="73"/>
      <c r="OW12" s="73"/>
      <c r="OX12" s="73"/>
      <c r="OY12" s="73"/>
      <c r="OZ12" s="73"/>
      <c r="PA12" s="73"/>
      <c r="PB12" s="73"/>
      <c r="PC12" s="73"/>
      <c r="PD12" s="73"/>
      <c r="PE12" s="73"/>
      <c r="PF12" s="73"/>
      <c r="PG12" s="73"/>
      <c r="PH12" s="73"/>
      <c r="PI12" s="73"/>
      <c r="PJ12" s="73"/>
      <c r="PK12" s="73"/>
      <c r="PL12" s="73"/>
      <c r="PM12" s="73"/>
      <c r="PN12" s="73"/>
      <c r="PO12" s="73"/>
      <c r="PP12" s="73"/>
      <c r="PQ12" s="73"/>
      <c r="PR12" s="73"/>
      <c r="PS12" s="73"/>
      <c r="PT12" s="73"/>
      <c r="PU12" s="73"/>
      <c r="PV12" s="73"/>
      <c r="PW12" s="73"/>
      <c r="PX12" s="73"/>
      <c r="PY12" s="73"/>
      <c r="PZ12" s="73"/>
      <c r="QA12" s="73"/>
      <c r="QB12" s="73"/>
      <c r="QC12" s="73"/>
      <c r="QD12" s="73"/>
      <c r="QE12" s="73"/>
      <c r="QF12" s="73"/>
      <c r="QG12" s="73"/>
      <c r="QH12" s="73"/>
      <c r="QI12" s="73"/>
      <c r="QJ12" s="73"/>
      <c r="QK12" s="73"/>
      <c r="QL12" s="73"/>
      <c r="QM12" s="73"/>
      <c r="QN12" s="73"/>
      <c r="QO12" s="73"/>
      <c r="QP12" s="73"/>
      <c r="QQ12" s="73"/>
      <c r="QR12" s="73"/>
      <c r="QS12" s="73"/>
      <c r="QT12" s="73"/>
      <c r="QU12" s="73"/>
      <c r="QV12" s="73"/>
      <c r="QW12" s="73"/>
      <c r="QX12" s="73"/>
      <c r="QY12" s="73"/>
      <c r="QZ12" s="73"/>
      <c r="RA12" s="73"/>
      <c r="RB12" s="73"/>
      <c r="RC12" s="73"/>
      <c r="RD12" s="73"/>
      <c r="RE12" s="73"/>
      <c r="RF12" s="73"/>
      <c r="RG12" s="73"/>
      <c r="RH12" s="73"/>
      <c r="RI12" s="73"/>
      <c r="RJ12" s="73"/>
      <c r="RK12" s="73"/>
      <c r="RL12" s="73"/>
      <c r="RM12" s="73"/>
      <c r="RN12" s="73"/>
      <c r="RO12" s="73"/>
      <c r="RP12" s="73"/>
      <c r="RQ12" s="73"/>
      <c r="RR12" s="73"/>
      <c r="RS12" s="73"/>
      <c r="RT12" s="73"/>
      <c r="RU12" s="73"/>
      <c r="RV12" s="73"/>
      <c r="RW12" s="73"/>
      <c r="RX12" s="73"/>
      <c r="RY12" s="73"/>
      <c r="RZ12" s="73"/>
      <c r="SA12" s="73"/>
      <c r="SB12" s="73"/>
      <c r="SC12" s="73"/>
      <c r="SD12" s="73"/>
      <c r="SE12" s="73"/>
      <c r="SF12" s="73"/>
      <c r="SG12" s="73"/>
      <c r="SH12" s="73"/>
      <c r="SI12" s="73"/>
      <c r="SJ12" s="73"/>
      <c r="SK12" s="73"/>
      <c r="SL12" s="73"/>
      <c r="SM12" s="73"/>
      <c r="SN12" s="73"/>
      <c r="SO12" s="73"/>
      <c r="SP12" s="73"/>
      <c r="SQ12" s="73"/>
      <c r="SR12" s="73"/>
      <c r="SS12" s="73"/>
      <c r="ST12" s="73"/>
      <c r="SU12" s="73"/>
      <c r="SV12" s="73"/>
      <c r="SW12" s="73"/>
      <c r="SX12" s="73"/>
      <c r="SY12" s="73"/>
      <c r="SZ12" s="73"/>
      <c r="TA12" s="73"/>
      <c r="TB12" s="73"/>
      <c r="TC12" s="73"/>
      <c r="TD12" s="73"/>
      <c r="TE12" s="73"/>
      <c r="TF12" s="73"/>
      <c r="TG12" s="73"/>
      <c r="TH12" s="73"/>
      <c r="TI12" s="73"/>
      <c r="TJ12" s="73"/>
      <c r="TK12" s="73"/>
      <c r="TL12" s="73"/>
      <c r="TM12" s="73"/>
      <c r="TN12" s="73"/>
      <c r="TO12" s="73"/>
      <c r="TP12" s="73"/>
      <c r="TQ12" s="73"/>
      <c r="TR12" s="73"/>
      <c r="TS12" s="73"/>
      <c r="TT12" s="73"/>
      <c r="TU12" s="73"/>
      <c r="TV12" s="73"/>
      <c r="TW12" s="73"/>
      <c r="TX12" s="73"/>
    </row>
    <row r="13" spans="1:544" ht="20" customHeight="1">
      <c r="A13" s="74">
        <v>11</v>
      </c>
      <c r="B13" s="75">
        <v>0.47890529661559345</v>
      </c>
      <c r="C13" s="75">
        <v>0.6425094694265302</v>
      </c>
      <c r="D13" s="75">
        <v>4.0803748746096389</v>
      </c>
      <c r="E13" s="75">
        <v>1.9133323188164771E-3</v>
      </c>
      <c r="F13" s="75">
        <v>3.58649986881652E-3</v>
      </c>
      <c r="G13" s="75">
        <v>2.736020253026317E-2</v>
      </c>
      <c r="H13" s="75">
        <v>217231.44254483317</v>
      </c>
      <c r="I13" s="75">
        <v>416346.13618839154</v>
      </c>
      <c r="J13" s="75">
        <v>3437307.7943711602</v>
      </c>
      <c r="K13" s="75">
        <v>188949344.43870926</v>
      </c>
      <c r="L13" s="75">
        <v>187843976.32675144</v>
      </c>
      <c r="M13" s="75">
        <v>179250333.58790949</v>
      </c>
      <c r="N13" s="347">
        <v>99.044654479969481</v>
      </c>
      <c r="O13" s="347">
        <v>98.465235678346957</v>
      </c>
      <c r="P13" s="347">
        <v>93.960566036219689</v>
      </c>
      <c r="Q13" s="73"/>
      <c r="R13" s="73"/>
      <c r="S13" s="73"/>
      <c r="T13" s="73"/>
      <c r="U13" s="73"/>
      <c r="V13" s="73"/>
      <c r="W13" s="73"/>
      <c r="X13" s="73"/>
      <c r="Y13" s="73"/>
      <c r="Z13" s="73"/>
      <c r="AA13" s="73"/>
      <c r="AB13" s="73"/>
      <c r="AC13" s="73"/>
      <c r="AD13" s="73"/>
      <c r="AE13" s="73"/>
      <c r="AF13" s="73"/>
      <c r="AG13" s="73"/>
      <c r="AH13" s="73"/>
      <c r="AI13" s="73"/>
      <c r="AJ13" s="73"/>
      <c r="AK13" s="73"/>
      <c r="AL13" s="73"/>
      <c r="AM13" s="73"/>
      <c r="AN13" s="73"/>
      <c r="AO13" s="73"/>
      <c r="AP13" s="73"/>
      <c r="AQ13" s="73"/>
      <c r="AR13" s="73"/>
      <c r="AS13" s="73"/>
      <c r="AT13" s="73"/>
      <c r="AU13" s="73"/>
      <c r="AV13" s="73"/>
      <c r="AW13" s="73"/>
      <c r="AX13" s="73"/>
      <c r="AY13" s="73"/>
      <c r="AZ13" s="73"/>
      <c r="BA13" s="73"/>
      <c r="BB13" s="73"/>
      <c r="BC13" s="73"/>
      <c r="BD13" s="73"/>
      <c r="BE13" s="73"/>
      <c r="BF13" s="73"/>
      <c r="BG13" s="73"/>
      <c r="BH13" s="73"/>
      <c r="BI13" s="73"/>
      <c r="BJ13" s="73"/>
      <c r="BK13" s="73"/>
      <c r="BL13" s="73"/>
      <c r="BM13" s="73"/>
      <c r="BN13" s="73"/>
      <c r="BO13" s="73"/>
      <c r="BP13" s="73"/>
      <c r="BQ13" s="73"/>
      <c r="BR13" s="73"/>
      <c r="BS13" s="73"/>
      <c r="BT13" s="73"/>
      <c r="BU13" s="73"/>
      <c r="BV13" s="73"/>
      <c r="BW13" s="73"/>
      <c r="BX13" s="73"/>
      <c r="BY13" s="73"/>
      <c r="BZ13" s="73"/>
      <c r="CA13" s="73"/>
      <c r="CB13" s="73"/>
      <c r="CC13" s="73"/>
      <c r="CD13" s="73"/>
      <c r="CE13" s="73"/>
      <c r="CF13" s="73"/>
      <c r="CG13" s="73"/>
      <c r="CH13" s="73"/>
      <c r="CI13" s="73"/>
      <c r="CJ13" s="73"/>
      <c r="CK13" s="73"/>
      <c r="CL13" s="73"/>
      <c r="CM13" s="73"/>
      <c r="CN13" s="73"/>
      <c r="CO13" s="73"/>
      <c r="CP13" s="73"/>
      <c r="CQ13" s="73"/>
      <c r="CR13" s="73"/>
      <c r="CS13" s="73"/>
      <c r="CT13" s="73"/>
      <c r="CU13" s="73"/>
      <c r="CV13" s="73"/>
      <c r="CW13" s="73"/>
      <c r="CX13" s="73"/>
      <c r="CY13" s="73"/>
      <c r="CZ13" s="73"/>
      <c r="DA13" s="73"/>
      <c r="DB13" s="73"/>
      <c r="DC13" s="73"/>
      <c r="DD13" s="73"/>
      <c r="DE13" s="73"/>
      <c r="DF13" s="73"/>
      <c r="DG13" s="73"/>
      <c r="DH13" s="73"/>
      <c r="DI13" s="73"/>
      <c r="DJ13" s="73"/>
      <c r="DK13" s="73"/>
      <c r="DL13" s="73"/>
      <c r="DM13" s="73"/>
      <c r="DN13" s="73"/>
      <c r="DO13" s="73"/>
      <c r="DP13" s="73"/>
      <c r="DQ13" s="73"/>
      <c r="DR13" s="73"/>
      <c r="DS13" s="73"/>
      <c r="DT13" s="73"/>
      <c r="DU13" s="73"/>
      <c r="DV13" s="73"/>
      <c r="DW13" s="73"/>
      <c r="DX13" s="73"/>
      <c r="DY13" s="73"/>
      <c r="DZ13" s="73"/>
      <c r="EA13" s="73"/>
      <c r="EB13" s="73"/>
      <c r="EC13" s="73"/>
      <c r="ED13" s="73"/>
      <c r="EE13" s="73"/>
      <c r="EF13" s="73"/>
      <c r="EG13" s="73"/>
      <c r="EH13" s="73"/>
      <c r="EI13" s="73"/>
      <c r="EJ13" s="73"/>
      <c r="EK13" s="73"/>
      <c r="EL13" s="73"/>
      <c r="EM13" s="73"/>
      <c r="EN13" s="73"/>
      <c r="EO13" s="73"/>
      <c r="EP13" s="73"/>
      <c r="EQ13" s="73"/>
      <c r="ER13" s="73"/>
      <c r="ES13" s="73"/>
      <c r="ET13" s="73"/>
      <c r="EU13" s="73"/>
      <c r="EV13" s="73"/>
      <c r="EW13" s="73"/>
      <c r="EX13" s="73"/>
      <c r="EY13" s="73"/>
      <c r="EZ13" s="73"/>
      <c r="FA13" s="73"/>
      <c r="FB13" s="73"/>
      <c r="FC13" s="73"/>
      <c r="FD13" s="73"/>
      <c r="FE13" s="73"/>
      <c r="FF13" s="73"/>
      <c r="FG13" s="73"/>
      <c r="FH13" s="73"/>
      <c r="FI13" s="73"/>
      <c r="FJ13" s="73"/>
      <c r="FK13" s="73"/>
      <c r="FL13" s="73"/>
      <c r="FM13" s="73"/>
      <c r="FN13" s="73"/>
      <c r="FO13" s="73"/>
      <c r="FP13" s="73"/>
      <c r="FQ13" s="73"/>
      <c r="FR13" s="73"/>
      <c r="FS13" s="73"/>
      <c r="FT13" s="73"/>
      <c r="FU13" s="73"/>
      <c r="FV13" s="73"/>
      <c r="FW13" s="73"/>
      <c r="FX13" s="73"/>
      <c r="FY13" s="73"/>
      <c r="FZ13" s="73"/>
      <c r="GA13" s="73"/>
      <c r="GB13" s="73"/>
      <c r="GC13" s="73"/>
      <c r="GD13" s="73"/>
      <c r="GE13" s="73"/>
      <c r="GF13" s="73"/>
      <c r="GG13" s="73"/>
      <c r="GH13" s="73"/>
      <c r="GI13" s="73"/>
      <c r="GJ13" s="73"/>
      <c r="GK13" s="73"/>
      <c r="GL13" s="73"/>
      <c r="GM13" s="73"/>
      <c r="GN13" s="73"/>
      <c r="GO13" s="73"/>
      <c r="GP13" s="73"/>
      <c r="GQ13" s="73"/>
      <c r="GR13" s="73"/>
      <c r="GS13" s="73"/>
      <c r="GT13" s="73"/>
      <c r="GU13" s="73"/>
      <c r="GV13" s="73"/>
      <c r="GW13" s="73"/>
      <c r="GX13" s="73"/>
      <c r="GY13" s="73"/>
      <c r="GZ13" s="73"/>
      <c r="HA13" s="73"/>
      <c r="HB13" s="73"/>
      <c r="HC13" s="73"/>
      <c r="HD13" s="73"/>
      <c r="HE13" s="73"/>
      <c r="HF13" s="73"/>
      <c r="HG13" s="73"/>
      <c r="HH13" s="73"/>
      <c r="HI13" s="73"/>
      <c r="HJ13" s="73"/>
      <c r="HK13" s="73"/>
      <c r="HL13" s="73"/>
      <c r="HM13" s="73"/>
      <c r="HN13" s="73"/>
      <c r="HO13" s="73"/>
      <c r="HP13" s="73"/>
      <c r="HQ13" s="73"/>
      <c r="HR13" s="73"/>
      <c r="HS13" s="73"/>
      <c r="HT13" s="73"/>
      <c r="HU13" s="73"/>
      <c r="HV13" s="73"/>
      <c r="HW13" s="73"/>
      <c r="HX13" s="73"/>
      <c r="HY13" s="73"/>
      <c r="HZ13" s="73"/>
      <c r="IA13" s="73"/>
      <c r="IB13" s="73"/>
      <c r="IC13" s="73"/>
      <c r="ID13" s="73"/>
      <c r="IE13" s="73"/>
      <c r="IF13" s="73"/>
      <c r="IG13" s="73"/>
      <c r="IH13" s="73"/>
      <c r="II13" s="73"/>
      <c r="IJ13" s="73"/>
      <c r="IK13" s="73"/>
      <c r="IL13" s="73"/>
      <c r="IM13" s="73"/>
      <c r="IN13" s="73"/>
      <c r="IO13" s="73"/>
      <c r="IP13" s="73"/>
      <c r="IQ13" s="73"/>
      <c r="IR13" s="73"/>
      <c r="IS13" s="73"/>
      <c r="IT13" s="73"/>
      <c r="IU13" s="73"/>
      <c r="IV13" s="73"/>
      <c r="IW13" s="73"/>
      <c r="IX13" s="73"/>
      <c r="IY13" s="73"/>
      <c r="IZ13" s="73"/>
      <c r="JA13" s="73"/>
      <c r="JB13" s="73"/>
      <c r="JC13" s="73"/>
      <c r="JD13" s="73"/>
      <c r="JE13" s="73"/>
      <c r="JF13" s="73"/>
      <c r="JG13" s="73"/>
      <c r="JH13" s="73"/>
      <c r="JI13" s="73"/>
      <c r="JJ13" s="73"/>
      <c r="JK13" s="73"/>
      <c r="JL13" s="73"/>
      <c r="JM13" s="73"/>
      <c r="JN13" s="73"/>
      <c r="JO13" s="73"/>
      <c r="JP13" s="73"/>
      <c r="JQ13" s="73"/>
      <c r="JR13" s="73"/>
      <c r="JS13" s="73"/>
      <c r="JT13" s="73"/>
      <c r="JU13" s="73"/>
      <c r="JV13" s="73"/>
      <c r="JW13" s="73"/>
      <c r="JX13" s="73"/>
      <c r="JY13" s="73"/>
      <c r="JZ13" s="73"/>
      <c r="KA13" s="73"/>
      <c r="KB13" s="73"/>
      <c r="KC13" s="73"/>
      <c r="KD13" s="73"/>
      <c r="KE13" s="73"/>
      <c r="KF13" s="73"/>
      <c r="KG13" s="73"/>
      <c r="KH13" s="73"/>
      <c r="KI13" s="73"/>
      <c r="KJ13" s="73"/>
      <c r="KK13" s="73"/>
      <c r="KL13" s="73"/>
      <c r="KM13" s="73"/>
      <c r="KN13" s="73"/>
      <c r="KO13" s="73"/>
      <c r="KP13" s="73"/>
      <c r="KQ13" s="73"/>
      <c r="KR13" s="73"/>
      <c r="KS13" s="73"/>
      <c r="KT13" s="73"/>
      <c r="KU13" s="73"/>
      <c r="KV13" s="73"/>
      <c r="KW13" s="73"/>
      <c r="KX13" s="73"/>
      <c r="KY13" s="73"/>
      <c r="KZ13" s="73"/>
      <c r="LA13" s="73"/>
      <c r="LB13" s="73"/>
      <c r="LC13" s="73"/>
      <c r="LD13" s="73"/>
      <c r="LE13" s="73"/>
      <c r="LF13" s="73"/>
      <c r="LG13" s="73"/>
      <c r="LH13" s="73"/>
      <c r="LI13" s="73"/>
      <c r="LJ13" s="73"/>
      <c r="LK13" s="73"/>
      <c r="LL13" s="73"/>
      <c r="LM13" s="73"/>
      <c r="LN13" s="73"/>
      <c r="LO13" s="73"/>
      <c r="LP13" s="73"/>
      <c r="LQ13" s="73"/>
      <c r="LR13" s="73"/>
      <c r="LS13" s="73"/>
      <c r="LT13" s="73"/>
      <c r="LU13" s="73"/>
      <c r="LV13" s="73"/>
      <c r="LW13" s="73"/>
      <c r="LX13" s="73"/>
      <c r="LY13" s="73"/>
      <c r="LZ13" s="73"/>
      <c r="MA13" s="73"/>
      <c r="MB13" s="73"/>
      <c r="MC13" s="73"/>
      <c r="MD13" s="73"/>
      <c r="ME13" s="73"/>
      <c r="MF13" s="73"/>
      <c r="MG13" s="73"/>
      <c r="MH13" s="73"/>
      <c r="MI13" s="73"/>
      <c r="MJ13" s="73"/>
      <c r="MK13" s="73"/>
      <c r="ML13" s="73"/>
      <c r="MM13" s="73"/>
      <c r="MN13" s="73"/>
      <c r="MO13" s="73"/>
      <c r="MP13" s="73"/>
      <c r="MQ13" s="73"/>
      <c r="MR13" s="73"/>
      <c r="MS13" s="73"/>
      <c r="MT13" s="73"/>
      <c r="MU13" s="73"/>
      <c r="MV13" s="73"/>
      <c r="MW13" s="73"/>
      <c r="MX13" s="73"/>
      <c r="MY13" s="73"/>
      <c r="MZ13" s="73"/>
      <c r="NA13" s="73"/>
      <c r="NB13" s="73"/>
      <c r="NC13" s="73"/>
      <c r="ND13" s="73"/>
      <c r="NE13" s="73"/>
      <c r="NF13" s="73"/>
      <c r="NG13" s="73"/>
      <c r="NH13" s="73"/>
      <c r="NI13" s="73"/>
      <c r="NJ13" s="73"/>
      <c r="NK13" s="73"/>
      <c r="NL13" s="73"/>
      <c r="NM13" s="73"/>
      <c r="NN13" s="73"/>
      <c r="NO13" s="73"/>
      <c r="NP13" s="73"/>
      <c r="NQ13" s="73"/>
      <c r="NR13" s="73"/>
      <c r="NS13" s="73"/>
      <c r="NT13" s="73"/>
      <c r="NU13" s="73"/>
      <c r="NV13" s="73"/>
      <c r="NW13" s="73"/>
      <c r="NX13" s="73"/>
      <c r="NY13" s="73"/>
      <c r="NZ13" s="73"/>
      <c r="OA13" s="73"/>
      <c r="OB13" s="73"/>
      <c r="OC13" s="73"/>
      <c r="OD13" s="73"/>
      <c r="OE13" s="73"/>
      <c r="OF13" s="73"/>
      <c r="OG13" s="73"/>
      <c r="OH13" s="73"/>
      <c r="OI13" s="73"/>
      <c r="OJ13" s="73"/>
      <c r="OK13" s="73"/>
      <c r="OL13" s="73"/>
      <c r="OM13" s="73"/>
      <c r="ON13" s="73"/>
      <c r="OO13" s="73"/>
      <c r="OP13" s="73"/>
      <c r="OQ13" s="73"/>
      <c r="OR13" s="73"/>
      <c r="OS13" s="73"/>
      <c r="OT13" s="73"/>
      <c r="OU13" s="73"/>
      <c r="OV13" s="73"/>
      <c r="OW13" s="73"/>
      <c r="OX13" s="73"/>
      <c r="OY13" s="73"/>
      <c r="OZ13" s="73"/>
      <c r="PA13" s="73"/>
      <c r="PB13" s="73"/>
      <c r="PC13" s="73"/>
      <c r="PD13" s="73"/>
      <c r="PE13" s="73"/>
      <c r="PF13" s="73"/>
      <c r="PG13" s="73"/>
      <c r="PH13" s="73"/>
      <c r="PI13" s="73"/>
      <c r="PJ13" s="73"/>
      <c r="PK13" s="73"/>
      <c r="PL13" s="73"/>
      <c r="PM13" s="73"/>
      <c r="PN13" s="73"/>
      <c r="PO13" s="73"/>
      <c r="PP13" s="73"/>
      <c r="PQ13" s="73"/>
      <c r="PR13" s="73"/>
      <c r="PS13" s="73"/>
      <c r="PT13" s="73"/>
      <c r="PU13" s="73"/>
      <c r="PV13" s="73"/>
      <c r="PW13" s="73"/>
      <c r="PX13" s="73"/>
      <c r="PY13" s="73"/>
      <c r="PZ13" s="73"/>
      <c r="QA13" s="73"/>
      <c r="QB13" s="73"/>
      <c r="QC13" s="73"/>
      <c r="QD13" s="73"/>
      <c r="QE13" s="73"/>
      <c r="QF13" s="73"/>
      <c r="QG13" s="73"/>
      <c r="QH13" s="73"/>
      <c r="QI13" s="73"/>
      <c r="QJ13" s="73"/>
      <c r="QK13" s="73"/>
      <c r="QL13" s="73"/>
      <c r="QM13" s="73"/>
      <c r="QN13" s="73"/>
      <c r="QO13" s="73"/>
      <c r="QP13" s="73"/>
      <c r="QQ13" s="73"/>
      <c r="QR13" s="73"/>
      <c r="QS13" s="73"/>
      <c r="QT13" s="73"/>
      <c r="QU13" s="73"/>
      <c r="QV13" s="73"/>
      <c r="QW13" s="73"/>
      <c r="QX13" s="73"/>
      <c r="QY13" s="73"/>
      <c r="QZ13" s="73"/>
      <c r="RA13" s="73"/>
      <c r="RB13" s="73"/>
      <c r="RC13" s="73"/>
      <c r="RD13" s="73"/>
      <c r="RE13" s="73"/>
      <c r="RF13" s="73"/>
      <c r="RG13" s="73"/>
      <c r="RH13" s="73"/>
      <c r="RI13" s="73"/>
      <c r="RJ13" s="73"/>
      <c r="RK13" s="73"/>
      <c r="RL13" s="73"/>
      <c r="RM13" s="73"/>
      <c r="RN13" s="73"/>
      <c r="RO13" s="73"/>
      <c r="RP13" s="73"/>
      <c r="RQ13" s="73"/>
      <c r="RR13" s="73"/>
      <c r="RS13" s="73"/>
      <c r="RT13" s="73"/>
      <c r="RU13" s="73"/>
      <c r="RV13" s="73"/>
      <c r="RW13" s="73"/>
      <c r="RX13" s="73"/>
      <c r="RY13" s="73"/>
      <c r="RZ13" s="73"/>
      <c r="SA13" s="73"/>
      <c r="SB13" s="73"/>
      <c r="SC13" s="73"/>
      <c r="SD13" s="73"/>
      <c r="SE13" s="73"/>
      <c r="SF13" s="73"/>
      <c r="SG13" s="73"/>
      <c r="SH13" s="73"/>
      <c r="SI13" s="73"/>
      <c r="SJ13" s="73"/>
      <c r="SK13" s="73"/>
      <c r="SL13" s="73"/>
      <c r="SM13" s="73"/>
      <c r="SN13" s="73"/>
      <c r="SO13" s="73"/>
      <c r="SP13" s="73"/>
      <c r="SQ13" s="73"/>
      <c r="SR13" s="73"/>
      <c r="SS13" s="73"/>
      <c r="ST13" s="73"/>
      <c r="SU13" s="73"/>
      <c r="SV13" s="73"/>
      <c r="SW13" s="73"/>
      <c r="SX13" s="73"/>
      <c r="SY13" s="73"/>
      <c r="SZ13" s="73"/>
      <c r="TA13" s="73"/>
      <c r="TB13" s="73"/>
      <c r="TC13" s="73"/>
      <c r="TD13" s="73"/>
      <c r="TE13" s="73"/>
      <c r="TF13" s="73"/>
      <c r="TG13" s="73"/>
      <c r="TH13" s="73"/>
      <c r="TI13" s="73"/>
      <c r="TJ13" s="73"/>
      <c r="TK13" s="73"/>
      <c r="TL13" s="73"/>
      <c r="TM13" s="73"/>
      <c r="TN13" s="73"/>
      <c r="TO13" s="73"/>
      <c r="TP13" s="73"/>
      <c r="TQ13" s="73"/>
      <c r="TR13" s="73"/>
      <c r="TS13" s="73"/>
      <c r="TT13" s="73"/>
      <c r="TU13" s="73"/>
      <c r="TV13" s="73"/>
      <c r="TW13" s="73"/>
      <c r="TX13" s="73"/>
    </row>
    <row r="14" spans="1:544" ht="20" customHeight="1">
      <c r="A14" s="74">
        <v>12</v>
      </c>
      <c r="B14" s="75">
        <v>0.50780814077612846</v>
      </c>
      <c r="C14" s="75">
        <v>0.73776986322741167</v>
      </c>
      <c r="D14" s="75">
        <v>5.3779916305252273</v>
      </c>
      <c r="E14" s="75">
        <v>2.0319201710404201E-3</v>
      </c>
      <c r="F14" s="75">
        <v>4.0532416359864848E-3</v>
      </c>
      <c r="G14" s="75">
        <v>3.6602062760115198E-2</v>
      </c>
      <c r="H14" s="75">
        <v>230341.77265605185</v>
      </c>
      <c r="I14" s="75">
        <v>478074.87137136277</v>
      </c>
      <c r="J14" s="75">
        <v>4530420.1495544529</v>
      </c>
      <c r="K14" s="75">
        <v>188725557.83110881</v>
      </c>
      <c r="L14" s="75">
        <v>187396765.82297155</v>
      </c>
      <c r="M14" s="75">
        <v>175266469.61594668</v>
      </c>
      <c r="N14" s="347">
        <v>98.927348610013297</v>
      </c>
      <c r="O14" s="347">
        <v>98.230814066786081</v>
      </c>
      <c r="P14" s="347">
        <v>91.872279189973199</v>
      </c>
      <c r="Q14" s="73"/>
      <c r="R14" s="73"/>
      <c r="S14" s="73"/>
      <c r="T14" s="73"/>
      <c r="U14" s="73"/>
      <c r="V14" s="73"/>
      <c r="W14" s="73"/>
      <c r="X14" s="73"/>
      <c r="Y14" s="73"/>
      <c r="Z14" s="73"/>
      <c r="AA14" s="73"/>
      <c r="AB14" s="73"/>
      <c r="AC14" s="73"/>
      <c r="AD14" s="73"/>
      <c r="AE14" s="73"/>
      <c r="AF14" s="73"/>
      <c r="AG14" s="73"/>
      <c r="AH14" s="73"/>
      <c r="AI14" s="73"/>
      <c r="AJ14" s="73"/>
      <c r="AK14" s="73"/>
      <c r="AL14" s="73"/>
      <c r="AM14" s="73"/>
      <c r="AN14" s="73"/>
      <c r="AO14" s="73"/>
      <c r="AP14" s="73"/>
      <c r="AQ14" s="73"/>
      <c r="AR14" s="73"/>
      <c r="AS14" s="73"/>
      <c r="AT14" s="73"/>
      <c r="AU14" s="73"/>
      <c r="AV14" s="73"/>
      <c r="AW14" s="73"/>
      <c r="AX14" s="73"/>
      <c r="AY14" s="73"/>
      <c r="AZ14" s="73"/>
      <c r="BA14" s="73"/>
      <c r="BB14" s="73"/>
      <c r="BC14" s="73"/>
      <c r="BD14" s="73"/>
      <c r="BE14" s="73"/>
      <c r="BF14" s="73"/>
      <c r="BG14" s="73"/>
      <c r="BH14" s="73"/>
      <c r="BI14" s="73"/>
      <c r="BJ14" s="73"/>
      <c r="BK14" s="73"/>
      <c r="BL14" s="73"/>
      <c r="BM14" s="73"/>
      <c r="BN14" s="73"/>
      <c r="BO14" s="73"/>
      <c r="BP14" s="73"/>
      <c r="BQ14" s="73"/>
      <c r="BR14" s="73"/>
      <c r="BS14" s="73"/>
      <c r="BT14" s="73"/>
      <c r="BU14" s="73"/>
      <c r="BV14" s="73"/>
      <c r="BW14" s="73"/>
      <c r="BX14" s="73"/>
      <c r="BY14" s="73"/>
      <c r="BZ14" s="73"/>
      <c r="CA14" s="73"/>
      <c r="CB14" s="73"/>
      <c r="CC14" s="73"/>
      <c r="CD14" s="73"/>
      <c r="CE14" s="73"/>
      <c r="CF14" s="73"/>
      <c r="CG14" s="73"/>
      <c r="CH14" s="73"/>
      <c r="CI14" s="73"/>
      <c r="CJ14" s="73"/>
      <c r="CK14" s="73"/>
      <c r="CL14" s="73"/>
      <c r="CM14" s="73"/>
      <c r="CN14" s="73"/>
      <c r="CO14" s="73"/>
      <c r="CP14" s="73"/>
      <c r="CQ14" s="73"/>
      <c r="CR14" s="73"/>
      <c r="CS14" s="73"/>
      <c r="CT14" s="73"/>
      <c r="CU14" s="73"/>
      <c r="CV14" s="73"/>
      <c r="CW14" s="73"/>
      <c r="CX14" s="73"/>
      <c r="CY14" s="73"/>
      <c r="CZ14" s="73"/>
      <c r="DA14" s="73"/>
      <c r="DB14" s="73"/>
      <c r="DC14" s="73"/>
      <c r="DD14" s="73"/>
      <c r="DE14" s="73"/>
      <c r="DF14" s="73"/>
      <c r="DG14" s="73"/>
      <c r="DH14" s="73"/>
      <c r="DI14" s="73"/>
      <c r="DJ14" s="73"/>
      <c r="DK14" s="73"/>
      <c r="DL14" s="73"/>
      <c r="DM14" s="73"/>
      <c r="DN14" s="73"/>
      <c r="DO14" s="73"/>
      <c r="DP14" s="73"/>
      <c r="DQ14" s="73"/>
      <c r="DR14" s="73"/>
      <c r="DS14" s="73"/>
      <c r="DT14" s="73"/>
      <c r="DU14" s="73"/>
      <c r="DV14" s="73"/>
      <c r="DW14" s="73"/>
      <c r="DX14" s="73"/>
      <c r="DY14" s="73"/>
      <c r="DZ14" s="73"/>
      <c r="EA14" s="73"/>
      <c r="EB14" s="73"/>
      <c r="EC14" s="73"/>
      <c r="ED14" s="73"/>
      <c r="EE14" s="73"/>
      <c r="EF14" s="73"/>
      <c r="EG14" s="73"/>
      <c r="EH14" s="73"/>
      <c r="EI14" s="73"/>
      <c r="EJ14" s="73"/>
      <c r="EK14" s="73"/>
      <c r="EL14" s="73"/>
      <c r="EM14" s="73"/>
      <c r="EN14" s="73"/>
      <c r="EO14" s="73"/>
      <c r="EP14" s="73"/>
      <c r="EQ14" s="73"/>
      <c r="ER14" s="73"/>
      <c r="ES14" s="73"/>
      <c r="ET14" s="73"/>
      <c r="EU14" s="73"/>
      <c r="EV14" s="73"/>
      <c r="EW14" s="73"/>
      <c r="EX14" s="73"/>
      <c r="EY14" s="73"/>
      <c r="EZ14" s="73"/>
      <c r="FA14" s="73"/>
      <c r="FB14" s="73"/>
      <c r="FC14" s="73"/>
      <c r="FD14" s="73"/>
      <c r="FE14" s="73"/>
      <c r="FF14" s="73"/>
      <c r="FG14" s="73"/>
      <c r="FH14" s="73"/>
      <c r="FI14" s="73"/>
      <c r="FJ14" s="73"/>
      <c r="FK14" s="73"/>
      <c r="FL14" s="73"/>
      <c r="FM14" s="73"/>
      <c r="FN14" s="73"/>
      <c r="FO14" s="73"/>
      <c r="FP14" s="73"/>
      <c r="FQ14" s="73"/>
      <c r="FR14" s="73"/>
      <c r="FS14" s="73"/>
      <c r="FT14" s="73"/>
      <c r="FU14" s="73"/>
      <c r="FV14" s="73"/>
      <c r="FW14" s="73"/>
      <c r="FX14" s="73"/>
      <c r="FY14" s="73"/>
      <c r="FZ14" s="73"/>
      <c r="GA14" s="73"/>
      <c r="GB14" s="73"/>
      <c r="GC14" s="73"/>
      <c r="GD14" s="73"/>
      <c r="GE14" s="73"/>
      <c r="GF14" s="73"/>
      <c r="GG14" s="73"/>
      <c r="GH14" s="73"/>
      <c r="GI14" s="73"/>
      <c r="GJ14" s="73"/>
      <c r="GK14" s="73"/>
      <c r="GL14" s="73"/>
      <c r="GM14" s="73"/>
      <c r="GN14" s="73"/>
      <c r="GO14" s="73"/>
      <c r="GP14" s="73"/>
      <c r="GQ14" s="73"/>
      <c r="GR14" s="73"/>
      <c r="GS14" s="73"/>
      <c r="GT14" s="73"/>
      <c r="GU14" s="73"/>
      <c r="GV14" s="73"/>
      <c r="GW14" s="73"/>
      <c r="GX14" s="73"/>
      <c r="GY14" s="73"/>
      <c r="GZ14" s="73"/>
      <c r="HA14" s="73"/>
      <c r="HB14" s="73"/>
      <c r="HC14" s="73"/>
      <c r="HD14" s="73"/>
      <c r="HE14" s="73"/>
      <c r="HF14" s="73"/>
      <c r="HG14" s="73"/>
      <c r="HH14" s="73"/>
      <c r="HI14" s="73"/>
      <c r="HJ14" s="73"/>
      <c r="HK14" s="73"/>
      <c r="HL14" s="73"/>
      <c r="HM14" s="73"/>
      <c r="HN14" s="73"/>
      <c r="HO14" s="73"/>
      <c r="HP14" s="73"/>
      <c r="HQ14" s="73"/>
      <c r="HR14" s="73"/>
      <c r="HS14" s="73"/>
      <c r="HT14" s="73"/>
      <c r="HU14" s="73"/>
      <c r="HV14" s="73"/>
      <c r="HW14" s="73"/>
      <c r="HX14" s="73"/>
      <c r="HY14" s="73"/>
      <c r="HZ14" s="73"/>
      <c r="IA14" s="73"/>
      <c r="IB14" s="73"/>
      <c r="IC14" s="73"/>
      <c r="ID14" s="73"/>
      <c r="IE14" s="73"/>
      <c r="IF14" s="73"/>
      <c r="IG14" s="73"/>
      <c r="IH14" s="73"/>
      <c r="II14" s="73"/>
      <c r="IJ14" s="73"/>
      <c r="IK14" s="73"/>
      <c r="IL14" s="73"/>
      <c r="IM14" s="73"/>
      <c r="IN14" s="73"/>
      <c r="IO14" s="73"/>
      <c r="IP14" s="73"/>
      <c r="IQ14" s="73"/>
      <c r="IR14" s="73"/>
      <c r="IS14" s="73"/>
      <c r="IT14" s="73"/>
      <c r="IU14" s="73"/>
      <c r="IV14" s="73"/>
      <c r="IW14" s="73"/>
      <c r="IX14" s="73"/>
      <c r="IY14" s="73"/>
      <c r="IZ14" s="73"/>
      <c r="JA14" s="73"/>
      <c r="JB14" s="73"/>
      <c r="JC14" s="73"/>
      <c r="JD14" s="73"/>
      <c r="JE14" s="73"/>
      <c r="JF14" s="73"/>
      <c r="JG14" s="73"/>
      <c r="JH14" s="73"/>
      <c r="JI14" s="73"/>
      <c r="JJ14" s="73"/>
      <c r="JK14" s="73"/>
      <c r="JL14" s="73"/>
      <c r="JM14" s="73"/>
      <c r="JN14" s="73"/>
      <c r="JO14" s="73"/>
      <c r="JP14" s="73"/>
      <c r="JQ14" s="73"/>
      <c r="JR14" s="73"/>
      <c r="JS14" s="73"/>
      <c r="JT14" s="73"/>
      <c r="JU14" s="73"/>
      <c r="JV14" s="73"/>
      <c r="JW14" s="73"/>
      <c r="JX14" s="73"/>
      <c r="JY14" s="73"/>
      <c r="JZ14" s="73"/>
      <c r="KA14" s="73"/>
      <c r="KB14" s="73"/>
      <c r="KC14" s="73"/>
      <c r="KD14" s="73"/>
      <c r="KE14" s="73"/>
      <c r="KF14" s="73"/>
      <c r="KG14" s="73"/>
      <c r="KH14" s="73"/>
      <c r="KI14" s="73"/>
      <c r="KJ14" s="73"/>
      <c r="KK14" s="73"/>
      <c r="KL14" s="73"/>
      <c r="KM14" s="73"/>
      <c r="KN14" s="73"/>
      <c r="KO14" s="73"/>
      <c r="KP14" s="73"/>
      <c r="KQ14" s="73"/>
      <c r="KR14" s="73"/>
      <c r="KS14" s="73"/>
      <c r="KT14" s="73"/>
      <c r="KU14" s="73"/>
      <c r="KV14" s="73"/>
      <c r="KW14" s="73"/>
      <c r="KX14" s="73"/>
      <c r="KY14" s="73"/>
      <c r="KZ14" s="73"/>
      <c r="LA14" s="73"/>
      <c r="LB14" s="73"/>
      <c r="LC14" s="73"/>
      <c r="LD14" s="73"/>
      <c r="LE14" s="73"/>
      <c r="LF14" s="73"/>
      <c r="LG14" s="73"/>
      <c r="LH14" s="73"/>
      <c r="LI14" s="73"/>
      <c r="LJ14" s="73"/>
      <c r="LK14" s="73"/>
      <c r="LL14" s="73"/>
      <c r="LM14" s="73"/>
      <c r="LN14" s="73"/>
      <c r="LO14" s="73"/>
      <c r="LP14" s="73"/>
      <c r="LQ14" s="73"/>
      <c r="LR14" s="73"/>
      <c r="LS14" s="73"/>
      <c r="LT14" s="73"/>
      <c r="LU14" s="73"/>
      <c r="LV14" s="73"/>
      <c r="LW14" s="73"/>
      <c r="LX14" s="73"/>
      <c r="LY14" s="73"/>
      <c r="LZ14" s="73"/>
      <c r="MA14" s="73"/>
      <c r="MB14" s="73"/>
      <c r="MC14" s="73"/>
      <c r="MD14" s="73"/>
      <c r="ME14" s="73"/>
      <c r="MF14" s="73"/>
      <c r="MG14" s="73"/>
      <c r="MH14" s="73"/>
      <c r="MI14" s="73"/>
      <c r="MJ14" s="73"/>
      <c r="MK14" s="73"/>
      <c r="ML14" s="73"/>
      <c r="MM14" s="73"/>
      <c r="MN14" s="73"/>
      <c r="MO14" s="73"/>
      <c r="MP14" s="73"/>
      <c r="MQ14" s="73"/>
      <c r="MR14" s="73"/>
      <c r="MS14" s="73"/>
      <c r="MT14" s="73"/>
      <c r="MU14" s="73"/>
      <c r="MV14" s="73"/>
      <c r="MW14" s="73"/>
      <c r="MX14" s="73"/>
      <c r="MY14" s="73"/>
      <c r="MZ14" s="73"/>
      <c r="NA14" s="73"/>
      <c r="NB14" s="73"/>
      <c r="NC14" s="73"/>
      <c r="ND14" s="73"/>
      <c r="NE14" s="73"/>
      <c r="NF14" s="73"/>
      <c r="NG14" s="73"/>
      <c r="NH14" s="73"/>
      <c r="NI14" s="73"/>
      <c r="NJ14" s="73"/>
      <c r="NK14" s="73"/>
      <c r="NL14" s="73"/>
      <c r="NM14" s="73"/>
      <c r="NN14" s="73"/>
      <c r="NO14" s="73"/>
      <c r="NP14" s="73"/>
      <c r="NQ14" s="73"/>
      <c r="NR14" s="73"/>
      <c r="NS14" s="73"/>
      <c r="NT14" s="73"/>
      <c r="NU14" s="73"/>
      <c r="NV14" s="73"/>
      <c r="NW14" s="73"/>
      <c r="NX14" s="73"/>
      <c r="NY14" s="73"/>
      <c r="NZ14" s="73"/>
      <c r="OA14" s="73"/>
      <c r="OB14" s="73"/>
      <c r="OC14" s="73"/>
      <c r="OD14" s="73"/>
      <c r="OE14" s="73"/>
      <c r="OF14" s="73"/>
      <c r="OG14" s="73"/>
      <c r="OH14" s="73"/>
      <c r="OI14" s="73"/>
      <c r="OJ14" s="73"/>
      <c r="OK14" s="73"/>
      <c r="OL14" s="73"/>
      <c r="OM14" s="73"/>
      <c r="ON14" s="73"/>
      <c r="OO14" s="73"/>
      <c r="OP14" s="73"/>
      <c r="OQ14" s="73"/>
      <c r="OR14" s="73"/>
      <c r="OS14" s="73"/>
      <c r="OT14" s="73"/>
      <c r="OU14" s="73"/>
      <c r="OV14" s="73"/>
      <c r="OW14" s="73"/>
      <c r="OX14" s="73"/>
      <c r="OY14" s="73"/>
      <c r="OZ14" s="73"/>
      <c r="PA14" s="73"/>
      <c r="PB14" s="73"/>
      <c r="PC14" s="73"/>
      <c r="PD14" s="73"/>
      <c r="PE14" s="73"/>
      <c r="PF14" s="73"/>
      <c r="PG14" s="73"/>
      <c r="PH14" s="73"/>
      <c r="PI14" s="73"/>
      <c r="PJ14" s="73"/>
      <c r="PK14" s="73"/>
      <c r="PL14" s="73"/>
      <c r="PM14" s="73"/>
      <c r="PN14" s="73"/>
      <c r="PO14" s="73"/>
      <c r="PP14" s="73"/>
      <c r="PQ14" s="73"/>
      <c r="PR14" s="73"/>
      <c r="PS14" s="73"/>
      <c r="PT14" s="73"/>
      <c r="PU14" s="73"/>
      <c r="PV14" s="73"/>
      <c r="PW14" s="73"/>
      <c r="PX14" s="73"/>
      <c r="PY14" s="73"/>
      <c r="PZ14" s="73"/>
      <c r="QA14" s="73"/>
      <c r="QB14" s="73"/>
      <c r="QC14" s="73"/>
      <c r="QD14" s="73"/>
      <c r="QE14" s="73"/>
      <c r="QF14" s="73"/>
      <c r="QG14" s="73"/>
      <c r="QH14" s="73"/>
      <c r="QI14" s="73"/>
      <c r="QJ14" s="73"/>
      <c r="QK14" s="73"/>
      <c r="QL14" s="73"/>
      <c r="QM14" s="73"/>
      <c r="QN14" s="73"/>
      <c r="QO14" s="73"/>
      <c r="QP14" s="73"/>
      <c r="QQ14" s="73"/>
      <c r="QR14" s="73"/>
      <c r="QS14" s="73"/>
      <c r="QT14" s="73"/>
      <c r="QU14" s="73"/>
      <c r="QV14" s="73"/>
      <c r="QW14" s="73"/>
      <c r="QX14" s="73"/>
      <c r="QY14" s="73"/>
      <c r="QZ14" s="73"/>
      <c r="RA14" s="73"/>
      <c r="RB14" s="73"/>
      <c r="RC14" s="73"/>
      <c r="RD14" s="73"/>
      <c r="RE14" s="73"/>
      <c r="RF14" s="73"/>
      <c r="RG14" s="73"/>
      <c r="RH14" s="73"/>
      <c r="RI14" s="73"/>
      <c r="RJ14" s="73"/>
      <c r="RK14" s="73"/>
      <c r="RL14" s="73"/>
      <c r="RM14" s="73"/>
      <c r="RN14" s="73"/>
      <c r="RO14" s="73"/>
      <c r="RP14" s="73"/>
      <c r="RQ14" s="73"/>
      <c r="RR14" s="73"/>
      <c r="RS14" s="73"/>
      <c r="RT14" s="73"/>
      <c r="RU14" s="73"/>
      <c r="RV14" s="73"/>
      <c r="RW14" s="73"/>
      <c r="RX14" s="73"/>
      <c r="RY14" s="73"/>
      <c r="RZ14" s="73"/>
      <c r="SA14" s="73"/>
      <c r="SB14" s="73"/>
      <c r="SC14" s="73"/>
      <c r="SD14" s="73"/>
      <c r="SE14" s="73"/>
      <c r="SF14" s="73"/>
      <c r="SG14" s="73"/>
      <c r="SH14" s="73"/>
      <c r="SI14" s="73"/>
      <c r="SJ14" s="73"/>
      <c r="SK14" s="73"/>
      <c r="SL14" s="73"/>
      <c r="SM14" s="73"/>
      <c r="SN14" s="73"/>
      <c r="SO14" s="73"/>
      <c r="SP14" s="73"/>
      <c r="SQ14" s="73"/>
      <c r="SR14" s="73"/>
      <c r="SS14" s="73"/>
      <c r="ST14" s="73"/>
      <c r="SU14" s="73"/>
      <c r="SV14" s="73"/>
      <c r="SW14" s="73"/>
      <c r="SX14" s="73"/>
      <c r="SY14" s="73"/>
      <c r="SZ14" s="73"/>
      <c r="TA14" s="73"/>
      <c r="TB14" s="73"/>
      <c r="TC14" s="73"/>
      <c r="TD14" s="73"/>
      <c r="TE14" s="73"/>
      <c r="TF14" s="73"/>
      <c r="TG14" s="73"/>
      <c r="TH14" s="73"/>
      <c r="TI14" s="73"/>
      <c r="TJ14" s="73"/>
      <c r="TK14" s="73"/>
      <c r="TL14" s="73"/>
      <c r="TM14" s="73"/>
      <c r="TN14" s="73"/>
      <c r="TO14" s="73"/>
      <c r="TP14" s="73"/>
      <c r="TQ14" s="73"/>
      <c r="TR14" s="73"/>
      <c r="TS14" s="73"/>
      <c r="TT14" s="73"/>
      <c r="TU14" s="73"/>
      <c r="TV14" s="73"/>
      <c r="TW14" s="73"/>
      <c r="TX14" s="73"/>
    </row>
    <row r="15" spans="1:544" ht="20" customHeight="1">
      <c r="A15" s="74">
        <v>13</v>
      </c>
      <c r="B15" s="75">
        <v>0.54217424799989045</v>
      </c>
      <c r="C15" s="75">
        <v>0.86224363836158013</v>
      </c>
      <c r="D15" s="75">
        <v>6.7998399260194784</v>
      </c>
      <c r="E15" s="75">
        <v>2.164848788708592E-3</v>
      </c>
      <c r="F15" s="75">
        <v>4.6564245915739219E-3</v>
      </c>
      <c r="G15" s="75">
        <v>4.7245860476555872E-2</v>
      </c>
      <c r="H15" s="75">
        <v>245930.23889275026</v>
      </c>
      <c r="I15" s="75">
        <v>558733.87765830394</v>
      </c>
      <c r="J15" s="75">
        <v>5728185.1536788093</v>
      </c>
      <c r="K15" s="75">
        <v>188487421.8253344</v>
      </c>
      <c r="L15" s="75">
        <v>186878361.44845673</v>
      </c>
      <c r="M15" s="75">
        <v>170137166.96433005</v>
      </c>
      <c r="N15" s="347">
        <v>98.80252098236933</v>
      </c>
      <c r="O15" s="347">
        <v>97.959073604773621</v>
      </c>
      <c r="P15" s="347">
        <v>89.18356910017792</v>
      </c>
      <c r="Q15" s="73"/>
      <c r="R15" s="73"/>
      <c r="S15" s="73"/>
      <c r="T15" s="73"/>
      <c r="U15" s="73"/>
      <c r="V15" s="73"/>
      <c r="W15" s="73"/>
      <c r="X15" s="73"/>
      <c r="Y15" s="73"/>
      <c r="Z15" s="73"/>
      <c r="AA15" s="73"/>
      <c r="AB15" s="73"/>
      <c r="AC15" s="73"/>
      <c r="AD15" s="73"/>
      <c r="AE15" s="73"/>
      <c r="AF15" s="73"/>
      <c r="AG15" s="73"/>
      <c r="AH15" s="73"/>
      <c r="AI15" s="73"/>
      <c r="AJ15" s="73"/>
      <c r="AK15" s="73"/>
      <c r="AL15" s="73"/>
      <c r="AM15" s="73"/>
      <c r="AN15" s="73"/>
      <c r="AO15" s="73"/>
      <c r="AP15" s="73"/>
      <c r="AQ15" s="73"/>
      <c r="AR15" s="73"/>
      <c r="AS15" s="73"/>
      <c r="AT15" s="73"/>
      <c r="AU15" s="73"/>
      <c r="AV15" s="73"/>
      <c r="AW15" s="73"/>
      <c r="AX15" s="73"/>
      <c r="AY15" s="73"/>
      <c r="AZ15" s="73"/>
      <c r="BA15" s="73"/>
      <c r="BB15" s="73"/>
      <c r="BC15" s="73"/>
      <c r="BD15" s="73"/>
      <c r="BE15" s="73"/>
      <c r="BF15" s="73"/>
      <c r="BG15" s="73"/>
      <c r="BH15" s="73"/>
      <c r="BI15" s="73"/>
      <c r="BJ15" s="73"/>
      <c r="BK15" s="73"/>
      <c r="BL15" s="73"/>
      <c r="BM15" s="73"/>
      <c r="BN15" s="73"/>
      <c r="BO15" s="73"/>
      <c r="BP15" s="73"/>
      <c r="BQ15" s="73"/>
      <c r="BR15" s="73"/>
      <c r="BS15" s="73"/>
      <c r="BT15" s="73"/>
      <c r="BU15" s="73"/>
      <c r="BV15" s="73"/>
      <c r="BW15" s="73"/>
      <c r="BX15" s="73"/>
      <c r="BY15" s="73"/>
      <c r="BZ15" s="73"/>
      <c r="CA15" s="73"/>
      <c r="CB15" s="73"/>
      <c r="CC15" s="73"/>
      <c r="CD15" s="73"/>
      <c r="CE15" s="73"/>
      <c r="CF15" s="73"/>
      <c r="CG15" s="73"/>
      <c r="CH15" s="73"/>
      <c r="CI15" s="73"/>
      <c r="CJ15" s="73"/>
      <c r="CK15" s="73"/>
      <c r="CL15" s="73"/>
      <c r="CM15" s="73"/>
      <c r="CN15" s="73"/>
      <c r="CO15" s="73"/>
      <c r="CP15" s="73"/>
      <c r="CQ15" s="73"/>
      <c r="CR15" s="73"/>
      <c r="CS15" s="73"/>
      <c r="CT15" s="73"/>
      <c r="CU15" s="73"/>
      <c r="CV15" s="73"/>
      <c r="CW15" s="73"/>
      <c r="CX15" s="73"/>
      <c r="CY15" s="73"/>
      <c r="CZ15" s="73"/>
      <c r="DA15" s="73"/>
      <c r="DB15" s="73"/>
      <c r="DC15" s="73"/>
      <c r="DD15" s="73"/>
      <c r="DE15" s="73"/>
      <c r="DF15" s="73"/>
      <c r="DG15" s="73"/>
      <c r="DH15" s="73"/>
      <c r="DI15" s="73"/>
      <c r="DJ15" s="73"/>
      <c r="DK15" s="73"/>
      <c r="DL15" s="73"/>
      <c r="DM15" s="73"/>
      <c r="DN15" s="73"/>
      <c r="DO15" s="73"/>
      <c r="DP15" s="73"/>
      <c r="DQ15" s="73"/>
      <c r="DR15" s="73"/>
      <c r="DS15" s="73"/>
      <c r="DT15" s="73"/>
      <c r="DU15" s="73"/>
      <c r="DV15" s="73"/>
      <c r="DW15" s="73"/>
      <c r="DX15" s="73"/>
      <c r="DY15" s="73"/>
      <c r="DZ15" s="73"/>
      <c r="EA15" s="73"/>
      <c r="EB15" s="73"/>
      <c r="EC15" s="73"/>
      <c r="ED15" s="73"/>
      <c r="EE15" s="73"/>
      <c r="EF15" s="73"/>
      <c r="EG15" s="73"/>
      <c r="EH15" s="73"/>
      <c r="EI15" s="73"/>
      <c r="EJ15" s="73"/>
      <c r="EK15" s="73"/>
      <c r="EL15" s="73"/>
      <c r="EM15" s="73"/>
      <c r="EN15" s="73"/>
      <c r="EO15" s="73"/>
      <c r="EP15" s="73"/>
      <c r="EQ15" s="73"/>
      <c r="ER15" s="73"/>
      <c r="ES15" s="73"/>
      <c r="ET15" s="73"/>
      <c r="EU15" s="73"/>
      <c r="EV15" s="73"/>
      <c r="EW15" s="73"/>
      <c r="EX15" s="73"/>
      <c r="EY15" s="73"/>
      <c r="EZ15" s="73"/>
      <c r="FA15" s="73"/>
      <c r="FB15" s="73"/>
      <c r="FC15" s="73"/>
      <c r="FD15" s="73"/>
      <c r="FE15" s="73"/>
      <c r="FF15" s="73"/>
      <c r="FG15" s="73"/>
      <c r="FH15" s="73"/>
      <c r="FI15" s="73"/>
      <c r="FJ15" s="73"/>
      <c r="FK15" s="73"/>
      <c r="FL15" s="73"/>
      <c r="FM15" s="73"/>
      <c r="FN15" s="73"/>
      <c r="FO15" s="73"/>
      <c r="FP15" s="73"/>
      <c r="FQ15" s="73"/>
      <c r="FR15" s="73"/>
      <c r="FS15" s="73"/>
      <c r="FT15" s="73"/>
      <c r="FU15" s="73"/>
      <c r="FV15" s="73"/>
      <c r="FW15" s="73"/>
      <c r="FX15" s="73"/>
      <c r="FY15" s="73"/>
      <c r="FZ15" s="73"/>
      <c r="GA15" s="73"/>
      <c r="GB15" s="73"/>
      <c r="GC15" s="73"/>
      <c r="GD15" s="73"/>
      <c r="GE15" s="73"/>
      <c r="GF15" s="73"/>
      <c r="GG15" s="73"/>
      <c r="GH15" s="73"/>
      <c r="GI15" s="73"/>
      <c r="GJ15" s="73"/>
      <c r="GK15" s="73"/>
      <c r="GL15" s="73"/>
      <c r="GM15" s="73"/>
      <c r="GN15" s="73"/>
      <c r="GO15" s="73"/>
      <c r="GP15" s="73"/>
      <c r="GQ15" s="73"/>
      <c r="GR15" s="73"/>
      <c r="GS15" s="73"/>
      <c r="GT15" s="73"/>
      <c r="GU15" s="73"/>
      <c r="GV15" s="73"/>
      <c r="GW15" s="73"/>
      <c r="GX15" s="73"/>
      <c r="GY15" s="73"/>
      <c r="GZ15" s="73"/>
      <c r="HA15" s="73"/>
      <c r="HB15" s="73"/>
      <c r="HC15" s="73"/>
      <c r="HD15" s="73"/>
      <c r="HE15" s="73"/>
      <c r="HF15" s="73"/>
      <c r="HG15" s="73"/>
      <c r="HH15" s="73"/>
      <c r="HI15" s="73"/>
      <c r="HJ15" s="73"/>
      <c r="HK15" s="73"/>
      <c r="HL15" s="73"/>
      <c r="HM15" s="73"/>
      <c r="HN15" s="73"/>
      <c r="HO15" s="73"/>
      <c r="HP15" s="73"/>
      <c r="HQ15" s="73"/>
      <c r="HR15" s="73"/>
      <c r="HS15" s="73"/>
      <c r="HT15" s="73"/>
      <c r="HU15" s="73"/>
      <c r="HV15" s="73"/>
      <c r="HW15" s="73"/>
      <c r="HX15" s="73"/>
      <c r="HY15" s="73"/>
      <c r="HZ15" s="73"/>
      <c r="IA15" s="73"/>
      <c r="IB15" s="73"/>
      <c r="IC15" s="73"/>
      <c r="ID15" s="73"/>
      <c r="IE15" s="73"/>
      <c r="IF15" s="73"/>
      <c r="IG15" s="73"/>
      <c r="IH15" s="73"/>
      <c r="II15" s="73"/>
      <c r="IJ15" s="73"/>
      <c r="IK15" s="73"/>
      <c r="IL15" s="73"/>
      <c r="IM15" s="73"/>
      <c r="IN15" s="73"/>
      <c r="IO15" s="73"/>
      <c r="IP15" s="73"/>
      <c r="IQ15" s="73"/>
      <c r="IR15" s="73"/>
      <c r="IS15" s="73"/>
      <c r="IT15" s="73"/>
      <c r="IU15" s="73"/>
      <c r="IV15" s="73"/>
      <c r="IW15" s="73"/>
      <c r="IX15" s="73"/>
      <c r="IY15" s="73"/>
      <c r="IZ15" s="73"/>
      <c r="JA15" s="73"/>
      <c r="JB15" s="73"/>
      <c r="JC15" s="73"/>
      <c r="JD15" s="73"/>
      <c r="JE15" s="73"/>
      <c r="JF15" s="73"/>
      <c r="JG15" s="73"/>
      <c r="JH15" s="73"/>
      <c r="JI15" s="73"/>
      <c r="JJ15" s="73"/>
      <c r="JK15" s="73"/>
      <c r="JL15" s="73"/>
      <c r="JM15" s="73"/>
      <c r="JN15" s="73"/>
      <c r="JO15" s="73"/>
      <c r="JP15" s="73"/>
      <c r="JQ15" s="73"/>
      <c r="JR15" s="73"/>
      <c r="JS15" s="73"/>
      <c r="JT15" s="73"/>
      <c r="JU15" s="73"/>
      <c r="JV15" s="73"/>
      <c r="JW15" s="73"/>
      <c r="JX15" s="73"/>
      <c r="JY15" s="73"/>
      <c r="JZ15" s="73"/>
      <c r="KA15" s="73"/>
      <c r="KB15" s="73"/>
      <c r="KC15" s="73"/>
      <c r="KD15" s="73"/>
      <c r="KE15" s="73"/>
      <c r="KF15" s="73"/>
      <c r="KG15" s="73"/>
      <c r="KH15" s="73"/>
      <c r="KI15" s="73"/>
      <c r="KJ15" s="73"/>
      <c r="KK15" s="73"/>
      <c r="KL15" s="73"/>
      <c r="KM15" s="73"/>
      <c r="KN15" s="73"/>
      <c r="KO15" s="73"/>
      <c r="KP15" s="73"/>
      <c r="KQ15" s="73"/>
      <c r="KR15" s="73"/>
      <c r="KS15" s="73"/>
      <c r="KT15" s="73"/>
      <c r="KU15" s="73"/>
      <c r="KV15" s="73"/>
      <c r="KW15" s="73"/>
      <c r="KX15" s="73"/>
      <c r="KY15" s="73"/>
      <c r="KZ15" s="73"/>
      <c r="LA15" s="73"/>
      <c r="LB15" s="73"/>
      <c r="LC15" s="73"/>
      <c r="LD15" s="73"/>
      <c r="LE15" s="73"/>
      <c r="LF15" s="73"/>
      <c r="LG15" s="73"/>
      <c r="LH15" s="73"/>
      <c r="LI15" s="73"/>
      <c r="LJ15" s="73"/>
      <c r="LK15" s="73"/>
      <c r="LL15" s="73"/>
      <c r="LM15" s="73"/>
      <c r="LN15" s="73"/>
      <c r="LO15" s="73"/>
      <c r="LP15" s="73"/>
      <c r="LQ15" s="73"/>
      <c r="LR15" s="73"/>
      <c r="LS15" s="73"/>
      <c r="LT15" s="73"/>
      <c r="LU15" s="73"/>
      <c r="LV15" s="73"/>
      <c r="LW15" s="73"/>
      <c r="LX15" s="73"/>
      <c r="LY15" s="73"/>
      <c r="LZ15" s="73"/>
      <c r="MA15" s="73"/>
      <c r="MB15" s="73"/>
      <c r="MC15" s="73"/>
      <c r="MD15" s="73"/>
      <c r="ME15" s="73"/>
      <c r="MF15" s="73"/>
      <c r="MG15" s="73"/>
      <c r="MH15" s="73"/>
      <c r="MI15" s="73"/>
      <c r="MJ15" s="73"/>
      <c r="MK15" s="73"/>
      <c r="ML15" s="73"/>
      <c r="MM15" s="73"/>
      <c r="MN15" s="73"/>
      <c r="MO15" s="73"/>
      <c r="MP15" s="73"/>
      <c r="MQ15" s="73"/>
      <c r="MR15" s="73"/>
      <c r="MS15" s="73"/>
      <c r="MT15" s="73"/>
      <c r="MU15" s="73"/>
      <c r="MV15" s="73"/>
      <c r="MW15" s="73"/>
      <c r="MX15" s="73"/>
      <c r="MY15" s="73"/>
      <c r="MZ15" s="73"/>
      <c r="NA15" s="73"/>
      <c r="NB15" s="73"/>
      <c r="NC15" s="73"/>
      <c r="ND15" s="73"/>
      <c r="NE15" s="73"/>
      <c r="NF15" s="73"/>
      <c r="NG15" s="73"/>
      <c r="NH15" s="73"/>
      <c r="NI15" s="73"/>
      <c r="NJ15" s="73"/>
      <c r="NK15" s="73"/>
      <c r="NL15" s="73"/>
      <c r="NM15" s="73"/>
      <c r="NN15" s="73"/>
      <c r="NO15" s="73"/>
      <c r="NP15" s="73"/>
      <c r="NQ15" s="73"/>
      <c r="NR15" s="73"/>
      <c r="NS15" s="73"/>
      <c r="NT15" s="73"/>
      <c r="NU15" s="73"/>
      <c r="NV15" s="73"/>
      <c r="NW15" s="73"/>
      <c r="NX15" s="73"/>
      <c r="NY15" s="73"/>
      <c r="NZ15" s="73"/>
      <c r="OA15" s="73"/>
      <c r="OB15" s="73"/>
      <c r="OC15" s="73"/>
      <c r="OD15" s="73"/>
      <c r="OE15" s="73"/>
      <c r="OF15" s="73"/>
      <c r="OG15" s="73"/>
      <c r="OH15" s="73"/>
      <c r="OI15" s="73"/>
      <c r="OJ15" s="73"/>
      <c r="OK15" s="73"/>
      <c r="OL15" s="73"/>
      <c r="OM15" s="73"/>
      <c r="ON15" s="73"/>
      <c r="OO15" s="73"/>
      <c r="OP15" s="73"/>
      <c r="OQ15" s="73"/>
      <c r="OR15" s="73"/>
      <c r="OS15" s="73"/>
      <c r="OT15" s="73"/>
      <c r="OU15" s="73"/>
      <c r="OV15" s="73"/>
      <c r="OW15" s="73"/>
      <c r="OX15" s="73"/>
      <c r="OY15" s="73"/>
      <c r="OZ15" s="73"/>
      <c r="PA15" s="73"/>
      <c r="PB15" s="73"/>
      <c r="PC15" s="73"/>
      <c r="PD15" s="73"/>
      <c r="PE15" s="73"/>
      <c r="PF15" s="73"/>
      <c r="PG15" s="73"/>
      <c r="PH15" s="73"/>
      <c r="PI15" s="73"/>
      <c r="PJ15" s="73"/>
      <c r="PK15" s="73"/>
      <c r="PL15" s="73"/>
      <c r="PM15" s="73"/>
      <c r="PN15" s="73"/>
      <c r="PO15" s="73"/>
      <c r="PP15" s="73"/>
      <c r="PQ15" s="73"/>
      <c r="PR15" s="73"/>
      <c r="PS15" s="73"/>
      <c r="PT15" s="73"/>
      <c r="PU15" s="73"/>
      <c r="PV15" s="73"/>
      <c r="PW15" s="73"/>
      <c r="PX15" s="73"/>
      <c r="PY15" s="73"/>
      <c r="PZ15" s="73"/>
      <c r="QA15" s="73"/>
      <c r="QB15" s="73"/>
      <c r="QC15" s="73"/>
      <c r="QD15" s="73"/>
      <c r="QE15" s="73"/>
      <c r="QF15" s="73"/>
      <c r="QG15" s="73"/>
      <c r="QH15" s="73"/>
      <c r="QI15" s="73"/>
      <c r="QJ15" s="73"/>
      <c r="QK15" s="73"/>
      <c r="QL15" s="73"/>
      <c r="QM15" s="73"/>
      <c r="QN15" s="73"/>
      <c r="QO15" s="73"/>
      <c r="QP15" s="73"/>
      <c r="QQ15" s="73"/>
      <c r="QR15" s="73"/>
      <c r="QS15" s="73"/>
      <c r="QT15" s="73"/>
      <c r="QU15" s="73"/>
      <c r="QV15" s="73"/>
      <c r="QW15" s="73"/>
      <c r="QX15" s="73"/>
      <c r="QY15" s="73"/>
      <c r="QZ15" s="73"/>
      <c r="RA15" s="73"/>
      <c r="RB15" s="73"/>
      <c r="RC15" s="73"/>
      <c r="RD15" s="73"/>
      <c r="RE15" s="73"/>
      <c r="RF15" s="73"/>
      <c r="RG15" s="73"/>
      <c r="RH15" s="73"/>
      <c r="RI15" s="73"/>
      <c r="RJ15" s="73"/>
      <c r="RK15" s="73"/>
      <c r="RL15" s="73"/>
      <c r="RM15" s="73"/>
      <c r="RN15" s="73"/>
      <c r="RO15" s="73"/>
      <c r="RP15" s="73"/>
      <c r="RQ15" s="73"/>
      <c r="RR15" s="73"/>
      <c r="RS15" s="73"/>
      <c r="RT15" s="73"/>
      <c r="RU15" s="73"/>
      <c r="RV15" s="73"/>
      <c r="RW15" s="73"/>
      <c r="RX15" s="73"/>
      <c r="RY15" s="73"/>
      <c r="RZ15" s="73"/>
      <c r="SA15" s="73"/>
      <c r="SB15" s="73"/>
      <c r="SC15" s="73"/>
      <c r="SD15" s="73"/>
      <c r="SE15" s="73"/>
      <c r="SF15" s="73"/>
      <c r="SG15" s="73"/>
      <c r="SH15" s="73"/>
      <c r="SI15" s="73"/>
      <c r="SJ15" s="73"/>
      <c r="SK15" s="73"/>
      <c r="SL15" s="73"/>
      <c r="SM15" s="73"/>
      <c r="SN15" s="73"/>
      <c r="SO15" s="73"/>
      <c r="SP15" s="73"/>
      <c r="SQ15" s="73"/>
      <c r="SR15" s="73"/>
      <c r="SS15" s="73"/>
      <c r="ST15" s="73"/>
      <c r="SU15" s="73"/>
      <c r="SV15" s="73"/>
      <c r="SW15" s="73"/>
      <c r="SX15" s="73"/>
      <c r="SY15" s="73"/>
      <c r="SZ15" s="73"/>
      <c r="TA15" s="73"/>
      <c r="TB15" s="73"/>
      <c r="TC15" s="73"/>
      <c r="TD15" s="73"/>
      <c r="TE15" s="73"/>
      <c r="TF15" s="73"/>
      <c r="TG15" s="73"/>
      <c r="TH15" s="73"/>
      <c r="TI15" s="73"/>
      <c r="TJ15" s="73"/>
      <c r="TK15" s="73"/>
      <c r="TL15" s="73"/>
      <c r="TM15" s="73"/>
      <c r="TN15" s="73"/>
      <c r="TO15" s="73"/>
      <c r="TP15" s="73"/>
      <c r="TQ15" s="73"/>
      <c r="TR15" s="73"/>
      <c r="TS15" s="73"/>
      <c r="TT15" s="73"/>
      <c r="TU15" s="73"/>
      <c r="TV15" s="73"/>
      <c r="TW15" s="73"/>
      <c r="TX15" s="73"/>
    </row>
    <row r="16" spans="1:544" ht="20" customHeight="1">
      <c r="A16" s="78">
        <v>14</v>
      </c>
      <c r="B16" s="79">
        <v>0.58378858822712842</v>
      </c>
      <c r="C16" s="79">
        <v>1.0223963190101015</v>
      </c>
      <c r="D16" s="79">
        <v>8.2393027880116918</v>
      </c>
      <c r="E16" s="79">
        <v>2.3182059032073377E-3</v>
      </c>
      <c r="F16" s="79">
        <v>5.4321880788384905E-3</v>
      </c>
      <c r="G16" s="79">
        <v>5.8636508908992857E-2</v>
      </c>
      <c r="H16" s="75">
        <v>264806.50361982547</v>
      </c>
      <c r="I16" s="75">
        <v>662512.81471854588</v>
      </c>
      <c r="J16" s="75">
        <v>6940788.6686210502</v>
      </c>
      <c r="K16" s="75">
        <v>188232053.45407811</v>
      </c>
      <c r="L16" s="75">
        <v>186267738.10226831</v>
      </c>
      <c r="M16" s="75">
        <v>163802680.0531801</v>
      </c>
      <c r="N16" s="347">
        <v>98.668660385121285</v>
      </c>
      <c r="O16" s="347">
        <v>97.638993222805155</v>
      </c>
      <c r="P16" s="347">
        <v>85.863117953409059</v>
      </c>
      <c r="Q16" s="73"/>
      <c r="R16" s="73"/>
      <c r="S16" s="73"/>
      <c r="T16" s="73"/>
      <c r="U16" s="73"/>
      <c r="V16" s="73"/>
      <c r="W16" s="73"/>
      <c r="X16" s="73"/>
      <c r="Y16" s="73"/>
      <c r="Z16" s="73"/>
      <c r="AA16" s="73"/>
      <c r="AB16" s="73"/>
      <c r="AC16" s="73"/>
      <c r="AD16" s="73"/>
      <c r="AE16" s="73"/>
      <c r="AF16" s="73"/>
      <c r="AG16" s="73"/>
      <c r="AH16" s="73"/>
      <c r="AI16" s="73"/>
      <c r="AJ16" s="73"/>
      <c r="AK16" s="73"/>
      <c r="AL16" s="73"/>
      <c r="AM16" s="73"/>
      <c r="AN16" s="73"/>
      <c r="AO16" s="73"/>
      <c r="AP16" s="73"/>
      <c r="AQ16" s="73"/>
      <c r="AR16" s="73"/>
      <c r="AS16" s="73"/>
      <c r="AT16" s="73"/>
      <c r="AU16" s="73"/>
      <c r="AV16" s="73"/>
      <c r="AW16" s="73"/>
      <c r="AX16" s="73"/>
      <c r="AY16" s="73"/>
      <c r="AZ16" s="73"/>
      <c r="BA16" s="73"/>
      <c r="BB16" s="73"/>
      <c r="BC16" s="73"/>
      <c r="BD16" s="73"/>
      <c r="BE16" s="73"/>
      <c r="BF16" s="73"/>
      <c r="BG16" s="73"/>
      <c r="BH16" s="73"/>
      <c r="BI16" s="73"/>
      <c r="BJ16" s="73"/>
      <c r="BK16" s="73"/>
      <c r="BL16" s="73"/>
      <c r="BM16" s="73"/>
      <c r="BN16" s="73"/>
      <c r="BO16" s="73"/>
      <c r="BP16" s="73"/>
      <c r="BQ16" s="73"/>
      <c r="BR16" s="73"/>
      <c r="BS16" s="73"/>
      <c r="BT16" s="73"/>
      <c r="BU16" s="73"/>
      <c r="BV16" s="73"/>
      <c r="BW16" s="73"/>
      <c r="BX16" s="73"/>
      <c r="BY16" s="73"/>
      <c r="BZ16" s="73"/>
      <c r="CA16" s="73"/>
      <c r="CB16" s="73"/>
      <c r="CC16" s="73"/>
      <c r="CD16" s="73"/>
      <c r="CE16" s="73"/>
      <c r="CF16" s="73"/>
      <c r="CG16" s="73"/>
      <c r="CH16" s="73"/>
      <c r="CI16" s="73"/>
      <c r="CJ16" s="73"/>
      <c r="CK16" s="73"/>
      <c r="CL16" s="73"/>
      <c r="CM16" s="73"/>
      <c r="CN16" s="73"/>
      <c r="CO16" s="73"/>
      <c r="CP16" s="73"/>
      <c r="CQ16" s="73"/>
      <c r="CR16" s="73"/>
      <c r="CS16" s="73"/>
      <c r="CT16" s="73"/>
      <c r="CU16" s="73"/>
      <c r="CV16" s="73"/>
      <c r="CW16" s="73"/>
      <c r="CX16" s="73"/>
      <c r="CY16" s="73"/>
      <c r="CZ16" s="73"/>
      <c r="DA16" s="73"/>
      <c r="DB16" s="73"/>
      <c r="DC16" s="73"/>
      <c r="DD16" s="73"/>
      <c r="DE16" s="73"/>
      <c r="DF16" s="73"/>
      <c r="DG16" s="73"/>
      <c r="DH16" s="73"/>
      <c r="DI16" s="73"/>
      <c r="DJ16" s="73"/>
      <c r="DK16" s="73"/>
      <c r="DL16" s="73"/>
      <c r="DM16" s="73"/>
      <c r="DN16" s="73"/>
      <c r="DO16" s="73"/>
      <c r="DP16" s="73"/>
      <c r="DQ16" s="73"/>
      <c r="DR16" s="73"/>
      <c r="DS16" s="73"/>
      <c r="DT16" s="73"/>
      <c r="DU16" s="73"/>
      <c r="DV16" s="73"/>
      <c r="DW16" s="73"/>
      <c r="DX16" s="73"/>
      <c r="DY16" s="73"/>
      <c r="DZ16" s="73"/>
      <c r="EA16" s="73"/>
      <c r="EB16" s="73"/>
      <c r="EC16" s="73"/>
      <c r="ED16" s="73"/>
      <c r="EE16" s="73"/>
      <c r="EF16" s="73"/>
      <c r="EG16" s="73"/>
      <c r="EH16" s="73"/>
      <c r="EI16" s="73"/>
      <c r="EJ16" s="73"/>
      <c r="EK16" s="73"/>
      <c r="EL16" s="73"/>
      <c r="EM16" s="73"/>
      <c r="EN16" s="73"/>
      <c r="EO16" s="73"/>
      <c r="EP16" s="73"/>
      <c r="EQ16" s="73"/>
      <c r="ER16" s="73"/>
      <c r="ES16" s="73"/>
      <c r="ET16" s="73"/>
      <c r="EU16" s="73"/>
      <c r="EV16" s="73"/>
      <c r="EW16" s="73"/>
      <c r="EX16" s="73"/>
      <c r="EY16" s="73"/>
      <c r="EZ16" s="73"/>
      <c r="FA16" s="73"/>
      <c r="FB16" s="73"/>
      <c r="FC16" s="73"/>
      <c r="FD16" s="73"/>
      <c r="FE16" s="73"/>
      <c r="FF16" s="73"/>
      <c r="FG16" s="73"/>
      <c r="FH16" s="73"/>
      <c r="FI16" s="73"/>
      <c r="FJ16" s="73"/>
      <c r="FK16" s="73"/>
      <c r="FL16" s="73"/>
      <c r="FM16" s="73"/>
      <c r="FN16" s="73"/>
      <c r="FO16" s="73"/>
      <c r="FP16" s="73"/>
      <c r="FQ16" s="73"/>
      <c r="FR16" s="73"/>
      <c r="FS16" s="73"/>
      <c r="FT16" s="73"/>
      <c r="FU16" s="73"/>
      <c r="FV16" s="73"/>
      <c r="FW16" s="73"/>
      <c r="FX16" s="73"/>
      <c r="FY16" s="73"/>
      <c r="FZ16" s="73"/>
      <c r="GA16" s="73"/>
      <c r="GB16" s="73"/>
      <c r="GC16" s="73"/>
      <c r="GD16" s="73"/>
      <c r="GE16" s="73"/>
      <c r="GF16" s="73"/>
      <c r="GG16" s="73"/>
      <c r="GH16" s="73"/>
      <c r="GI16" s="73"/>
      <c r="GJ16" s="73"/>
      <c r="GK16" s="73"/>
      <c r="GL16" s="73"/>
      <c r="GM16" s="73"/>
      <c r="GN16" s="73"/>
      <c r="GO16" s="73"/>
      <c r="GP16" s="73"/>
      <c r="GQ16" s="73"/>
      <c r="GR16" s="73"/>
      <c r="GS16" s="73"/>
      <c r="GT16" s="73"/>
      <c r="GU16" s="73"/>
      <c r="GV16" s="73"/>
      <c r="GW16" s="73"/>
      <c r="GX16" s="73"/>
      <c r="GY16" s="73"/>
      <c r="GZ16" s="73"/>
      <c r="HA16" s="73"/>
      <c r="HB16" s="73"/>
      <c r="HC16" s="73"/>
      <c r="HD16" s="73"/>
      <c r="HE16" s="73"/>
      <c r="HF16" s="73"/>
      <c r="HG16" s="73"/>
      <c r="HH16" s="73"/>
      <c r="HI16" s="73"/>
      <c r="HJ16" s="73"/>
      <c r="HK16" s="73"/>
      <c r="HL16" s="73"/>
      <c r="HM16" s="73"/>
      <c r="HN16" s="73"/>
      <c r="HO16" s="73"/>
      <c r="HP16" s="73"/>
      <c r="HQ16" s="73"/>
      <c r="HR16" s="73"/>
      <c r="HS16" s="73"/>
      <c r="HT16" s="73"/>
      <c r="HU16" s="73"/>
      <c r="HV16" s="73"/>
      <c r="HW16" s="73"/>
      <c r="HX16" s="73"/>
      <c r="HY16" s="73"/>
      <c r="HZ16" s="73"/>
      <c r="IA16" s="73"/>
      <c r="IB16" s="73"/>
      <c r="IC16" s="73"/>
      <c r="ID16" s="73"/>
      <c r="IE16" s="73"/>
      <c r="IF16" s="73"/>
      <c r="IG16" s="73"/>
      <c r="IH16" s="73"/>
      <c r="II16" s="73"/>
      <c r="IJ16" s="73"/>
      <c r="IK16" s="73"/>
      <c r="IL16" s="73"/>
      <c r="IM16" s="73"/>
      <c r="IN16" s="73"/>
      <c r="IO16" s="73"/>
      <c r="IP16" s="73"/>
      <c r="IQ16" s="73"/>
      <c r="IR16" s="73"/>
      <c r="IS16" s="73"/>
      <c r="IT16" s="73"/>
      <c r="IU16" s="73"/>
      <c r="IV16" s="73"/>
      <c r="IW16" s="73"/>
      <c r="IX16" s="73"/>
      <c r="IY16" s="73"/>
      <c r="IZ16" s="73"/>
      <c r="JA16" s="73"/>
      <c r="JB16" s="73"/>
      <c r="JC16" s="73"/>
      <c r="JD16" s="73"/>
      <c r="JE16" s="73"/>
      <c r="JF16" s="73"/>
      <c r="JG16" s="73"/>
      <c r="JH16" s="73"/>
      <c r="JI16" s="73"/>
      <c r="JJ16" s="73"/>
      <c r="JK16" s="73"/>
      <c r="JL16" s="73"/>
      <c r="JM16" s="73"/>
      <c r="JN16" s="73"/>
      <c r="JO16" s="73"/>
      <c r="JP16" s="73"/>
      <c r="JQ16" s="73"/>
      <c r="JR16" s="73"/>
      <c r="JS16" s="73"/>
      <c r="JT16" s="73"/>
      <c r="JU16" s="73"/>
      <c r="JV16" s="73"/>
      <c r="JW16" s="73"/>
      <c r="JX16" s="73"/>
      <c r="JY16" s="73"/>
      <c r="JZ16" s="73"/>
      <c r="KA16" s="73"/>
      <c r="KB16" s="73"/>
      <c r="KC16" s="73"/>
      <c r="KD16" s="73"/>
      <c r="KE16" s="73"/>
      <c r="KF16" s="73"/>
      <c r="KG16" s="73"/>
      <c r="KH16" s="73"/>
      <c r="KI16" s="73"/>
      <c r="KJ16" s="73"/>
      <c r="KK16" s="73"/>
      <c r="KL16" s="73"/>
      <c r="KM16" s="73"/>
      <c r="KN16" s="73"/>
      <c r="KO16" s="73"/>
      <c r="KP16" s="73"/>
      <c r="KQ16" s="73"/>
      <c r="KR16" s="73"/>
      <c r="KS16" s="73"/>
      <c r="KT16" s="73"/>
      <c r="KU16" s="73"/>
      <c r="KV16" s="73"/>
      <c r="KW16" s="73"/>
      <c r="KX16" s="73"/>
      <c r="KY16" s="73"/>
      <c r="KZ16" s="73"/>
      <c r="LA16" s="73"/>
      <c r="LB16" s="73"/>
      <c r="LC16" s="73"/>
      <c r="LD16" s="73"/>
      <c r="LE16" s="73"/>
      <c r="LF16" s="73"/>
      <c r="LG16" s="73"/>
      <c r="LH16" s="73"/>
      <c r="LI16" s="73"/>
      <c r="LJ16" s="73"/>
      <c r="LK16" s="73"/>
      <c r="LL16" s="73"/>
      <c r="LM16" s="73"/>
      <c r="LN16" s="73"/>
      <c r="LO16" s="73"/>
      <c r="LP16" s="73"/>
      <c r="LQ16" s="73"/>
      <c r="LR16" s="73"/>
      <c r="LS16" s="73"/>
      <c r="LT16" s="73"/>
      <c r="LU16" s="73"/>
      <c r="LV16" s="73"/>
      <c r="LW16" s="73"/>
      <c r="LX16" s="73"/>
      <c r="LY16" s="73"/>
      <c r="LZ16" s="73"/>
      <c r="MA16" s="73"/>
      <c r="MB16" s="73"/>
      <c r="MC16" s="73"/>
      <c r="MD16" s="73"/>
      <c r="ME16" s="73"/>
      <c r="MF16" s="73"/>
      <c r="MG16" s="73"/>
      <c r="MH16" s="73"/>
      <c r="MI16" s="73"/>
      <c r="MJ16" s="73"/>
      <c r="MK16" s="73"/>
      <c r="ML16" s="73"/>
      <c r="MM16" s="73"/>
      <c r="MN16" s="73"/>
      <c r="MO16" s="73"/>
      <c r="MP16" s="73"/>
      <c r="MQ16" s="73"/>
      <c r="MR16" s="73"/>
      <c r="MS16" s="73"/>
      <c r="MT16" s="73"/>
      <c r="MU16" s="73"/>
      <c r="MV16" s="73"/>
      <c r="MW16" s="73"/>
      <c r="MX16" s="73"/>
      <c r="MY16" s="73"/>
      <c r="MZ16" s="73"/>
      <c r="NA16" s="73"/>
      <c r="NB16" s="73"/>
      <c r="NC16" s="73"/>
      <c r="ND16" s="73"/>
      <c r="NE16" s="73"/>
      <c r="NF16" s="73"/>
      <c r="NG16" s="73"/>
      <c r="NH16" s="73"/>
      <c r="NI16" s="73"/>
      <c r="NJ16" s="73"/>
      <c r="NK16" s="73"/>
      <c r="NL16" s="73"/>
      <c r="NM16" s="73"/>
      <c r="NN16" s="73"/>
      <c r="NO16" s="73"/>
      <c r="NP16" s="73"/>
      <c r="NQ16" s="73"/>
      <c r="NR16" s="73"/>
      <c r="NS16" s="73"/>
      <c r="NT16" s="73"/>
      <c r="NU16" s="73"/>
      <c r="NV16" s="73"/>
      <c r="NW16" s="73"/>
      <c r="NX16" s="73"/>
      <c r="NY16" s="73"/>
      <c r="NZ16" s="73"/>
      <c r="OA16" s="73"/>
      <c r="OB16" s="73"/>
      <c r="OC16" s="73"/>
      <c r="OD16" s="73"/>
      <c r="OE16" s="73"/>
      <c r="OF16" s="73"/>
      <c r="OG16" s="73"/>
      <c r="OH16" s="73"/>
      <c r="OI16" s="73"/>
      <c r="OJ16" s="73"/>
      <c r="OK16" s="73"/>
      <c r="OL16" s="73"/>
      <c r="OM16" s="73"/>
      <c r="ON16" s="73"/>
      <c r="OO16" s="73"/>
      <c r="OP16" s="73"/>
      <c r="OQ16" s="73"/>
      <c r="OR16" s="73"/>
      <c r="OS16" s="73"/>
      <c r="OT16" s="73"/>
      <c r="OU16" s="73"/>
      <c r="OV16" s="73"/>
      <c r="OW16" s="73"/>
      <c r="OX16" s="73"/>
      <c r="OY16" s="73"/>
      <c r="OZ16" s="73"/>
      <c r="PA16" s="73"/>
      <c r="PB16" s="73"/>
      <c r="PC16" s="73"/>
      <c r="PD16" s="73"/>
      <c r="PE16" s="73"/>
      <c r="PF16" s="73"/>
      <c r="PG16" s="73"/>
      <c r="PH16" s="73"/>
      <c r="PI16" s="73"/>
      <c r="PJ16" s="73"/>
      <c r="PK16" s="73"/>
      <c r="PL16" s="73"/>
      <c r="PM16" s="73"/>
      <c r="PN16" s="73"/>
      <c r="PO16" s="73"/>
      <c r="PP16" s="73"/>
      <c r="PQ16" s="73"/>
      <c r="PR16" s="73"/>
      <c r="PS16" s="73"/>
      <c r="PT16" s="73"/>
      <c r="PU16" s="73"/>
      <c r="PV16" s="73"/>
      <c r="PW16" s="73"/>
      <c r="PX16" s="73"/>
      <c r="PY16" s="73"/>
      <c r="PZ16" s="73"/>
      <c r="QA16" s="73"/>
      <c r="QB16" s="73"/>
      <c r="QC16" s="73"/>
      <c r="QD16" s="73"/>
      <c r="QE16" s="73"/>
      <c r="QF16" s="73"/>
      <c r="QG16" s="73"/>
      <c r="QH16" s="73"/>
      <c r="QI16" s="73"/>
      <c r="QJ16" s="73"/>
      <c r="QK16" s="73"/>
      <c r="QL16" s="73"/>
      <c r="QM16" s="73"/>
      <c r="QN16" s="73"/>
      <c r="QO16" s="73"/>
      <c r="QP16" s="73"/>
      <c r="QQ16" s="73"/>
      <c r="QR16" s="73"/>
      <c r="QS16" s="73"/>
      <c r="QT16" s="73"/>
      <c r="QU16" s="73"/>
      <c r="QV16" s="73"/>
      <c r="QW16" s="73"/>
      <c r="QX16" s="73"/>
      <c r="QY16" s="73"/>
      <c r="QZ16" s="73"/>
      <c r="RA16" s="73"/>
      <c r="RB16" s="73"/>
      <c r="RC16" s="73"/>
      <c r="RD16" s="73"/>
      <c r="RE16" s="73"/>
      <c r="RF16" s="73"/>
      <c r="RG16" s="73"/>
      <c r="RH16" s="73"/>
      <c r="RI16" s="73"/>
      <c r="RJ16" s="73"/>
      <c r="RK16" s="73"/>
      <c r="RL16" s="73"/>
      <c r="RM16" s="73"/>
      <c r="RN16" s="73"/>
      <c r="RO16" s="73"/>
      <c r="RP16" s="73"/>
      <c r="RQ16" s="73"/>
      <c r="RR16" s="73"/>
      <c r="RS16" s="73"/>
      <c r="RT16" s="73"/>
      <c r="RU16" s="73"/>
      <c r="RV16" s="73"/>
      <c r="RW16" s="73"/>
      <c r="RX16" s="73"/>
      <c r="RY16" s="73"/>
      <c r="RZ16" s="73"/>
      <c r="SA16" s="73"/>
      <c r="SB16" s="73"/>
      <c r="SC16" s="73"/>
      <c r="SD16" s="73"/>
      <c r="SE16" s="73"/>
      <c r="SF16" s="73"/>
      <c r="SG16" s="73"/>
      <c r="SH16" s="73"/>
      <c r="SI16" s="73"/>
      <c r="SJ16" s="73"/>
      <c r="SK16" s="73"/>
      <c r="SL16" s="73"/>
      <c r="SM16" s="73"/>
      <c r="SN16" s="73"/>
      <c r="SO16" s="73"/>
      <c r="SP16" s="73"/>
      <c r="SQ16" s="73"/>
      <c r="SR16" s="73"/>
      <c r="SS16" s="73"/>
      <c r="ST16" s="73"/>
      <c r="SU16" s="73"/>
      <c r="SV16" s="73"/>
      <c r="SW16" s="73"/>
      <c r="SX16" s="73"/>
      <c r="SY16" s="73"/>
      <c r="SZ16" s="73"/>
      <c r="TA16" s="73"/>
      <c r="TB16" s="73"/>
      <c r="TC16" s="73"/>
      <c r="TD16" s="73"/>
      <c r="TE16" s="73"/>
      <c r="TF16" s="73"/>
      <c r="TG16" s="73"/>
      <c r="TH16" s="73"/>
      <c r="TI16" s="73"/>
      <c r="TJ16" s="73"/>
      <c r="TK16" s="73"/>
      <c r="TL16" s="73"/>
      <c r="TM16" s="73"/>
      <c r="TN16" s="73"/>
      <c r="TO16" s="73"/>
      <c r="TP16" s="73"/>
      <c r="TQ16" s="73"/>
      <c r="TR16" s="73"/>
      <c r="TS16" s="73"/>
      <c r="TT16" s="73"/>
      <c r="TU16" s="73"/>
      <c r="TV16" s="73"/>
      <c r="TW16" s="73"/>
      <c r="TX16" s="73"/>
    </row>
    <row r="17" spans="1:16" ht="20" customHeight="1">
      <c r="A17" s="78">
        <v>15</v>
      </c>
      <c r="B17" s="79">
        <v>0.63458733529012623</v>
      </c>
      <c r="C17" s="79">
        <v>1.2247260931446029</v>
      </c>
      <c r="D17" s="79">
        <v>9.5852898419085726</v>
      </c>
      <c r="E17" s="79">
        <v>2.498871335180427E-3</v>
      </c>
      <c r="F17" s="79">
        <v>6.4186780503578825E-3</v>
      </c>
      <c r="G17" s="79">
        <v>6.9980894483990169E-2</v>
      </c>
      <c r="H17" s="79">
        <v>287848.81528760126</v>
      </c>
      <c r="I17" s="79">
        <v>793622.50835770275</v>
      </c>
      <c r="J17" s="79">
        <v>8074648.1628237832</v>
      </c>
      <c r="K17" s="79">
        <v>187955725.79462442</v>
      </c>
      <c r="L17" s="79">
        <v>185539670.44073018</v>
      </c>
      <c r="M17" s="79">
        <v>156294961.6374577</v>
      </c>
      <c r="N17" s="348">
        <v>98.523813216505005</v>
      </c>
      <c r="O17" s="349">
        <v>97.257350141749242</v>
      </c>
      <c r="P17" s="349">
        <v>81.927674945511598</v>
      </c>
    </row>
    <row r="18" spans="1:16" ht="20" customHeight="1">
      <c r="A18" s="78">
        <v>16</v>
      </c>
      <c r="B18" s="79">
        <v>0.69664468306099792</v>
      </c>
      <c r="C18" s="79">
        <v>1.4751717986725104</v>
      </c>
      <c r="D18" s="79">
        <v>10.741085664614682</v>
      </c>
      <c r="E18" s="79">
        <v>2.7144502430880716E-3</v>
      </c>
      <c r="F18" s="79">
        <v>7.6537758773118705E-3</v>
      </c>
      <c r="G18" s="79">
        <v>8.0485847261132615E-2</v>
      </c>
      <c r="H18" s="79">
        <v>315998.02823646861</v>
      </c>
      <c r="I18" s="79">
        <v>955911.32553978683</v>
      </c>
      <c r="J18" s="79">
        <v>9048290.5638714079</v>
      </c>
      <c r="K18" s="79">
        <v>187653802.37286237</v>
      </c>
      <c r="L18" s="79">
        <v>184664903.52378145</v>
      </c>
      <c r="M18" s="79">
        <v>147733492.27411008</v>
      </c>
      <c r="N18" s="348">
        <v>98.365549100391434</v>
      </c>
      <c r="O18" s="349">
        <v>96.798809323324747</v>
      </c>
      <c r="P18" s="349">
        <v>77.439870145486637</v>
      </c>
    </row>
    <row r="19" spans="1:16" ht="20" customHeight="1">
      <c r="A19" s="78">
        <v>17</v>
      </c>
      <c r="B19" s="79">
        <v>0.7721692223230372</v>
      </c>
      <c r="C19" s="79">
        <v>1.7783392142554673</v>
      </c>
      <c r="D19" s="79">
        <v>11.636628267307177</v>
      </c>
      <c r="E19" s="79">
        <v>2.9732359214257017E-3</v>
      </c>
      <c r="F19" s="79">
        <v>9.1717102101328742E-3</v>
      </c>
      <c r="G19" s="79">
        <v>8.9474281994197283E-2</v>
      </c>
      <c r="H19" s="79">
        <v>350255.95924572961</v>
      </c>
      <c r="I19" s="79">
        <v>1152363.8108375429</v>
      </c>
      <c r="J19" s="79">
        <v>9802695.6523795687</v>
      </c>
      <c r="K19" s="79">
        <v>187320675.37912127</v>
      </c>
      <c r="L19" s="79">
        <v>183610765.95559278</v>
      </c>
      <c r="M19" s="79">
        <v>138307999.1659846</v>
      </c>
      <c r="N19" s="348">
        <v>98.190928499875184</v>
      </c>
      <c r="O19" s="349">
        <v>96.246244870001291</v>
      </c>
      <c r="P19" s="349">
        <v>72.499155950521839</v>
      </c>
    </row>
    <row r="20" spans="1:16" ht="20" customHeight="1">
      <c r="A20" s="78">
        <v>18</v>
      </c>
      <c r="B20" s="79">
        <v>0.86349459540432649</v>
      </c>
      <c r="C20" s="79">
        <v>2.1367010519537035</v>
      </c>
      <c r="D20" s="79">
        <v>12.233290630185532</v>
      </c>
      <c r="E20" s="79">
        <v>3.2841761077488547E-3</v>
      </c>
      <c r="F20" s="79">
        <v>1.0998995383090779E-2</v>
      </c>
      <c r="G20" s="79">
        <v>9.6458561637796758E-2</v>
      </c>
      <c r="H20" s="79">
        <v>391681.1484754025</v>
      </c>
      <c r="I20" s="79">
        <v>1384582.2816660001</v>
      </c>
      <c r="J20" s="79">
        <v>10305324.026868293</v>
      </c>
      <c r="K20" s="79">
        <v>186949706.8252607</v>
      </c>
      <c r="L20" s="79">
        <v>182342292.90934101</v>
      </c>
      <c r="M20" s="79">
        <v>128253989.32636067</v>
      </c>
      <c r="N20" s="348">
        <v>97.996471872628348</v>
      </c>
      <c r="O20" s="349">
        <v>95.581328699181157</v>
      </c>
      <c r="P20" s="349">
        <v>67.228981906458003</v>
      </c>
    </row>
    <row r="21" spans="1:16" ht="20" customHeight="1">
      <c r="A21" s="78">
        <v>19</v>
      </c>
      <c r="B21" s="79">
        <v>0.97304849032482954</v>
      </c>
      <c r="C21" s="79">
        <v>2.5499446823706746</v>
      </c>
      <c r="D21" s="79">
        <v>12.522490867780142</v>
      </c>
      <c r="E21" s="79">
        <v>3.6568017871388579E-3</v>
      </c>
      <c r="F21" s="79">
        <v>1.3150414083337924E-2</v>
      </c>
      <c r="G21" s="79">
        <v>0.10116798365553951</v>
      </c>
      <c r="H21" s="79">
        <v>441374.79521134263</v>
      </c>
      <c r="I21" s="79">
        <v>1652364.1541761972</v>
      </c>
      <c r="J21" s="79">
        <v>10548946.307017993</v>
      </c>
      <c r="K21" s="79">
        <v>186533178.85341734</v>
      </c>
      <c r="L21" s="79">
        <v>180823819.6914199</v>
      </c>
      <c r="M21" s="79">
        <v>117826854.15941752</v>
      </c>
      <c r="N21" s="348">
        <v>97.778133623427109</v>
      </c>
      <c r="O21" s="349">
        <v>94.785365867699255</v>
      </c>
      <c r="P21" s="349">
        <v>61.763220684085383</v>
      </c>
    </row>
    <row r="22" spans="1:16" ht="20" customHeight="1">
      <c r="A22" s="78">
        <v>20</v>
      </c>
      <c r="B22" s="79">
        <v>1.1032882772242338</v>
      </c>
      <c r="C22" s="79">
        <v>3.0146030612682733</v>
      </c>
      <c r="D22" s="79">
        <v>12.520365201456476</v>
      </c>
      <c r="E22" s="79">
        <v>4.1010762140120472E-3</v>
      </c>
      <c r="F22" s="79">
        <v>1.5625793367708345E-2</v>
      </c>
      <c r="G22" s="79">
        <v>0.10353878569981309</v>
      </c>
      <c r="H22" s="79">
        <v>500451.56254891242</v>
      </c>
      <c r="I22" s="79">
        <v>1953462.783701841</v>
      </c>
      <c r="J22" s="79">
        <v>10547155.645706939</v>
      </c>
      <c r="K22" s="79">
        <v>186062265.67453721</v>
      </c>
      <c r="L22" s="79">
        <v>179020906.22248089</v>
      </c>
      <c r="M22" s="79">
        <v>107278803.18305506</v>
      </c>
      <c r="N22" s="348">
        <v>97.531287394715392</v>
      </c>
      <c r="O22" s="349">
        <v>93.840303358385981</v>
      </c>
      <c r="P22" s="349">
        <v>56.234077053053575</v>
      </c>
    </row>
    <row r="23" spans="1:16" ht="20" customHeight="1">
      <c r="A23" s="78">
        <v>21</v>
      </c>
      <c r="B23" s="79">
        <v>1.2565992807713793</v>
      </c>
      <c r="C23" s="79">
        <v>3.5240339316969829</v>
      </c>
      <c r="D23" s="79">
        <v>12.260689043396797</v>
      </c>
      <c r="E23" s="79">
        <v>4.6271339364980591E-3</v>
      </c>
      <c r="F23" s="79">
        <v>1.8408145092215729E-2</v>
      </c>
      <c r="G23" s="79">
        <v>0.10367973480417228</v>
      </c>
      <c r="H23" s="79">
        <v>569993.43375789758</v>
      </c>
      <c r="I23" s="79">
        <v>2283573.9877396449</v>
      </c>
      <c r="J23" s="79">
        <v>10328404.450157464</v>
      </c>
      <c r="K23" s="79">
        <v>185527043.17638379</v>
      </c>
      <c r="L23" s="79">
        <v>176902387.83676013</v>
      </c>
      <c r="M23" s="79">
        <v>96841023.135122865</v>
      </c>
      <c r="N23" s="348">
        <v>97.250731102990827</v>
      </c>
      <c r="O23" s="349">
        <v>92.729805080942953</v>
      </c>
      <c r="P23" s="349">
        <v>50.762735930085533</v>
      </c>
    </row>
    <row r="24" spans="1:16" ht="20" customHeight="1">
      <c r="A24" s="78">
        <v>22</v>
      </c>
      <c r="B24" s="79">
        <v>1.4351604736370875</v>
      </c>
      <c r="C24" s="79">
        <v>4.0687384864620064</v>
      </c>
      <c r="D24" s="79">
        <v>11.787708776524063</v>
      </c>
      <c r="E24" s="79">
        <v>5.2449009095964175E-3</v>
      </c>
      <c r="F24" s="79">
        <v>2.1463449614399995E-2</v>
      </c>
      <c r="G24" s="79">
        <v>0.10182614094202748</v>
      </c>
      <c r="H24" s="79">
        <v>650988.79084178293</v>
      </c>
      <c r="I24" s="79">
        <v>2636542.5392273804</v>
      </c>
      <c r="J24" s="79">
        <v>9929965.8733438719</v>
      </c>
      <c r="K24" s="79">
        <v>184916552.06408396</v>
      </c>
      <c r="L24" s="79">
        <v>174442329.57327664</v>
      </c>
      <c r="M24" s="79">
        <v>86711837.973372191</v>
      </c>
      <c r="N24" s="348">
        <v>96.930720036212875</v>
      </c>
      <c r="O24" s="349">
        <v>91.440276284581586</v>
      </c>
      <c r="P24" s="349">
        <v>45.453156013365273</v>
      </c>
    </row>
    <row r="25" spans="1:16" ht="20" customHeight="1">
      <c r="A25" s="78">
        <v>23</v>
      </c>
      <c r="B25" s="79">
        <v>1.6407899017897329</v>
      </c>
      <c r="C25" s="79">
        <v>4.6369534094827625</v>
      </c>
      <c r="D25" s="79">
        <v>11.149911082306446</v>
      </c>
      <c r="E25" s="79">
        <v>5.9636111245737564E-3</v>
      </c>
      <c r="F25" s="79">
        <v>2.4742056957898335E-2</v>
      </c>
      <c r="G25" s="79">
        <v>9.8292365862186884E-2</v>
      </c>
      <c r="H25" s="79">
        <v>744262.29945182276</v>
      </c>
      <c r="I25" s="79">
        <v>3004745.80934483</v>
      </c>
      <c r="J25" s="79">
        <v>9392685.0957349502</v>
      </c>
      <c r="K25" s="79">
        <v>184218926.51893717</v>
      </c>
      <c r="L25" s="79">
        <v>171621685.39899051</v>
      </c>
      <c r="M25" s="79">
        <v>77050512.488832772</v>
      </c>
      <c r="N25" s="348">
        <v>96.565034294985665</v>
      </c>
      <c r="O25" s="349">
        <v>89.961733300042539</v>
      </c>
      <c r="P25" s="349">
        <v>40.388821721667711</v>
      </c>
    </row>
    <row r="26" spans="1:16" ht="20" customHeight="1">
      <c r="A26" s="78">
        <v>24</v>
      </c>
      <c r="B26" s="79">
        <v>1.8747867712163466</v>
      </c>
      <c r="C26" s="79">
        <v>5.2154182473849504</v>
      </c>
      <c r="D26" s="79">
        <v>10.395206111176201</v>
      </c>
      <c r="E26" s="79">
        <v>6.7912564494685412E-3</v>
      </c>
      <c r="F26" s="79">
        <v>2.8181436038791082E-2</v>
      </c>
      <c r="G26" s="79">
        <v>9.3429390392777673E-2</v>
      </c>
      <c r="H26" s="79">
        <v>850403.27942373476</v>
      </c>
      <c r="I26" s="79">
        <v>3379591.0243054479</v>
      </c>
      <c r="J26" s="79">
        <v>8756921.628054833</v>
      </c>
      <c r="K26" s="79">
        <v>183421593.72949937</v>
      </c>
      <c r="L26" s="79">
        <v>168429516.9821654</v>
      </c>
      <c r="M26" s="79">
        <v>67975709.126937881</v>
      </c>
      <c r="N26" s="348">
        <v>96.147083384015261</v>
      </c>
      <c r="O26" s="349">
        <v>88.288442403873944</v>
      </c>
      <c r="P26" s="349">
        <v>35.631934281160618</v>
      </c>
    </row>
    <row r="27" spans="1:16" ht="20" customHeight="1">
      <c r="A27" s="78">
        <v>25</v>
      </c>
      <c r="B27" s="79">
        <v>2.1377882326850179</v>
      </c>
      <c r="C27" s="79">
        <v>5.7902127080286308</v>
      </c>
      <c r="D27" s="79">
        <v>9.5676082122031456</v>
      </c>
      <c r="E27" s="79">
        <v>7.7340202257864124E-3</v>
      </c>
      <c r="F27" s="79">
        <v>3.1709854821654448E-2</v>
      </c>
      <c r="G27" s="79">
        <v>8.759082277168477E-2</v>
      </c>
      <c r="H27" s="79">
        <v>969700.74234592402</v>
      </c>
      <c r="I27" s="79">
        <v>3752057.8348025531</v>
      </c>
      <c r="J27" s="79">
        <v>8059753.1579599306</v>
      </c>
      <c r="K27" s="79">
        <v>182511541.71861455</v>
      </c>
      <c r="L27" s="79">
        <v>164863692.55261138</v>
      </c>
      <c r="M27" s="79">
        <v>59567371.733930498</v>
      </c>
      <c r="N27" s="348">
        <v>95.670046603365705</v>
      </c>
      <c r="O27" s="349">
        <v>86.419286151384412</v>
      </c>
      <c r="P27" s="349">
        <v>31.224399159430867</v>
      </c>
    </row>
    <row r="28" spans="1:16" ht="20" customHeight="1">
      <c r="A28" s="78">
        <v>26</v>
      </c>
      <c r="B28" s="79">
        <v>2.4296568263870597</v>
      </c>
      <c r="C28" s="79">
        <v>6.3475696967316573</v>
      </c>
      <c r="D28" s="79">
        <v>8.705262748549794</v>
      </c>
      <c r="E28" s="79">
        <v>8.7957497484021322E-3</v>
      </c>
      <c r="F28" s="79">
        <v>3.5250524124427356E-2</v>
      </c>
      <c r="G28" s="79">
        <v>8.1108331561395464E-2</v>
      </c>
      <c r="H28" s="79">
        <v>1102092.3364491703</v>
      </c>
      <c r="I28" s="79">
        <v>4113225.1634821142</v>
      </c>
      <c r="J28" s="79">
        <v>7333313.3393783476</v>
      </c>
      <c r="K28" s="79">
        <v>181475645.17921701</v>
      </c>
      <c r="L28" s="79">
        <v>160931051.05346906</v>
      </c>
      <c r="M28" s="79">
        <v>51870838.485261351</v>
      </c>
      <c r="N28" s="348">
        <v>95.127043847116894</v>
      </c>
      <c r="O28" s="349">
        <v>84.357849422756402</v>
      </c>
      <c r="P28" s="349">
        <v>27.189982006132379</v>
      </c>
    </row>
    <row r="29" spans="1:16" ht="20" customHeight="1">
      <c r="A29" s="78">
        <v>27</v>
      </c>
      <c r="B29" s="79">
        <v>2.7494102205200512</v>
      </c>
      <c r="C29" s="79">
        <v>6.8745919584245208</v>
      </c>
      <c r="D29" s="79">
        <v>7.839556815047442</v>
      </c>
      <c r="E29" s="79">
        <v>9.977518535133411E-3</v>
      </c>
      <c r="F29" s="79">
        <v>3.8725766290156539E-2</v>
      </c>
      <c r="G29" s="79">
        <v>7.4275935774684693E-2</v>
      </c>
      <c r="H29" s="79">
        <v>1247132.4760278952</v>
      </c>
      <c r="I29" s="79">
        <v>4454735.5890590893</v>
      </c>
      <c r="J29" s="79">
        <v>6604042.6609959668</v>
      </c>
      <c r="K29" s="79">
        <v>180301032.77297848</v>
      </c>
      <c r="L29" s="79">
        <v>156647070.67719844</v>
      </c>
      <c r="M29" s="79">
        <v>44902160.485074192</v>
      </c>
      <c r="N29" s="348">
        <v>94.511328136277157</v>
      </c>
      <c r="O29" s="349">
        <v>82.11224567415843</v>
      </c>
      <c r="P29" s="349">
        <v>23.537096589879507</v>
      </c>
    </row>
    <row r="30" spans="1:16" ht="20" customHeight="1">
      <c r="A30" s="78">
        <v>28</v>
      </c>
      <c r="B30" s="79">
        <v>3.095199442192011</v>
      </c>
      <c r="C30" s="79">
        <v>7.3598261118709312</v>
      </c>
      <c r="D30" s="79">
        <v>6.9950253236051818</v>
      </c>
      <c r="E30" s="79">
        <v>1.1277318337766958E-2</v>
      </c>
      <c r="F30" s="79">
        <v>4.2060849738769959E-2</v>
      </c>
      <c r="G30" s="79">
        <v>6.7341753050146544E-2</v>
      </c>
      <c r="H30" s="79">
        <v>1403982.4669782959</v>
      </c>
      <c r="I30" s="79">
        <v>4769167.3204923635</v>
      </c>
      <c r="J30" s="79">
        <v>5892609.3326050062</v>
      </c>
      <c r="K30" s="79">
        <v>178975475.30147538</v>
      </c>
      <c r="L30" s="79">
        <v>152035119.22242272</v>
      </c>
      <c r="M30" s="79">
        <v>38653834.48827371</v>
      </c>
      <c r="N30" s="348">
        <v>93.816489092784451</v>
      </c>
      <c r="O30" s="349">
        <v>79.694723985085702</v>
      </c>
      <c r="P30" s="349">
        <v>20.261809812517548</v>
      </c>
    </row>
    <row r="31" spans="1:16" ht="20" customHeight="1">
      <c r="A31" s="78">
        <v>29</v>
      </c>
      <c r="B31" s="79">
        <v>3.4643363127015947</v>
      </c>
      <c r="C31" s="79">
        <v>7.7936725355542933</v>
      </c>
      <c r="D31" s="79">
        <v>6.1897868340684745</v>
      </c>
      <c r="E31" s="79">
        <v>1.26899059621902E-2</v>
      </c>
      <c r="F31" s="79">
        <v>4.5187234604358653E-2</v>
      </c>
      <c r="G31" s="79">
        <v>6.0505499408149699E-2</v>
      </c>
      <c r="H31" s="79">
        <v>1571422.9514414433</v>
      </c>
      <c r="I31" s="79">
        <v>5050299.8030391829</v>
      </c>
      <c r="J31" s="79">
        <v>5214276.4290192835</v>
      </c>
      <c r="K31" s="79">
        <v>177487772.59226552</v>
      </c>
      <c r="L31" s="79">
        <v>147125385.66065693</v>
      </c>
      <c r="M31" s="79">
        <v>33100391.607461572</v>
      </c>
      <c r="N31" s="348">
        <v>93.036655739880686</v>
      </c>
      <c r="O31" s="349">
        <v>77.121109000295206</v>
      </c>
      <c r="P31" s="349">
        <v>17.35077123263666</v>
      </c>
    </row>
    <row r="32" spans="1:16" ht="20" customHeight="1">
      <c r="A32" s="78">
        <v>30</v>
      </c>
      <c r="B32" s="79">
        <v>3.8533660536347547</v>
      </c>
      <c r="C32" s="79">
        <v>8.1686299692067443</v>
      </c>
      <c r="D32" s="79">
        <v>5.4362897303412403</v>
      </c>
      <c r="E32" s="79">
        <v>1.420681394864854E-2</v>
      </c>
      <c r="F32" s="79">
        <v>4.8045081707164393E-2</v>
      </c>
      <c r="G32" s="79">
        <v>5.3920062622327944E-2</v>
      </c>
      <c r="H32" s="79">
        <v>1747886.8419287244</v>
      </c>
      <c r="I32" s="79">
        <v>5293272.2200459708</v>
      </c>
      <c r="J32" s="79">
        <v>4579530.468839461</v>
      </c>
      <c r="K32" s="79">
        <v>175828117.69558042</v>
      </c>
      <c r="L32" s="79">
        <v>141953599.64911437</v>
      </c>
      <c r="M32" s="79">
        <v>28203488.158532202</v>
      </c>
      <c r="N32" s="348">
        <v>92.166687409022117</v>
      </c>
      <c r="O32" s="349">
        <v>74.410129715983757</v>
      </c>
      <c r="P32" s="349">
        <v>14.783881617000516</v>
      </c>
    </row>
    <row r="33" spans="1:16" ht="20" customHeight="1">
      <c r="A33" s="78">
        <v>31</v>
      </c>
      <c r="B33" s="79">
        <v>4.2581774913013328</v>
      </c>
      <c r="C33" s="79">
        <v>8.4793885685913288</v>
      </c>
      <c r="D33" s="79">
        <v>4.7422019664331758</v>
      </c>
      <c r="E33" s="79">
        <v>1.5816519309246237E-2</v>
      </c>
      <c r="F33" s="79">
        <v>5.0584972498459849E-2</v>
      </c>
      <c r="G33" s="79">
        <v>4.7695683931545503E-2</v>
      </c>
      <c r="H33" s="79">
        <v>1931509.3100542843</v>
      </c>
      <c r="I33" s="79">
        <v>5494643.7924471814</v>
      </c>
      <c r="J33" s="79">
        <v>3994830.9365233076</v>
      </c>
      <c r="K33" s="79">
        <v>173988419.61958891</v>
      </c>
      <c r="L33" s="79">
        <v>136559641.6428678</v>
      </c>
      <c r="M33" s="79">
        <v>23916307.45585081</v>
      </c>
      <c r="N33" s="348">
        <v>91.202342913277406</v>
      </c>
      <c r="O33" s="349">
        <v>71.5826909196483</v>
      </c>
      <c r="P33" s="349">
        <v>12.536600301197861</v>
      </c>
    </row>
    <row r="34" spans="1:16" ht="20" customHeight="1">
      <c r="A34" s="78">
        <v>32</v>
      </c>
      <c r="B34" s="79">
        <v>4.6741411203078949</v>
      </c>
      <c r="C34" s="79">
        <v>8.7227944833249822</v>
      </c>
      <c r="D34" s="79">
        <v>4.1113269628591844</v>
      </c>
      <c r="E34" s="79">
        <v>1.7504752390815771E-2</v>
      </c>
      <c r="F34" s="79">
        <v>5.2768863513172566E-2</v>
      </c>
      <c r="G34" s="79">
        <v>4.1905572138660974E-2</v>
      </c>
      <c r="H34" s="79">
        <v>2120190.4121716609</v>
      </c>
      <c r="I34" s="79">
        <v>5652370.8251945889</v>
      </c>
      <c r="J34" s="79">
        <v>3463381.8335125777</v>
      </c>
      <c r="K34" s="79">
        <v>171962569.75847596</v>
      </c>
      <c r="L34" s="79">
        <v>130986134.33404692</v>
      </c>
      <c r="M34" s="79">
        <v>20187201.070832878</v>
      </c>
      <c r="N34" s="348">
        <v>90.140420205271852</v>
      </c>
      <c r="O34" s="349">
        <v>68.661134841835008</v>
      </c>
      <c r="P34" s="349">
        <v>10.581853887441678</v>
      </c>
    </row>
    <row r="35" spans="1:16" ht="20" customHeight="1">
      <c r="A35" s="78">
        <v>33</v>
      </c>
      <c r="B35" s="79">
        <v>5.0962644276881921</v>
      </c>
      <c r="C35" s="79">
        <v>8.8977135512605425</v>
      </c>
      <c r="D35" s="79">
        <v>3.5444697360543094</v>
      </c>
      <c r="E35" s="79">
        <v>1.9254919334115321E-2</v>
      </c>
      <c r="F35" s="79">
        <v>5.457035271150254E-2</v>
      </c>
      <c r="G35" s="79">
        <v>3.6592071847139682E-2</v>
      </c>
      <c r="H35" s="79">
        <v>2311665.5443993635</v>
      </c>
      <c r="I35" s="79">
        <v>5765718.3812168324</v>
      </c>
      <c r="J35" s="79">
        <v>2985861.3056521504</v>
      </c>
      <c r="K35" s="79">
        <v>169746641.78019044</v>
      </c>
      <c r="L35" s="79">
        <v>125277089.7308412</v>
      </c>
      <c r="M35" s="79">
        <v>16962579.501250505</v>
      </c>
      <c r="N35" s="348">
        <v>88.978861155602957</v>
      </c>
      <c r="O35" s="349">
        <v>65.668531973510881</v>
      </c>
      <c r="P35" s="349">
        <v>8.8915514937673628</v>
      </c>
    </row>
    <row r="36" spans="1:16" ht="20" customHeight="1">
      <c r="A36" s="78">
        <v>34</v>
      </c>
      <c r="B36" s="79">
        <v>5.519354115442054</v>
      </c>
      <c r="C36" s="79">
        <v>9.0048224876582115</v>
      </c>
      <c r="D36" s="79">
        <v>3.0402096221798023</v>
      </c>
      <c r="E36" s="79">
        <v>2.1048606697515779E-2</v>
      </c>
      <c r="F36" s="79">
        <v>5.5974367937810042E-2</v>
      </c>
      <c r="G36" s="79">
        <v>3.1772775701209802E-2</v>
      </c>
      <c r="H36" s="79">
        <v>2503579.0267645153</v>
      </c>
      <c r="I36" s="79">
        <v>5835124.9720025212</v>
      </c>
      <c r="J36" s="79">
        <v>2561072.5857242662</v>
      </c>
      <c r="K36" s="79">
        <v>167339019.49460849</v>
      </c>
      <c r="L36" s="79">
        <v>119476668.05423152</v>
      </c>
      <c r="M36" s="79">
        <v>14189112.555562288</v>
      </c>
      <c r="N36" s="348">
        <v>87.716818579577577</v>
      </c>
      <c r="O36" s="349">
        <v>62.628030496755102</v>
      </c>
      <c r="P36" s="349">
        <v>7.4377381653151371</v>
      </c>
    </row>
    <row r="37" spans="1:16" ht="20" customHeight="1">
      <c r="A37" s="78">
        <v>35</v>
      </c>
      <c r="B37" s="79">
        <v>5.9381759097963238</v>
      </c>
      <c r="C37" s="79">
        <v>9.0463541173571187</v>
      </c>
      <c r="D37" s="79">
        <v>2.5955594508237319</v>
      </c>
      <c r="E37" s="79">
        <v>2.2866135296181707E-2</v>
      </c>
      <c r="F37" s="79">
        <v>5.6976402706040152E-2</v>
      </c>
      <c r="G37" s="79">
        <v>2.7446192042221946E-2</v>
      </c>
      <c r="H37" s="79">
        <v>2693556.5926836124</v>
      </c>
      <c r="I37" s="79">
        <v>5862037.468047414</v>
      </c>
      <c r="J37" s="79">
        <v>2186499.2813739125</v>
      </c>
      <c r="K37" s="79">
        <v>164740451.68488443</v>
      </c>
      <c r="L37" s="79">
        <v>113628086.83420655</v>
      </c>
      <c r="M37" s="79">
        <v>11815326.622013211</v>
      </c>
      <c r="N37" s="348">
        <v>86.354684979053872</v>
      </c>
      <c r="O37" s="349">
        <v>59.562284447959925</v>
      </c>
      <c r="P37" s="349">
        <v>6.1934321408819892</v>
      </c>
    </row>
    <row r="38" spans="1:16" ht="20" customHeight="1">
      <c r="A38" s="78">
        <v>36</v>
      </c>
      <c r="B38" s="79">
        <v>6.347604217171825</v>
      </c>
      <c r="C38" s="79">
        <v>9.0258197652824599</v>
      </c>
      <c r="D38" s="79">
        <v>2.206507030602805</v>
      </c>
      <c r="E38" s="79">
        <v>2.4687131578718241E-2</v>
      </c>
      <c r="F38" s="79">
        <v>5.7581425659215077E-2</v>
      </c>
      <c r="G38" s="79">
        <v>2.3596750617571063E-2</v>
      </c>
      <c r="H38" s="79">
        <v>2879273.2729091397</v>
      </c>
      <c r="I38" s="79">
        <v>5848731.2079030341</v>
      </c>
      <c r="J38" s="79">
        <v>1858761.5225798031</v>
      </c>
      <c r="K38" s="79">
        <v>161954036.75208807</v>
      </c>
      <c r="L38" s="79">
        <v>107772702.49623133</v>
      </c>
      <c r="M38" s="79">
        <v>9792696.2200363576</v>
      </c>
      <c r="N38" s="348">
        <v>84.894084493370983</v>
      </c>
      <c r="O38" s="349">
        <v>56.492972298055641</v>
      </c>
      <c r="P38" s="349">
        <v>5.1331970291933011</v>
      </c>
    </row>
    <row r="39" spans="1:16" ht="20" customHeight="1">
      <c r="A39" s="78">
        <v>37</v>
      </c>
      <c r="B39" s="79">
        <v>6.7427557151131667</v>
      </c>
      <c r="C39" s="79">
        <v>8.9477277048975807</v>
      </c>
      <c r="D39" s="79">
        <v>1.8684448958210316</v>
      </c>
      <c r="E39" s="79">
        <v>2.6491088195530466E-2</v>
      </c>
      <c r="F39" s="79">
        <v>5.7802581438326117E-2</v>
      </c>
      <c r="G39" s="79">
        <v>2.0199053555684805E-2</v>
      </c>
      <c r="H39" s="79">
        <v>3058513.9923753319</v>
      </c>
      <c r="I39" s="79">
        <v>5798127.552773633</v>
      </c>
      <c r="J39" s="79">
        <v>1573977.9802396372</v>
      </c>
      <c r="K39" s="79">
        <v>158985143.11944583</v>
      </c>
      <c r="L39" s="79">
        <v>101949273.11589301</v>
      </c>
      <c r="M39" s="79">
        <v>8076326.4686266482</v>
      </c>
      <c r="N39" s="348">
        <v>83.337831176343911</v>
      </c>
      <c r="O39" s="349">
        <v>53.440410498608884</v>
      </c>
      <c r="P39" s="349">
        <v>4.2334995494627536</v>
      </c>
    </row>
    <row r="40" spans="1:16" ht="20" customHeight="1">
      <c r="A40" s="78">
        <v>38</v>
      </c>
      <c r="B40" s="79">
        <v>7.1191028362771513</v>
      </c>
      <c r="C40" s="79">
        <v>8.8173121736672524</v>
      </c>
      <c r="D40" s="79">
        <v>1.5764999447800903</v>
      </c>
      <c r="E40" s="79">
        <v>2.8257890072146685E-2</v>
      </c>
      <c r="F40" s="79">
        <v>5.7659786001665277E-2</v>
      </c>
      <c r="G40" s="79">
        <v>1.7221363917526468E-2</v>
      </c>
      <c r="H40" s="79">
        <v>3229225.0465353155</v>
      </c>
      <c r="I40" s="79">
        <v>5713618.28853638</v>
      </c>
      <c r="J40" s="79">
        <v>1328043.5534827483</v>
      </c>
      <c r="K40" s="79">
        <v>155841273.59999049</v>
      </c>
      <c r="L40" s="79">
        <v>96193400.195237994</v>
      </c>
      <c r="M40" s="79">
        <v>6625315.7017654479</v>
      </c>
      <c r="N40" s="348">
        <v>81.6898578996461</v>
      </c>
      <c r="O40" s="349">
        <v>50.4232608686359</v>
      </c>
      <c r="P40" s="349">
        <v>3.4728996094237936</v>
      </c>
    </row>
    <row r="41" spans="1:16" ht="20" customHeight="1">
      <c r="A41" s="78">
        <v>39</v>
      </c>
      <c r="B41" s="79">
        <v>7.4725648569644632</v>
      </c>
      <c r="C41" s="79">
        <v>8.6402833104079075</v>
      </c>
      <c r="D41" s="79">
        <v>1.3257771803799312</v>
      </c>
      <c r="E41" s="79">
        <v>2.9968287625025403E-2</v>
      </c>
      <c r="F41" s="79">
        <v>5.7178301663991488E-2</v>
      </c>
      <c r="G41" s="79">
        <v>1.462837793992736E-2</v>
      </c>
      <c r="H41" s="79">
        <v>3389555.4191190805</v>
      </c>
      <c r="I41" s="79">
        <v>5598903.5851443242</v>
      </c>
      <c r="J41" s="79">
        <v>1116834.6967520542</v>
      </c>
      <c r="K41" s="79">
        <v>152531883.3671633</v>
      </c>
      <c r="L41" s="79">
        <v>90537139.258397639</v>
      </c>
      <c r="M41" s="79">
        <v>5402876.5766480565</v>
      </c>
      <c r="N41" s="348">
        <v>79.955120935496026</v>
      </c>
      <c r="O41" s="349">
        <v>47.458326474171116</v>
      </c>
      <c r="P41" s="349">
        <v>2.8321137886012058</v>
      </c>
    </row>
    <row r="42" spans="1:16" ht="20" customHeight="1">
      <c r="A42" s="78">
        <v>40</v>
      </c>
      <c r="B42" s="79">
        <v>7.7995758356387608</v>
      </c>
      <c r="C42" s="79">
        <v>8.4226046982633012</v>
      </c>
      <c r="D42" s="79">
        <v>1.1115322862880617</v>
      </c>
      <c r="E42" s="79">
        <v>3.1604304203337839E-2</v>
      </c>
      <c r="F42" s="79">
        <v>5.638735855213188E-2</v>
      </c>
      <c r="G42" s="79">
        <v>1.2383357410443432E-2</v>
      </c>
      <c r="H42" s="79">
        <v>3537887.5990457414</v>
      </c>
      <c r="I42" s="79">
        <v>5457847.8444746202</v>
      </c>
      <c r="J42" s="79">
        <v>936354.79796906328</v>
      </c>
      <c r="K42" s="79">
        <v>149068161.85808089</v>
      </c>
      <c r="L42" s="79">
        <v>85008763.543588161</v>
      </c>
      <c r="M42" s="79">
        <v>4376281.8292874992</v>
      </c>
      <c r="N42" s="348">
        <v>78.139485633341337</v>
      </c>
      <c r="O42" s="349">
        <v>44.560427758854999</v>
      </c>
      <c r="P42" s="349">
        <v>2.2939869041427094</v>
      </c>
    </row>
    <row r="43" spans="1:16" ht="20" customHeight="1">
      <c r="A43" s="78">
        <v>41</v>
      </c>
      <c r="B43" s="79">
        <v>8.0971299059675399</v>
      </c>
      <c r="C43" s="79">
        <v>8.1703021289570383</v>
      </c>
      <c r="D43" s="79">
        <v>0.92928702690549481</v>
      </c>
      <c r="E43" s="79">
        <v>3.3149569998760509E-2</v>
      </c>
      <c r="F43" s="79">
        <v>5.531887138995939E-2</v>
      </c>
      <c r="G43" s="79">
        <v>1.0449712211781972E-2</v>
      </c>
      <c r="H43" s="79">
        <v>3672858.1253468762</v>
      </c>
      <c r="I43" s="79">
        <v>5294355.7795641609</v>
      </c>
      <c r="J43" s="79">
        <v>782831.39146518894</v>
      </c>
      <c r="K43" s="79">
        <v>145462788.99588457</v>
      </c>
      <c r="L43" s="79">
        <v>79632661.731568769</v>
      </c>
      <c r="M43" s="79">
        <v>3516688.734570384</v>
      </c>
      <c r="N43" s="348">
        <v>76.249598634958417</v>
      </c>
      <c r="O43" s="349">
        <v>41.742348934594666</v>
      </c>
      <c r="P43" s="349">
        <v>1.8433999951881712</v>
      </c>
    </row>
    <row r="44" spans="1:16" ht="20" customHeight="1">
      <c r="A44" s="78">
        <v>42</v>
      </c>
      <c r="B44" s="79">
        <v>8.362805395302459</v>
      </c>
      <c r="C44" s="79">
        <v>7.8893047683856006</v>
      </c>
      <c r="D44" s="79">
        <v>0.77490001519816043</v>
      </c>
      <c r="E44" s="79">
        <v>3.4589579258556949E-2</v>
      </c>
      <c r="F44" s="79">
        <v>5.4006284534918431E-2</v>
      </c>
      <c r="G44" s="79">
        <v>8.7921254100537336E-3</v>
      </c>
      <c r="H44" s="79">
        <v>3793368.5273091956</v>
      </c>
      <c r="I44" s="79">
        <v>5112269.4899138687</v>
      </c>
      <c r="J44" s="79">
        <v>652775.77280293044</v>
      </c>
      <c r="K44" s="79">
        <v>141729675.66955653</v>
      </c>
      <c r="L44" s="79">
        <v>74429349.096829757</v>
      </c>
      <c r="M44" s="79">
        <v>2798885.152436316</v>
      </c>
      <c r="N44" s="348">
        <v>74.292751837531881</v>
      </c>
      <c r="O44" s="349">
        <v>39.014843826863768</v>
      </c>
      <c r="P44" s="349">
        <v>1.467137203760416</v>
      </c>
    </row>
    <row r="45" spans="1:16" ht="20" customHeight="1">
      <c r="A45" s="78">
        <v>43</v>
      </c>
      <c r="B45" s="79">
        <v>8.5947699226542209</v>
      </c>
      <c r="C45" s="79">
        <v>7.5853180703574585</v>
      </c>
      <c r="D45" s="79">
        <v>0.64460363901008355</v>
      </c>
      <c r="E45" s="79">
        <v>3.5911871503295945E-2</v>
      </c>
      <c r="F45" s="79">
        <v>5.2483564527910039E-2</v>
      </c>
      <c r="G45" s="79">
        <v>7.3773085299987835E-3</v>
      </c>
      <c r="H45" s="79">
        <v>3898587.6369159543</v>
      </c>
      <c r="I45" s="79">
        <v>4915286.109591634</v>
      </c>
      <c r="J45" s="79">
        <v>543014.10550209449</v>
      </c>
      <c r="K45" s="79">
        <v>137883697.58744395</v>
      </c>
      <c r="L45" s="79">
        <v>69415571.297077</v>
      </c>
      <c r="M45" s="79">
        <v>2200990.213283807</v>
      </c>
      <c r="N45" s="348">
        <v>72.276742883322783</v>
      </c>
      <c r="O45" s="349">
        <v>36.386690279726508</v>
      </c>
      <c r="P45" s="349">
        <v>1.1537288781607913</v>
      </c>
    </row>
    <row r="46" spans="1:16" ht="20" customHeight="1">
      <c r="A46" s="78">
        <v>44</v>
      </c>
      <c r="B46" s="79">
        <v>8.7917690575023464</v>
      </c>
      <c r="C46" s="79">
        <v>7.2637264890993176</v>
      </c>
      <c r="D46" s="79">
        <v>0.53501612663932041</v>
      </c>
      <c r="E46" s="79">
        <v>3.7106140522324312E-2</v>
      </c>
      <c r="F46" s="79">
        <v>5.0784348279240756E-2</v>
      </c>
      <c r="G46" s="79">
        <v>6.1744659369932725E-3</v>
      </c>
      <c r="H46" s="79">
        <v>3987946.4444830636</v>
      </c>
      <c r="I46" s="79">
        <v>4706894.7649363577</v>
      </c>
      <c r="J46" s="79">
        <v>450697.58508096356</v>
      </c>
      <c r="K46" s="79">
        <v>133940430.54674445</v>
      </c>
      <c r="L46" s="79">
        <v>64604480.859813005</v>
      </c>
      <c r="M46" s="79">
        <v>1704134.3679922819</v>
      </c>
      <c r="N46" s="348">
        <v>70.209736391564249</v>
      </c>
      <c r="O46" s="349">
        <v>33.86478266768254</v>
      </c>
      <c r="P46" s="349">
        <v>0.89328385957955381</v>
      </c>
    </row>
    <row r="47" spans="1:16" ht="20" customHeight="1">
      <c r="A47" s="78">
        <v>45</v>
      </c>
      <c r="B47" s="79">
        <v>8.9531013297256585</v>
      </c>
      <c r="C47" s="79">
        <v>6.9295231998575462</v>
      </c>
      <c r="D47" s="79">
        <v>0.44313601892880689</v>
      </c>
      <c r="E47" s="79">
        <v>3.8164277202327929E-2</v>
      </c>
      <c r="F47" s="79">
        <v>4.8941246345786366E-2</v>
      </c>
      <c r="G47" s="79">
        <v>5.1555366831667979E-3</v>
      </c>
      <c r="H47" s="79">
        <v>4061126.7631635587</v>
      </c>
      <c r="I47" s="79">
        <v>4490331.0335076908</v>
      </c>
      <c r="J47" s="79">
        <v>373297.78234562703</v>
      </c>
      <c r="K47" s="79">
        <v>129915893.94292113</v>
      </c>
      <c r="L47" s="79">
        <v>60005867.960590988</v>
      </c>
      <c r="M47" s="79">
        <v>1292136.6842789948</v>
      </c>
      <c r="N47" s="348">
        <v>68.100129509615144</v>
      </c>
      <c r="O47" s="349">
        <v>31.454252866462095</v>
      </c>
      <c r="P47" s="349">
        <v>0.67732032527278707</v>
      </c>
    </row>
    <row r="48" spans="1:16" ht="20" customHeight="1">
      <c r="A48" s="78">
        <v>46</v>
      </c>
      <c r="B48" s="79">
        <v>9.0785824131596087</v>
      </c>
      <c r="C48" s="79">
        <v>6.5872635640465678</v>
      </c>
      <c r="D48" s="79">
        <v>0.36632478028063487</v>
      </c>
      <c r="E48" s="79">
        <v>3.9080353792018505E-2</v>
      </c>
      <c r="F48" s="79">
        <v>4.6985294355939233E-2</v>
      </c>
      <c r="G48" s="79">
        <v>4.2952712055243335E-3</v>
      </c>
      <c r="H48" s="79">
        <v>4118044.982609198</v>
      </c>
      <c r="I48" s="79">
        <v>4268546.7895021755</v>
      </c>
      <c r="J48" s="79">
        <v>308591.99490840686</v>
      </c>
      <c r="K48" s="79">
        <v>125826308.07003476</v>
      </c>
      <c r="L48" s="79">
        <v>55626429.049086064</v>
      </c>
      <c r="M48" s="79">
        <v>951191.79565197229</v>
      </c>
      <c r="N48" s="348">
        <v>65.956424693123523</v>
      </c>
      <c r="O48" s="349">
        <v>29.158611063127655</v>
      </c>
      <c r="P48" s="349">
        <v>0.49860169149774952</v>
      </c>
    </row>
    <row r="49" spans="1:16" ht="20" customHeight="1">
      <c r="A49" s="78">
        <v>47</v>
      </c>
      <c r="B49" s="79">
        <v>9.1685012021488959</v>
      </c>
      <c r="C49" s="79">
        <v>6.2410388882908219</v>
      </c>
      <c r="D49" s="79">
        <v>0.30228196004220376</v>
      </c>
      <c r="E49" s="79">
        <v>3.9850558105690929E-2</v>
      </c>
      <c r="F49" s="79">
        <v>4.4945541221755973E-2</v>
      </c>
      <c r="G49" s="79">
        <v>3.5711897798160175E-3</v>
      </c>
      <c r="H49" s="79">
        <v>4158832.1452947394</v>
      </c>
      <c r="I49" s="79">
        <v>4044193.1996124531</v>
      </c>
      <c r="J49" s="79">
        <v>254642.32313955246</v>
      </c>
      <c r="K49" s="79">
        <v>121687869.50608279</v>
      </c>
      <c r="L49" s="79">
        <v>51470059.054528743</v>
      </c>
      <c r="M49" s="79">
        <v>669574.63662800193</v>
      </c>
      <c r="N49" s="348">
        <v>63.787111966102337</v>
      </c>
      <c r="O49" s="349">
        <v>26.979898926153943</v>
      </c>
      <c r="P49" s="349">
        <v>0.3509818397643793</v>
      </c>
    </row>
    <row r="50" spans="1:16" ht="20" customHeight="1">
      <c r="A50" s="78">
        <v>48</v>
      </c>
      <c r="B50" s="79">
        <v>9.2235703002463492</v>
      </c>
      <c r="C50" s="79">
        <v>5.8944670512724953</v>
      </c>
      <c r="D50" s="79">
        <v>0.24901621380717873</v>
      </c>
      <c r="E50" s="79">
        <v>4.0473086522922454E-2</v>
      </c>
      <c r="F50" s="79">
        <v>4.284876001937761E-2</v>
      </c>
      <c r="G50" s="79">
        <v>2.9634601388082273E-3</v>
      </c>
      <c r="H50" s="79">
        <v>4183811.4881917434</v>
      </c>
      <c r="I50" s="79">
        <v>3819614.6492245775</v>
      </c>
      <c r="J50" s="79">
        <v>209771.25851116737</v>
      </c>
      <c r="K50" s="79">
        <v>117516547.68933955</v>
      </c>
      <c r="L50" s="79">
        <v>47538155.130110234</v>
      </c>
      <c r="M50" s="79">
        <v>437367.84580263495</v>
      </c>
      <c r="N50" s="348">
        <v>61.600562289037384</v>
      </c>
      <c r="O50" s="349">
        <v>24.918848824078619</v>
      </c>
      <c r="P50" s="349">
        <v>0.2292622252638839</v>
      </c>
    </row>
    <row r="51" spans="1:16" ht="20" customHeight="1">
      <c r="A51" s="78">
        <v>49</v>
      </c>
      <c r="B51" s="79">
        <v>9.2448731764340693</v>
      </c>
      <c r="C51" s="79">
        <v>5.5506967452150988</v>
      </c>
      <c r="D51" s="79">
        <v>0.20481459870506258</v>
      </c>
      <c r="E51" s="79">
        <v>4.0948004558546108E-2</v>
      </c>
      <c r="F51" s="79">
        <v>4.0719265995860322E-2</v>
      </c>
      <c r="G51" s="79">
        <v>2.4547233931582449E-3</v>
      </c>
      <c r="H51" s="79">
        <v>4193474.4728304935</v>
      </c>
      <c r="I51" s="79">
        <v>3596851.490899384</v>
      </c>
      <c r="J51" s="79">
        <v>172535.81794914475</v>
      </c>
      <c r="K51" s="79">
        <v>113327904.70882843</v>
      </c>
      <c r="L51" s="79">
        <v>43829922.060048252</v>
      </c>
      <c r="M51" s="79">
        <v>246214.30757248402</v>
      </c>
      <c r="N51" s="348">
        <v>59.404933095524925</v>
      </c>
      <c r="O51" s="349">
        <v>22.975043915696823</v>
      </c>
      <c r="P51" s="349">
        <v>0.1290621626340277</v>
      </c>
    </row>
    <row r="52" spans="1:16" ht="20" customHeight="1">
      <c r="A52" s="78">
        <v>50</v>
      </c>
      <c r="B52" s="79">
        <v>9.23380994492166</v>
      </c>
      <c r="C52" s="79">
        <v>5.2124223481470358</v>
      </c>
      <c r="D52" s="79">
        <v>0.1682118457274967</v>
      </c>
      <c r="E52" s="79">
        <v>4.1277083360193312E-2</v>
      </c>
      <c r="F52" s="79">
        <v>3.8578825770872294E-2</v>
      </c>
      <c r="G52" s="79">
        <v>2.0298904063312398E-3</v>
      </c>
      <c r="H52" s="79">
        <v>4188456.1910164645</v>
      </c>
      <c r="I52" s="79">
        <v>3377649.6815992794</v>
      </c>
      <c r="J52" s="79">
        <v>141701.65884084327</v>
      </c>
      <c r="K52" s="79">
        <v>109136939.37690495</v>
      </c>
      <c r="L52" s="79">
        <v>40342671.473798931</v>
      </c>
      <c r="M52" s="79">
        <v>89095.569177478552</v>
      </c>
      <c r="N52" s="348">
        <v>57.208086557258476</v>
      </c>
      <c r="O52" s="349">
        <v>21.147074994046651</v>
      </c>
      <c r="P52" s="349">
        <v>4.6702675212202296E-2</v>
      </c>
    </row>
    <row r="53" spans="1:16" ht="20" customHeight="1">
      <c r="A53" s="78">
        <v>51</v>
      </c>
      <c r="B53" s="79">
        <v>9.192043412098295</v>
      </c>
      <c r="C53" s="79">
        <v>4.8819067677170764</v>
      </c>
      <c r="D53" s="79">
        <v>0.13796075972945282</v>
      </c>
      <c r="E53" s="79">
        <v>4.1463619835186982E-2</v>
      </c>
      <c r="F53" s="79">
        <v>3.6446642176858404E-2</v>
      </c>
      <c r="G53" s="79">
        <v>1.6759250217138514E-3</v>
      </c>
      <c r="H53" s="79">
        <v>4169510.8917277865</v>
      </c>
      <c r="I53" s="79">
        <v>3163475.5854806658</v>
      </c>
      <c r="J53" s="79">
        <v>116218.14399609106</v>
      </c>
      <c r="K53" s="79">
        <v>104957955.83553283</v>
      </c>
      <c r="L53" s="79">
        <v>37072108.840258956</v>
      </c>
      <c r="N53" s="348">
        <v>55.017520709241253</v>
      </c>
      <c r="O53" s="349">
        <v>19.432690924833103</v>
      </c>
    </row>
    <row r="54" spans="1:16" ht="20" customHeight="1">
      <c r="A54" s="78">
        <v>52</v>
      </c>
      <c r="B54" s="79">
        <v>9.1214467256640823</v>
      </c>
      <c r="C54" s="79">
        <v>4.5610099459725895</v>
      </c>
      <c r="D54" s="79">
        <v>0.11300447775712624</v>
      </c>
      <c r="E54" s="79">
        <v>4.1512247297370915E-2</v>
      </c>
      <c r="F54" s="79">
        <v>3.4339400092216324E-2</v>
      </c>
      <c r="G54" s="79">
        <v>1.3816259085187653E-3</v>
      </c>
      <c r="H54" s="79">
        <v>4137488.2347612269</v>
      </c>
      <c r="I54" s="79">
        <v>2955534.4449902382</v>
      </c>
      <c r="J54" s="79">
        <v>95194.972062603163</v>
      </c>
      <c r="K54" s="79">
        <v>100804456.27228832</v>
      </c>
      <c r="L54" s="79">
        <v>34012603.825023502</v>
      </c>
      <c r="N54" s="348">
        <v>52.840313212987141</v>
      </c>
      <c r="O54" s="349">
        <v>17.828940363994171</v>
      </c>
    </row>
    <row r="55" spans="1:16" ht="20" customHeight="1">
      <c r="A55" s="78">
        <v>53</v>
      </c>
      <c r="B55" s="79">
        <v>9.024053668684374</v>
      </c>
      <c r="C55" s="79">
        <v>4.2512210642798776</v>
      </c>
      <c r="D55" s="79">
        <v>9.2451004251149313E-2</v>
      </c>
      <c r="E55" s="79">
        <v>4.1428742627186599E-2</v>
      </c>
      <c r="F55" s="79">
        <v>3.2271359880198205E-2</v>
      </c>
      <c r="G55" s="79">
        <v>1.1374151424692212E-3</v>
      </c>
      <c r="H55" s="79">
        <v>4093310.7441152316</v>
      </c>
      <c r="I55" s="79">
        <v>2754791.2496533608</v>
      </c>
      <c r="J55" s="79">
        <v>77880.725981168202</v>
      </c>
      <c r="K55" s="79">
        <v>96689056.782850087</v>
      </c>
      <c r="L55" s="79">
        <v>31157440.977701694</v>
      </c>
      <c r="N55" s="348">
        <v>50.683077252792152</v>
      </c>
      <c r="O55" s="349">
        <v>16.332303164552791</v>
      </c>
    </row>
    <row r="56" spans="1:16" ht="20" customHeight="1">
      <c r="A56" s="78">
        <v>54</v>
      </c>
      <c r="B56" s="79">
        <v>8.9020123735902814</v>
      </c>
      <c r="C56" s="79">
        <v>3.9536928225331662</v>
      </c>
      <c r="D56" s="79">
        <v>7.5550215602371962E-2</v>
      </c>
      <c r="E56" s="79">
        <v>4.1219835011077698E-2</v>
      </c>
      <c r="F56" s="79">
        <v>3.02544865013568E-2</v>
      </c>
      <c r="G56" s="79">
        <v>9.3513881904885301E-4</v>
      </c>
      <c r="H56" s="79">
        <v>4037952.8126605516</v>
      </c>
      <c r="I56" s="79">
        <v>2561992.949001492</v>
      </c>
      <c r="J56" s="79">
        <v>63643.501623438147</v>
      </c>
      <c r="K56" s="79">
        <v>92623425.004462197</v>
      </c>
      <c r="L56" s="79">
        <v>28499048.878374279</v>
      </c>
      <c r="N56" s="348">
        <v>48.551928844051147</v>
      </c>
      <c r="O56" s="349">
        <v>14.938810492046734</v>
      </c>
    </row>
    <row r="57" spans="1:16" ht="20" customHeight="1">
      <c r="A57" s="78">
        <v>55</v>
      </c>
      <c r="B57" s="79">
        <v>8.7575429929574948</v>
      </c>
      <c r="C57" s="79">
        <v>3.6692764766311274</v>
      </c>
      <c r="D57" s="79">
        <v>6.167336773655259E-2</v>
      </c>
      <c r="E57" s="79">
        <v>4.089302041253641E-2</v>
      </c>
      <c r="F57" s="79">
        <v>2.829860390378652E-2</v>
      </c>
      <c r="G57" s="79">
        <v>7.6788286802011987E-4</v>
      </c>
      <c r="H57" s="79">
        <v>3972421.5016055186</v>
      </c>
      <c r="I57" s="79">
        <v>2377691.1568569709</v>
      </c>
      <c r="J57" s="79">
        <v>51953.644981271907</v>
      </c>
      <c r="K57" s="79">
        <v>88618237.84732917</v>
      </c>
      <c r="L57" s="79">
        <v>26029206.825445056</v>
      </c>
      <c r="N57" s="348">
        <v>46.452464676634939</v>
      </c>
      <c r="O57" s="349">
        <v>13.644153167465097</v>
      </c>
    </row>
    <row r="58" spans="1:16" ht="20" customHeight="1">
      <c r="A58" s="78">
        <v>56</v>
      </c>
      <c r="B58" s="79">
        <v>8.5928996575689816</v>
      </c>
      <c r="C58" s="79">
        <v>3.398556596881257</v>
      </c>
      <c r="D58" s="79">
        <v>5.0295033212137845E-2</v>
      </c>
      <c r="E58" s="79">
        <v>4.0456385058778577E-2</v>
      </c>
      <c r="F58" s="79">
        <v>2.6411565827406811E-2</v>
      </c>
      <c r="G58" s="79">
        <v>6.2980566728015235E-4</v>
      </c>
      <c r="H58" s="79">
        <v>3897739.2846732899</v>
      </c>
      <c r="I58" s="79">
        <v>2202264.6747790547</v>
      </c>
      <c r="J58" s="79">
        <v>42368.535977904925</v>
      </c>
      <c r="K58" s="79">
        <v>84683157.454189762</v>
      </c>
      <c r="L58" s="79">
        <v>23739228.90962705</v>
      </c>
      <c r="N58" s="348">
        <v>44.389749513228701</v>
      </c>
      <c r="O58" s="349">
        <v>12.443778156306871</v>
      </c>
    </row>
    <row r="59" spans="1:16" ht="20" customHeight="1">
      <c r="A59" s="78">
        <v>57</v>
      </c>
      <c r="B59" s="79">
        <v>8.4103368781397805</v>
      </c>
      <c r="C59" s="79">
        <v>3.1418847547719846</v>
      </c>
      <c r="D59" s="79">
        <v>4.0977325955070754E-2</v>
      </c>
      <c r="E59" s="79">
        <v>3.991844042622706E-2</v>
      </c>
      <c r="F59" s="79">
        <v>2.4599435625483869E-2</v>
      </c>
      <c r="G59" s="79">
        <v>5.1598792733412375E-4</v>
      </c>
      <c r="H59" s="79">
        <v>3814928.807924204</v>
      </c>
      <c r="I59" s="79">
        <v>2035941.3210922461</v>
      </c>
      <c r="J59" s="79">
        <v>34519.29938455161</v>
      </c>
      <c r="K59" s="79">
        <v>80826823.40789102</v>
      </c>
      <c r="L59" s="79">
        <v>21620125.911691397</v>
      </c>
      <c r="N59" s="348">
        <v>42.368312104649085</v>
      </c>
      <c r="O59" s="349">
        <v>11.332973433160101</v>
      </c>
    </row>
    <row r="60" spans="1:16" ht="20" customHeight="1">
      <c r="A60" s="78">
        <v>58</v>
      </c>
      <c r="B60" s="79">
        <v>8.2120804040403375</v>
      </c>
      <c r="C60" s="79">
        <v>2.8994115560311329</v>
      </c>
      <c r="D60" s="79">
        <v>3.3356232008625558E-2</v>
      </c>
      <c r="E60" s="79">
        <v>3.9287971488521513E-2</v>
      </c>
      <c r="F60" s="79">
        <v>2.2866669068233696E-2</v>
      </c>
      <c r="G60" s="79">
        <v>4.222995371638439E-4</v>
      </c>
      <c r="H60" s="79">
        <v>3724999.6712726969</v>
      </c>
      <c r="I60" s="79">
        <v>1878818.688308174</v>
      </c>
      <c r="J60" s="79">
        <v>28099.289844066174</v>
      </c>
      <c r="K60" s="79">
        <v>77056859.168292567</v>
      </c>
      <c r="L60" s="79">
        <v>19662745.906991184</v>
      </c>
      <c r="N60" s="348">
        <v>40.39214856398123</v>
      </c>
      <c r="O60" s="349">
        <v>10.306941684664569</v>
      </c>
    </row>
    <row r="61" spans="1:16" ht="20" customHeight="1">
      <c r="A61" s="78">
        <v>59</v>
      </c>
      <c r="B61" s="79">
        <v>8.0003024382897827</v>
      </c>
      <c r="C61" s="79">
        <v>2.6711166152951318</v>
      </c>
      <c r="D61" s="79">
        <v>2.7129845519040619E-2</v>
      </c>
      <c r="E61" s="79">
        <v>3.8573899359793697E-2</v>
      </c>
      <c r="F61" s="79">
        <v>2.1216295325526272E-2</v>
      </c>
      <c r="G61" s="79">
        <v>3.4528254696537266E-4</v>
      </c>
      <c r="H61" s="79">
        <v>3628937.1860082457</v>
      </c>
      <c r="I61" s="79">
        <v>1730883.5667112456</v>
      </c>
      <c r="J61" s="79">
        <v>22854.181865239821</v>
      </c>
      <c r="K61" s="79">
        <v>73379890.739652097</v>
      </c>
      <c r="L61" s="79">
        <v>17857894.779481471</v>
      </c>
      <c r="N61" s="348">
        <v>38.464732151766135</v>
      </c>
      <c r="O61" s="349">
        <v>9.3608634813079608</v>
      </c>
    </row>
    <row r="62" spans="1:16" ht="20" customHeight="1">
      <c r="A62" s="78">
        <v>60</v>
      </c>
      <c r="B62" s="79">
        <v>7.7771010202771658</v>
      </c>
      <c r="C62" s="79">
        <v>2.456836214337363</v>
      </c>
      <c r="D62" s="79">
        <v>2.2048304412759075E-2</v>
      </c>
      <c r="E62" s="79">
        <v>3.7785158925389618E-2</v>
      </c>
      <c r="F62" s="79">
        <v>1.9650092416634079E-2</v>
      </c>
      <c r="G62" s="79">
        <v>2.8204914709387417E-4</v>
      </c>
      <c r="H62" s="79">
        <v>3527693.0227977219</v>
      </c>
      <c r="I62" s="79">
        <v>1592029.8668906114</v>
      </c>
      <c r="J62" s="79">
        <v>18573.491637308249</v>
      </c>
      <c r="K62" s="79">
        <v>69801575.635249108</v>
      </c>
      <c r="L62" s="79">
        <v>16196438.062680542</v>
      </c>
      <c r="N62" s="348">
        <v>36.589028458859104</v>
      </c>
      <c r="O62" s="349">
        <v>8.489950661060778</v>
      </c>
    </row>
    <row r="63" spans="1:16" ht="20" customHeight="1">
      <c r="A63" s="78">
        <v>61</v>
      </c>
      <c r="B63" s="79">
        <v>7.5444833230516561</v>
      </c>
      <c r="C63" s="79">
        <v>2.2562885045512555</v>
      </c>
      <c r="D63" s="79">
        <v>1.7905225144659011E-2</v>
      </c>
      <c r="E63" s="79">
        <v>3.6930591600102258E-2</v>
      </c>
      <c r="F63" s="79">
        <v>1.8168754361969887E-2</v>
      </c>
      <c r="G63" s="79">
        <v>2.3019333278381907E-4</v>
      </c>
      <c r="H63" s="79">
        <v>3422177.635336231</v>
      </c>
      <c r="I63" s="79">
        <v>1462074.9509492137</v>
      </c>
      <c r="J63" s="79">
        <v>15083.361661860752</v>
      </c>
      <c r="K63" s="79">
        <v>66326640.306182131</v>
      </c>
      <c r="L63" s="79">
        <v>14669385.653760642</v>
      </c>
      <c r="N63" s="348">
        <v>34.767515026091836</v>
      </c>
      <c r="O63" s="349">
        <v>7.6894907353406481</v>
      </c>
    </row>
    <row r="64" spans="1:16" ht="20" customHeight="1">
      <c r="A64" s="78">
        <v>62</v>
      </c>
      <c r="B64" s="79">
        <v>7.3043525674427512</v>
      </c>
      <c r="C64" s="79">
        <v>2.069096208457466</v>
      </c>
      <c r="D64" s="79">
        <v>1.4530447001141894E-2</v>
      </c>
      <c r="E64" s="79">
        <v>3.6018852985534339E-2</v>
      </c>
      <c r="F64" s="79">
        <v>1.677204807872168E-2</v>
      </c>
      <c r="G64" s="79">
        <v>1.8771487929415551E-4</v>
      </c>
      <c r="H64" s="79">
        <v>3313254.3245920315</v>
      </c>
      <c r="I64" s="79">
        <v>1340774.3430804382</v>
      </c>
      <c r="J64" s="79">
        <v>12240.448553761933</v>
      </c>
      <c r="K64" s="79">
        <v>62958924.326217994</v>
      </c>
      <c r="L64" s="79">
        <v>13267961.006745815</v>
      </c>
      <c r="N64" s="348">
        <v>33.002204505364325</v>
      </c>
      <c r="O64" s="349">
        <v>6.954883159137486</v>
      </c>
    </row>
    <row r="65" spans="1:15" ht="20" customHeight="1">
      <c r="A65" s="78">
        <v>63</v>
      </c>
      <c r="B65" s="79">
        <v>7.0584982276231649</v>
      </c>
      <c r="C65" s="79">
        <v>1.8948068476660067</v>
      </c>
      <c r="D65" s="79">
        <v>1.1783911162253014E-2</v>
      </c>
      <c r="E65" s="79">
        <v>3.5058334906807612E-2</v>
      </c>
      <c r="F65" s="79">
        <v>1.54589587374805E-2</v>
      </c>
      <c r="G65" s="79">
        <v>1.5295425995801048E-4</v>
      </c>
      <c r="H65" s="79">
        <v>3201734.7960498678</v>
      </c>
      <c r="I65" s="79">
        <v>1227834.8372875724</v>
      </c>
      <c r="J65" s="79">
        <v>9926.7667630819396</v>
      </c>
      <c r="K65" s="79">
        <v>59701429.76589705</v>
      </c>
      <c r="L65" s="79">
        <v>11983656.416561812</v>
      </c>
      <c r="N65" s="348">
        <v>31.294670540873515</v>
      </c>
      <c r="O65" s="349">
        <v>6.2816683101541111</v>
      </c>
    </row>
    <row r="66" spans="1:15" ht="20" customHeight="1">
      <c r="A66" s="78">
        <v>64</v>
      </c>
      <c r="B66" s="79">
        <v>6.8085891890710908</v>
      </c>
      <c r="C66" s="79">
        <v>1.7329105791387902</v>
      </c>
      <c r="D66" s="79">
        <v>9.5505162290564841E-3</v>
      </c>
      <c r="E66" s="79">
        <v>3.4057101086723669E-2</v>
      </c>
      <c r="F66" s="79">
        <v>1.4227822851409066E-2</v>
      </c>
      <c r="G66" s="79">
        <v>1.2453719578187089E-4</v>
      </c>
      <c r="H66" s="79">
        <v>3088376.056162647</v>
      </c>
      <c r="I66" s="79">
        <v>1122926.0552819362</v>
      </c>
      <c r="J66" s="79">
        <v>8045.3548713571836</v>
      </c>
      <c r="K66" s="79">
        <v>56556374.339790791</v>
      </c>
      <c r="L66" s="79">
        <v>10808275.970277071</v>
      </c>
      <c r="N66" s="348">
        <v>29.646075628176739</v>
      </c>
      <c r="O66" s="349">
        <v>5.6655500032575929</v>
      </c>
    </row>
    <row r="67" spans="1:15" ht="20" customHeight="1">
      <c r="A67" s="78">
        <v>65</v>
      </c>
      <c r="B67" s="79">
        <v>6.5561695175224166</v>
      </c>
      <c r="C67" s="79">
        <v>1.5828557607222211</v>
      </c>
      <c r="D67" s="79">
        <v>7.7358089308528595E-3</v>
      </c>
      <c r="E67" s="79">
        <v>3.3022835554385156E-2</v>
      </c>
      <c r="F67" s="79">
        <v>1.3076448815691534E-2</v>
      </c>
      <c r="G67" s="79">
        <v>1.0132761150674818E-4</v>
      </c>
      <c r="H67" s="79">
        <v>2973878.4931481676</v>
      </c>
      <c r="I67" s="79">
        <v>1025690.5329479993</v>
      </c>
      <c r="J67" s="79">
        <v>6516.6454433504496</v>
      </c>
      <c r="K67" s="79">
        <v>53525247.06513539</v>
      </c>
      <c r="L67" s="79">
        <v>9733967.6761620939</v>
      </c>
      <c r="N67" s="348">
        <v>28.057200289683891</v>
      </c>
      <c r="O67" s="349">
        <v>5.1024123320914541</v>
      </c>
    </row>
    <row r="68" spans="1:15" ht="20" customHeight="1">
      <c r="A68" s="78">
        <v>66</v>
      </c>
      <c r="B68" s="79">
        <v>6.3026565040071265</v>
      </c>
      <c r="C68" s="79">
        <v>1.4440623934489145</v>
      </c>
      <c r="D68" s="79">
        <v>6.2623853862297397E-3</v>
      </c>
      <c r="E68" s="79">
        <v>3.1962802776866944E-2</v>
      </c>
      <c r="F68" s="79">
        <v>1.2002224965982456E-2</v>
      </c>
      <c r="G68" s="79">
        <v>8.2387876065926789E-5</v>
      </c>
      <c r="H68" s="79">
        <v>2858884.9902176321</v>
      </c>
      <c r="I68" s="79">
        <v>935752.43095489684</v>
      </c>
      <c r="J68" s="79">
        <v>5275.4334493599335</v>
      </c>
      <c r="K68" s="79">
        <v>50608865.323452502</v>
      </c>
      <c r="L68" s="79">
        <v>8753246.1942106485</v>
      </c>
      <c r="N68" s="348">
        <v>26.528472985576361</v>
      </c>
      <c r="O68" s="349">
        <v>4.5883315841030798</v>
      </c>
    </row>
    <row r="69" spans="1:15" ht="20" customHeight="1">
      <c r="A69" s="78">
        <v>67</v>
      </c>
      <c r="B69" s="79">
        <v>6.0493406643070244</v>
      </c>
      <c r="C69" s="79">
        <v>1.3159336044390824</v>
      </c>
      <c r="D69" s="79">
        <v>5.0668940579748894E-3</v>
      </c>
      <c r="E69" s="79">
        <v>3.0883818438671159E-2</v>
      </c>
      <c r="F69" s="79">
        <v>1.1002215493211774E-2</v>
      </c>
      <c r="G69" s="79">
        <v>6.6945315609074252E-5</v>
      </c>
      <c r="H69" s="79">
        <v>2743980.9253296657</v>
      </c>
      <c r="I69" s="79">
        <v>852724.9756765255</v>
      </c>
      <c r="J69" s="79">
        <v>4268.351554438048</v>
      </c>
      <c r="K69" s="79">
        <v>47807432.365678847</v>
      </c>
      <c r="L69" s="79">
        <v>7859007.4908949435</v>
      </c>
      <c r="N69" s="348">
        <v>25.060000257207122</v>
      </c>
      <c r="O69" s="349">
        <v>4.1195839223653605</v>
      </c>
    </row>
    <row r="70" spans="1:15" ht="20" customHeight="1">
      <c r="A70" s="78">
        <v>68</v>
      </c>
      <c r="B70" s="79">
        <v>5.7973873893241405</v>
      </c>
      <c r="C70" s="79">
        <v>1.197865342460847</v>
      </c>
      <c r="D70" s="79">
        <v>4.0975460959649969E-3</v>
      </c>
      <c r="E70" s="79">
        <v>2.9792229766790419E-2</v>
      </c>
      <c r="F70" s="79">
        <v>1.0073244750685622E-2</v>
      </c>
      <c r="G70" s="79">
        <v>5.4364098090323573E-5</v>
      </c>
      <c r="H70" s="79">
        <v>2629694.9197974298</v>
      </c>
      <c r="I70" s="79">
        <v>776216.74191462889</v>
      </c>
      <c r="J70" s="79">
        <v>3451.772831240914</v>
      </c>
      <c r="K70" s="79">
        <v>45120594.443115294</v>
      </c>
      <c r="L70" s="79">
        <v>7044536.6320993602</v>
      </c>
      <c r="N70" s="348">
        <v>23.651596674360565</v>
      </c>
      <c r="O70" s="349">
        <v>3.692649470525653</v>
      </c>
    </row>
    <row r="71" spans="1:15" ht="20" customHeight="1">
      <c r="A71" s="78">
        <v>69</v>
      </c>
      <c r="B71" s="79">
        <v>5.5478399643637797</v>
      </c>
      <c r="C71" s="79">
        <v>1.0892544601358336</v>
      </c>
      <c r="D71" s="79">
        <v>3.3120519461202723E-3</v>
      </c>
      <c r="E71" s="79">
        <v>2.8693904302245804E-2</v>
      </c>
      <c r="F71" s="79">
        <v>9.211970629339079E-3</v>
      </c>
      <c r="G71" s="79">
        <v>4.4121695424911931E-5</v>
      </c>
      <c r="H71" s="79">
        <v>2516500.2078354103</v>
      </c>
      <c r="I71" s="79">
        <v>705836.89016802027</v>
      </c>
      <c r="J71" s="79">
        <v>2790.0725594117175</v>
      </c>
      <c r="K71" s="79">
        <v>42547496.879298866</v>
      </c>
      <c r="L71" s="79">
        <v>6303509.8160580397</v>
      </c>
      <c r="N71" s="348">
        <v>22.302814227358652</v>
      </c>
      <c r="O71" s="349">
        <v>3.3042133784437775</v>
      </c>
    </row>
    <row r="72" spans="1:15" ht="20" customHeight="1">
      <c r="A72" s="78">
        <v>70</v>
      </c>
      <c r="B72" s="79">
        <v>5.3016236989279184</v>
      </c>
      <c r="C72" s="79">
        <v>0.98950535392293681</v>
      </c>
      <c r="D72" s="79">
        <v>2.675914870242675E-3</v>
      </c>
      <c r="E72" s="79">
        <v>2.7594226045656499E-2</v>
      </c>
      <c r="F72" s="79">
        <v>8.4149477685471468E-3</v>
      </c>
      <c r="G72" s="79">
        <v>3.578922963186717E-5</v>
      </c>
      <c r="H72" s="79">
        <v>2404816.5098337037</v>
      </c>
      <c r="I72" s="79">
        <v>641199.46934206306</v>
      </c>
      <c r="J72" s="79">
        <v>2254.1906866924296</v>
      </c>
      <c r="K72" s="79">
        <v>40086838.520464301</v>
      </c>
      <c r="L72" s="79">
        <v>5629991.6363030076</v>
      </c>
      <c r="N72" s="348">
        <v>21.012970869245954</v>
      </c>
      <c r="O72" s="349">
        <v>2.9511643874669717</v>
      </c>
    </row>
    <row r="73" spans="1:15" ht="20" customHeight="1">
      <c r="A73" s="78">
        <v>71</v>
      </c>
      <c r="B73" s="79">
        <v>5.0595509332418604</v>
      </c>
      <c r="C73" s="79">
        <v>0.89803532664984709</v>
      </c>
      <c r="D73" s="79">
        <v>2.1610223979555603E-3</v>
      </c>
      <c r="E73" s="79">
        <v>2.6498097949193153E-2</v>
      </c>
      <c r="F73" s="79">
        <v>7.6786814222613202E-3</v>
      </c>
      <c r="G73" s="79">
        <v>2.9015101621833702E-5</v>
      </c>
      <c r="H73" s="79">
        <v>2295012.3033185075</v>
      </c>
      <c r="I73" s="79">
        <v>581926.89166910097</v>
      </c>
      <c r="J73" s="79">
        <v>1820.4452680377644</v>
      </c>
      <c r="K73" s="79">
        <v>37736924.113888204</v>
      </c>
      <c r="L73" s="79">
        <v>5018428.4557974339</v>
      </c>
      <c r="N73" s="348">
        <v>19.781177971799146</v>
      </c>
      <c r="O73" s="349">
        <v>2.630591357241435</v>
      </c>
    </row>
    <row r="74" spans="1:15" ht="20" customHeight="1">
      <c r="A74" s="78">
        <v>72</v>
      </c>
      <c r="B74" s="79">
        <v>4.8223267125687439</v>
      </c>
      <c r="C74" s="79">
        <v>0.81427882853128875</v>
      </c>
      <c r="D74" s="79">
        <v>1.7444857919185067E-3</v>
      </c>
      <c r="E74" s="79">
        <v>2.5409949785347361E-2</v>
      </c>
      <c r="F74" s="79">
        <v>6.9996728214275234E-3</v>
      </c>
      <c r="G74" s="79">
        <v>2.3511384635132083E-5</v>
      </c>
      <c r="H74" s="79">
        <v>2187407.3968211822</v>
      </c>
      <c r="I74" s="79">
        <v>527652.68088827515</v>
      </c>
      <c r="J74" s="79">
        <v>1469.5548311121504</v>
      </c>
      <c r="K74" s="79">
        <v>35495714.263818353</v>
      </c>
      <c r="L74" s="79">
        <v>4463638.669518739</v>
      </c>
      <c r="N74" s="348">
        <v>18.606366511739928</v>
      </c>
      <c r="O74" s="349">
        <v>2.3397781614919593</v>
      </c>
    </row>
    <row r="75" spans="1:15" ht="20" customHeight="1">
      <c r="A75" s="78">
        <v>73</v>
      </c>
      <c r="B75" s="79">
        <v>4.5905549447593881</v>
      </c>
      <c r="C75" s="79">
        <v>0.73769072215799991</v>
      </c>
      <c r="D75" s="79">
        <v>1.4076854522438753E-3</v>
      </c>
      <c r="E75" s="79">
        <v>2.4333750490214474E-2</v>
      </c>
      <c r="F75" s="79">
        <v>6.3744568705575771E-3</v>
      </c>
      <c r="G75" s="79">
        <v>1.9042538652309244E-5</v>
      </c>
      <c r="H75" s="79">
        <v>2082275.7229428582</v>
      </c>
      <c r="I75" s="79">
        <v>478023.58795838396</v>
      </c>
      <c r="J75" s="79">
        <v>1185.8342249702407</v>
      </c>
      <c r="K75" s="79">
        <v>33360872.703936338</v>
      </c>
      <c r="L75" s="79">
        <v>3960800.5350954235</v>
      </c>
      <c r="N75" s="348">
        <v>17.487311850311446</v>
      </c>
      <c r="O75" s="349">
        <v>2.0761973090086911</v>
      </c>
    </row>
    <row r="76" spans="1:15" ht="20" customHeight="1">
      <c r="A76" s="78">
        <v>74</v>
      </c>
      <c r="B76" s="79">
        <v>4.3647448799551318</v>
      </c>
      <c r="C76" s="79">
        <v>0.66774870553414334</v>
      </c>
      <c r="D76" s="79">
        <v>1.1354869303951869E-3</v>
      </c>
      <c r="E76" s="79">
        <v>2.3273024151996655E-2</v>
      </c>
      <c r="F76" s="79">
        <v>5.799632994845102E-3</v>
      </c>
      <c r="G76" s="79">
        <v>1.5416067649372811E-5</v>
      </c>
      <c r="H76" s="79">
        <v>1979848.2775476475</v>
      </c>
      <c r="I76" s="79">
        <v>432701.1611861249</v>
      </c>
      <c r="J76" s="79">
        <v>956.53419016490545</v>
      </c>
      <c r="K76" s="79">
        <v>31329810.703691095</v>
      </c>
      <c r="L76" s="79">
        <v>3505438.1605231762</v>
      </c>
      <c r="N76" s="348">
        <v>16.42265701046923</v>
      </c>
      <c r="O76" s="349">
        <v>1.8375025986001219</v>
      </c>
    </row>
    <row r="77" spans="1:15" ht="20" customHeight="1">
      <c r="A77" s="78">
        <v>75</v>
      </c>
      <c r="B77" s="79">
        <v>4.1453177735591558</v>
      </c>
      <c r="C77" s="79">
        <v>0.60395501540655183</v>
      </c>
      <c r="D77" s="79">
        <v>9.1559798561612028E-4</v>
      </c>
      <c r="E77" s="79">
        <v>2.2230868891354241E-2</v>
      </c>
      <c r="F77" s="79">
        <v>5.2718899192396159E-3</v>
      </c>
      <c r="G77" s="79">
        <v>1.2474798863273197E-5</v>
      </c>
      <c r="H77" s="79">
        <v>1880316.1420864328</v>
      </c>
      <c r="I77" s="79">
        <v>391362.84998344566</v>
      </c>
      <c r="J77" s="79">
        <v>771.29974308301973</v>
      </c>
      <c r="K77" s="79">
        <v>29399728.493874043</v>
      </c>
      <c r="L77" s="79">
        <v>3093406.1549383998</v>
      </c>
      <c r="N77" s="348">
        <v>15.410934391599412</v>
      </c>
      <c r="O77" s="349">
        <v>1.6215210732391239</v>
      </c>
    </row>
    <row r="78" spans="1:15" ht="20" customHeight="1">
      <c r="A78" s="78">
        <v>76</v>
      </c>
      <c r="B78" s="79">
        <v>3.9326136142823245</v>
      </c>
      <c r="C78" s="79">
        <v>0.54583752127029594</v>
      </c>
      <c r="D78" s="79">
        <v>7.380420146637335E-4</v>
      </c>
      <c r="E78" s="79">
        <v>2.1209977956791189E-2</v>
      </c>
      <c r="F78" s="79">
        <v>4.7880251164899605E-3</v>
      </c>
      <c r="G78" s="79">
        <v>1.0090512924382103E-5</v>
      </c>
      <c r="H78" s="79">
        <v>1783833.5354384622</v>
      </c>
      <c r="I78" s="79">
        <v>353702.71378315182</v>
      </c>
      <c r="J78" s="79">
        <v>621.72659315272927</v>
      </c>
      <c r="K78" s="79">
        <v>27567653.655111581</v>
      </c>
      <c r="L78" s="79">
        <v>2720873.3730551004</v>
      </c>
      <c r="N78" s="348">
        <v>14.450585892239923</v>
      </c>
      <c r="O78" s="349">
        <v>1.4262444991197474</v>
      </c>
    </row>
    <row r="79" spans="1:15" ht="20" customHeight="1">
      <c r="A79" s="78">
        <v>77</v>
      </c>
      <c r="B79" s="79">
        <v>3.7268978181053654</v>
      </c>
      <c r="C79" s="79">
        <v>0.49295030884961422</v>
      </c>
      <c r="D79" s="79">
        <v>5.9472732857215188E-4</v>
      </c>
      <c r="E79" s="79">
        <v>2.0212662433641056E-2</v>
      </c>
      <c r="F79" s="79">
        <v>4.3449596106355497E-3</v>
      </c>
      <c r="G79" s="79">
        <v>8.15869652455553E-6</v>
      </c>
      <c r="H79" s="79">
        <v>1690520.8502925937</v>
      </c>
      <c r="I79" s="79">
        <v>319431.80013455002</v>
      </c>
      <c r="J79" s="79">
        <v>500.99830158918076</v>
      </c>
      <c r="K79" s="79">
        <v>25830476.46224606</v>
      </c>
      <c r="L79" s="79">
        <v>2384306.1160962582</v>
      </c>
      <c r="N79" s="348">
        <v>13.539981437120153</v>
      </c>
      <c r="O79" s="349">
        <v>1.2498205598158838</v>
      </c>
    </row>
    <row r="80" spans="1:15" ht="20" customHeight="1">
      <c r="A80" s="78">
        <v>78</v>
      </c>
      <c r="B80" s="79">
        <v>3.5283678063109205</v>
      </c>
      <c r="C80" s="79">
        <v>0.44487384075752745</v>
      </c>
      <c r="D80" s="79">
        <v>4.790952400569992E-4</v>
      </c>
      <c r="E80" s="79">
        <v>1.9240875038053454E-2</v>
      </c>
      <c r="F80" s="79">
        <v>3.9397487684153841E-3</v>
      </c>
      <c r="G80" s="79">
        <v>6.5942259611748411E-6</v>
      </c>
      <c r="H80" s="79">
        <v>1600467.6369426334</v>
      </c>
      <c r="I80" s="79">
        <v>288278.24881087779</v>
      </c>
      <c r="J80" s="79">
        <v>403.58983022401623</v>
      </c>
      <c r="K80" s="79">
        <v>24184982.218628436</v>
      </c>
      <c r="L80" s="79">
        <v>2080451.0916235447</v>
      </c>
      <c r="N80" s="348">
        <v>12.677435926353628</v>
      </c>
      <c r="O80" s="349">
        <v>1.0905439240577495</v>
      </c>
    </row>
    <row r="81" spans="1:15" ht="20" customHeight="1">
      <c r="A81" s="78">
        <v>79</v>
      </c>
      <c r="B81" s="79">
        <v>3.3371594013119479</v>
      </c>
      <c r="C81" s="79">
        <v>0.40121477157885233</v>
      </c>
      <c r="D81" s="79">
        <v>3.8583285399754533E-4</v>
      </c>
      <c r="E81" s="79">
        <v>1.8296234536638954E-2</v>
      </c>
      <c r="F81" s="79">
        <v>3.5695896556642236E-3</v>
      </c>
      <c r="G81" s="79">
        <v>5.3278211504686759E-6</v>
      </c>
      <c r="H81" s="79">
        <v>1513735.5044350994</v>
      </c>
      <c r="I81" s="79">
        <v>259987.17198309631</v>
      </c>
      <c r="J81" s="79">
        <v>325.0255962075322</v>
      </c>
      <c r="K81" s="79">
        <v>22627880.647939563</v>
      </c>
      <c r="L81" s="79">
        <v>1806318.3812265694</v>
      </c>
      <c r="N81" s="348">
        <v>11.861224642227562</v>
      </c>
      <c r="O81" s="349">
        <v>0.94684731762822461</v>
      </c>
    </row>
    <row r="82" spans="1:15" ht="20" customHeight="1">
      <c r="A82" s="78">
        <v>80</v>
      </c>
      <c r="B82" s="79">
        <v>3.1533529878678812</v>
      </c>
      <c r="C82" s="79">
        <v>0.36160548489346722</v>
      </c>
      <c r="D82" s="79">
        <v>3.1063890320029121E-4</v>
      </c>
      <c r="E82" s="79">
        <v>1.7380050397395229E-2</v>
      </c>
      <c r="F82" s="79">
        <v>3.2318254805807794E-3</v>
      </c>
      <c r="G82" s="79">
        <v>4.3031362183946481E-6</v>
      </c>
      <c r="H82" s="79">
        <v>1430360.9152968707</v>
      </c>
      <c r="I82" s="79">
        <v>234320.35421096676</v>
      </c>
      <c r="J82" s="79">
        <v>261.68221205592539</v>
      </c>
      <c r="K82" s="79">
        <v>21155832.438073575</v>
      </c>
      <c r="L82" s="79">
        <v>1559164.6181295514</v>
      </c>
      <c r="N82" s="348">
        <v>11.089597163142404</v>
      </c>
      <c r="O82" s="349">
        <v>0.81729270529502918</v>
      </c>
    </row>
    <row r="83" spans="1:15" ht="20" customHeight="1">
      <c r="A83" s="78">
        <v>81</v>
      </c>
      <c r="B83" s="79">
        <v>2.9769793995011025</v>
      </c>
      <c r="C83" s="79">
        <v>0.32570341081109244</v>
      </c>
      <c r="D83" s="79">
        <v>2.5003301454526732E-4</v>
      </c>
      <c r="E83" s="79">
        <v>1.6493347337743096E-2</v>
      </c>
      <c r="F83" s="79">
        <v>2.9239475919959831E-3</v>
      </c>
      <c r="G83" s="79">
        <v>3.4743751824191446E-6</v>
      </c>
      <c r="H83" s="79">
        <v>1350357.8556136999</v>
      </c>
      <c r="I83" s="79">
        <v>211055.81020558788</v>
      </c>
      <c r="J83" s="79">
        <v>210.62781145293323</v>
      </c>
      <c r="K83" s="79">
        <v>19765473.052618295</v>
      </c>
      <c r="L83" s="79">
        <v>1336476.5359212756</v>
      </c>
      <c r="N83" s="348">
        <v>10.360789845263247</v>
      </c>
      <c r="O83" s="349">
        <v>0.70056266728063321</v>
      </c>
    </row>
    <row r="84" spans="1:15" ht="20" customHeight="1">
      <c r="A84" s="78">
        <v>82</v>
      </c>
      <c r="B84" s="79">
        <v>2.8080255005907975</v>
      </c>
      <c r="C84" s="79">
        <v>0.2931901744435399</v>
      </c>
      <c r="D84" s="79">
        <v>2.0120048957706269E-4</v>
      </c>
      <c r="E84" s="79">
        <v>1.5636889490687974E-2</v>
      </c>
      <c r="F84" s="79">
        <v>2.6435954493137007E-3</v>
      </c>
      <c r="G84" s="79">
        <v>2.804340101591581E-6</v>
      </c>
      <c r="H84" s="79">
        <v>1273720.3670679855</v>
      </c>
      <c r="I84" s="79">
        <v>189987.23303941387</v>
      </c>
      <c r="J84" s="79">
        <v>169.49129241971761</v>
      </c>
      <c r="K84" s="79">
        <v>18453433.941277444</v>
      </c>
      <c r="L84" s="79">
        <v>1135955.0142987669</v>
      </c>
      <c r="N84" s="348">
        <v>9.6730369407321941</v>
      </c>
      <c r="O84" s="349">
        <v>0.5954520362599397</v>
      </c>
    </row>
    <row r="85" spans="1:15" ht="20" customHeight="1">
      <c r="A85" s="78">
        <v>83</v>
      </c>
      <c r="B85" s="79">
        <v>2.6464394438324774</v>
      </c>
      <c r="C85" s="79">
        <v>0.26377061838989047</v>
      </c>
      <c r="D85" s="79">
        <v>1.6186609302707247E-4</v>
      </c>
      <c r="E85" s="79">
        <v>1.4811203960195423E-2</v>
      </c>
      <c r="F85" s="79">
        <v>2.3885549322551483E-3</v>
      </c>
      <c r="G85" s="79">
        <v>2.2628349034050383E-6</v>
      </c>
      <c r="H85" s="79">
        <v>1200424.9317224117</v>
      </c>
      <c r="I85" s="79">
        <v>170923.36071664907</v>
      </c>
      <c r="J85" s="79">
        <v>136.35599676600589</v>
      </c>
      <c r="K85" s="79">
        <v>17216361.291882247</v>
      </c>
      <c r="L85" s="79">
        <v>955499.71742072701</v>
      </c>
      <c r="N85" s="348">
        <v>9.0245804272156178</v>
      </c>
      <c r="O85" s="349">
        <v>0.50085984499587632</v>
      </c>
    </row>
    <row r="86" spans="1:15" ht="20" customHeight="1">
      <c r="A86" s="78">
        <v>84</v>
      </c>
      <c r="B86" s="79">
        <v>2.4921355906220355</v>
      </c>
      <c r="C86" s="79">
        <v>0.23717173572991854</v>
      </c>
      <c r="D86" s="79">
        <v>1.3019150933952405E-4</v>
      </c>
      <c r="E86" s="79">
        <v>1.4016603581865754E-2</v>
      </c>
      <c r="F86" s="79">
        <v>2.1567553132980101E-3</v>
      </c>
      <c r="G86" s="79">
        <v>1.8253613426033289E-6</v>
      </c>
      <c r="H86" s="79">
        <v>1130432.7039061552</v>
      </c>
      <c r="I86" s="79">
        <v>153687.28475298724</v>
      </c>
      <c r="J86" s="79">
        <v>109.67332746761507</v>
      </c>
      <c r="K86" s="79">
        <v>16050932.474067956</v>
      </c>
      <c r="L86" s="79">
        <v>793194.39468589425</v>
      </c>
      <c r="N86" s="348">
        <v>8.4136786274538409</v>
      </c>
      <c r="O86" s="349">
        <v>0.41578162120904572</v>
      </c>
    </row>
    <row r="87" spans="1:15" ht="20" customHeight="1">
      <c r="A87" s="78">
        <v>85</v>
      </c>
      <c r="B87" s="79">
        <v>2.3449990885708427</v>
      </c>
      <c r="C87" s="79">
        <v>0.21314154417463121</v>
      </c>
      <c r="D87" s="79">
        <v>1.0469209086029099E-4</v>
      </c>
      <c r="E87" s="79">
        <v>1.3253208745049146E-2</v>
      </c>
      <c r="F87" s="79">
        <v>1.9462651739814182E-3</v>
      </c>
      <c r="G87" s="79">
        <v>1.472054601528606E-6</v>
      </c>
      <c r="H87" s="79">
        <v>1063691.5865757342</v>
      </c>
      <c r="I87" s="79">
        <v>138115.72062516105</v>
      </c>
      <c r="J87" s="79">
        <v>88.192617340709134</v>
      </c>
      <c r="K87" s="79">
        <v>14953870.328827024</v>
      </c>
      <c r="L87" s="79">
        <v>647292.8919968307</v>
      </c>
      <c r="N87" s="348">
        <v>7.8386136996488736</v>
      </c>
      <c r="O87" s="349">
        <v>0.33930205487409015</v>
      </c>
    </row>
    <row r="88" spans="1:15" ht="20" customHeight="1">
      <c r="A88" s="78">
        <v>86</v>
      </c>
      <c r="B88" s="79">
        <v>2.2048901059011703</v>
      </c>
      <c r="C88" s="79">
        <v>0.19144792686489132</v>
      </c>
      <c r="D88" s="79">
        <v>8.4169315744249851E-5</v>
      </c>
      <c r="E88" s="79">
        <v>1.252096816787239E-2</v>
      </c>
      <c r="F88" s="79">
        <v>1.7552875081305397E-3</v>
      </c>
      <c r="G88" s="79">
        <v>1.1868152440130482E-6</v>
      </c>
      <c r="H88" s="79">
        <v>1000138.1520367708</v>
      </c>
      <c r="I88" s="79">
        <v>124058.25660844958</v>
      </c>
      <c r="J88" s="79">
        <v>70.904231582956086</v>
      </c>
      <c r="K88" s="79">
        <v>13921955.459520757</v>
      </c>
      <c r="L88" s="79">
        <v>516205.90338003635</v>
      </c>
      <c r="N88" s="348">
        <v>7.2976980802441433</v>
      </c>
      <c r="O88" s="349">
        <v>0.27058805360068738</v>
      </c>
    </row>
    <row r="89" spans="1:15" ht="20" customHeight="1">
      <c r="A89" s="78">
        <v>87</v>
      </c>
      <c r="B89" s="79">
        <v>2.0716477270250722</v>
      </c>
      <c r="C89" s="79">
        <v>0.17187746078936667</v>
      </c>
      <c r="D89" s="79">
        <v>6.7656027402941763E-5</v>
      </c>
      <c r="E89" s="79">
        <v>1.181967854751405E-2</v>
      </c>
      <c r="F89" s="79">
        <v>1.5821542205194021E-3</v>
      </c>
      <c r="G89" s="79">
        <v>9.5660187827996187E-7</v>
      </c>
      <c r="H89" s="79">
        <v>939699.4089785727</v>
      </c>
      <c r="I89" s="79">
        <v>111376.59459150961</v>
      </c>
      <c r="J89" s="79">
        <v>56.993437484238157</v>
      </c>
      <c r="K89" s="79">
        <v>12952036.679013073</v>
      </c>
      <c r="L89" s="79">
        <v>398488.47778004408</v>
      </c>
      <c r="N89" s="348">
        <v>6.7892799601686953</v>
      </c>
      <c r="O89" s="349">
        <v>0.2088821938663884</v>
      </c>
    </row>
    <row r="90" spans="1:15" ht="20" customHeight="1">
      <c r="A90" s="78">
        <v>88</v>
      </c>
      <c r="B90" s="79">
        <v>1.9450935172864035</v>
      </c>
      <c r="C90" s="79">
        <v>0.15423424985865081</v>
      </c>
      <c r="D90" s="79">
        <v>5.4372064474473185E-5</v>
      </c>
      <c r="E90" s="79">
        <v>1.1149003034768712E-2</v>
      </c>
      <c r="F90" s="79">
        <v>1.4253201984395286E-3</v>
      </c>
      <c r="G90" s="79">
        <v>7.7085521981370514E-7</v>
      </c>
      <c r="H90" s="79">
        <v>882294.41944111255</v>
      </c>
      <c r="I90" s="79">
        <v>99943.793908405729</v>
      </c>
      <c r="J90" s="79">
        <v>45.803027113296217</v>
      </c>
      <c r="K90" s="79">
        <v>12041039.764803231</v>
      </c>
      <c r="L90" s="79">
        <v>292828.28353008628</v>
      </c>
      <c r="N90" s="348">
        <v>6.311747874157672</v>
      </c>
      <c r="O90" s="349">
        <v>0.1534965694131204</v>
      </c>
    </row>
    <row r="91" spans="1:15" ht="20" customHeight="1">
      <c r="A91" s="78">
        <v>89</v>
      </c>
      <c r="B91" s="79">
        <v>1.8250347677510419</v>
      </c>
      <c r="C91" s="79">
        <v>0.13833877627009816</v>
      </c>
      <c r="D91" s="79">
        <v>4.3688330988880868E-5</v>
      </c>
      <c r="E91" s="79">
        <v>1.0508488504805926E-2</v>
      </c>
      <c r="F91" s="79">
        <v>1.2833571059237964E-3</v>
      </c>
      <c r="G91" s="79">
        <v>6.2102948649944428E-7</v>
      </c>
      <c r="H91" s="79">
        <v>827835.77065187262</v>
      </c>
      <c r="I91" s="79">
        <v>89643.52702302362</v>
      </c>
      <c r="J91" s="79">
        <v>36.803050025033251</v>
      </c>
      <c r="K91" s="79">
        <v>11185974.66975674</v>
      </c>
      <c r="L91" s="79">
        <v>198034.62306436896</v>
      </c>
      <c r="N91" s="348">
        <v>5.8635344805185463</v>
      </c>
      <c r="O91" s="349">
        <v>0.10380703291004974</v>
      </c>
    </row>
    <row r="92" spans="1:15" ht="20" customHeight="1">
      <c r="A92" s="78">
        <v>90</v>
      </c>
      <c r="B92" s="79">
        <v>1.7112674331622544</v>
      </c>
      <c r="C92" s="79">
        <v>0.12402678087507851</v>
      </c>
      <c r="D92" s="79">
        <v>3.5097717447509191E-5</v>
      </c>
      <c r="E92" s="79">
        <v>9.8975816153801192E-3</v>
      </c>
      <c r="F92" s="79">
        <v>1.154947025797272E-3</v>
      </c>
      <c r="G92" s="79">
        <v>5.0021138684443563E-7</v>
      </c>
      <c r="H92" s="79">
        <v>776230.90768239857</v>
      </c>
      <c r="I92" s="79">
        <v>80369.35400705089</v>
      </c>
      <c r="J92" s="79">
        <v>29.566317177781748</v>
      </c>
      <c r="K92" s="79">
        <v>10383941.330589592</v>
      </c>
      <c r="L92" s="79">
        <v>113028.18254932761</v>
      </c>
      <c r="N92" s="348">
        <v>5.4431196058588789</v>
      </c>
      <c r="O92" s="349">
        <v>5.9247822850893306E-2</v>
      </c>
    </row>
    <row r="93" spans="1:15" ht="20" customHeight="1">
      <c r="A93" s="78">
        <v>91</v>
      </c>
      <c r="B93" s="79">
        <v>1.6035787778297017</v>
      </c>
      <c r="C93" s="79">
        <v>0.11114818076673759</v>
      </c>
      <c r="D93" s="79">
        <v>2.8191578946807824E-5</v>
      </c>
      <c r="E93" s="79">
        <v>9.3156436599258104E-3</v>
      </c>
      <c r="F93" s="79">
        <v>1.0388760530774829E-3</v>
      </c>
      <c r="G93" s="79">
        <v>4.0281053090652061E-7</v>
      </c>
      <c r="H93" s="79">
        <v>727383.33362355269</v>
      </c>
      <c r="I93" s="79">
        <v>72024.021136845957</v>
      </c>
      <c r="J93" s="79">
        <v>23.748586104790913</v>
      </c>
      <c r="K93" s="79">
        <v>9632134.2099366188</v>
      </c>
      <c r="L93" s="79">
        <v>36831.494977384806</v>
      </c>
      <c r="N93" s="348">
        <v>5.0490326259762446</v>
      </c>
      <c r="O93" s="349">
        <v>1.9306564438486964E-2</v>
      </c>
    </row>
    <row r="94" spans="1:15" ht="20" customHeight="1">
      <c r="A94" s="78">
        <v>92</v>
      </c>
      <c r="B94" s="79">
        <v>1.5017497453727415</v>
      </c>
      <c r="C94" s="79">
        <v>9.9566030193943347E-2</v>
      </c>
      <c r="D94" s="79">
        <v>2.2640717896670685E-5</v>
      </c>
      <c r="E94" s="79">
        <v>8.7619642362882031E-3</v>
      </c>
      <c r="F94" s="79">
        <v>9.340279242961247E-4</v>
      </c>
      <c r="G94" s="79">
        <v>3.243080315443386E-7</v>
      </c>
      <c r="H94" s="79">
        <v>681193.68450107554</v>
      </c>
      <c r="I94" s="79">
        <v>64518.787565675295</v>
      </c>
      <c r="J94" s="79">
        <v>19.072540756155387</v>
      </c>
      <c r="K94" s="79">
        <v>8927845.7008742988</v>
      </c>
      <c r="N94" s="348">
        <v>4.6798542504623901</v>
      </c>
    </row>
    <row r="95" spans="1:15" ht="20" customHeight="1">
      <c r="A95" s="78">
        <v>93</v>
      </c>
      <c r="B95" s="79">
        <v>1.4055570689697805</v>
      </c>
      <c r="C95" s="79">
        <v>8.9155529131409478E-2</v>
      </c>
      <c r="D95" s="79">
        <v>1.8180015957816379E-5</v>
      </c>
      <c r="E95" s="79">
        <v>8.2357737626190721E-3</v>
      </c>
      <c r="F95" s="79">
        <v>8.3937775083228609E-4</v>
      </c>
      <c r="G95" s="79">
        <v>2.610524788490453E-7</v>
      </c>
      <c r="H95" s="79">
        <v>637560.6864846925</v>
      </c>
      <c r="I95" s="79">
        <v>57772.782877153353</v>
      </c>
      <c r="J95" s="79">
        <v>15.314845442864518</v>
      </c>
      <c r="K95" s="79">
        <v>8268468.5153814256</v>
      </c>
      <c r="N95" s="348">
        <v>4.3342177747015516</v>
      </c>
    </row>
    <row r="96" spans="1:15" ht="20" customHeight="1">
      <c r="A96" s="78">
        <v>94</v>
      </c>
      <c r="B96" s="79">
        <v>1.314775139140852</v>
      </c>
      <c r="C96" s="79">
        <v>7.9803082355765137E-2</v>
      </c>
      <c r="D96" s="79">
        <v>1.4596020529386402E-5</v>
      </c>
      <c r="E96" s="79">
        <v>7.7362548804949102E-3</v>
      </c>
      <c r="F96" s="79">
        <v>7.5398591010378485E-4</v>
      </c>
      <c r="G96" s="79">
        <v>2.1009445351478327E-7</v>
      </c>
      <c r="H96" s="79">
        <v>596382.00311429042</v>
      </c>
      <c r="I96" s="79">
        <v>51712.397366535813</v>
      </c>
      <c r="J96" s="79">
        <v>12.295687693955108</v>
      </c>
      <c r="K96" s="79">
        <v>7651497.1705819368</v>
      </c>
      <c r="N96" s="348">
        <v>4.010809858938555</v>
      </c>
    </row>
    <row r="97" spans="1:14" ht="20" customHeight="1">
      <c r="A97" s="78">
        <v>95</v>
      </c>
      <c r="B97" s="79">
        <v>1.2291776461727506</v>
      </c>
      <c r="C97" s="79">
        <v>7.1405410654774126E-2</v>
      </c>
      <c r="D97" s="79">
        <v>1.1716922039718747E-5</v>
      </c>
      <c r="E97" s="79">
        <v>7.2625527918754084E-3</v>
      </c>
      <c r="F97" s="79">
        <v>6.7699213623415261E-4</v>
      </c>
      <c r="G97" s="79">
        <v>1.6905237083970994E-7</v>
      </c>
      <c r="H97" s="79">
        <v>557554.98030395957</v>
      </c>
      <c r="I97" s="79">
        <v>46270.70610429364</v>
      </c>
      <c r="J97" s="79">
        <v>9.8703351262590751</v>
      </c>
      <c r="K97" s="79">
        <v>7074528.6788728237</v>
      </c>
      <c r="N97" s="348">
        <v>3.7083708900344057</v>
      </c>
    </row>
    <row r="98" spans="1:14" ht="20" customHeight="1">
      <c r="A98" s="78">
        <v>96</v>
      </c>
      <c r="B98" s="79">
        <v>1.1485390141373548</v>
      </c>
      <c r="C98" s="79">
        <v>6.3868714797966256E-2</v>
      </c>
      <c r="D98" s="79">
        <v>9.4044648528218476E-6</v>
      </c>
      <c r="E98" s="79">
        <v>6.8137845813679388E-3</v>
      </c>
      <c r="F98" s="79">
        <v>6.0760984138698087E-4</v>
      </c>
      <c r="G98" s="79">
        <v>1.3600377874663225E-7</v>
      </c>
      <c r="H98" s="79">
        <v>520977.29681270407</v>
      </c>
      <c r="I98" s="79">
        <v>41386.927189082133</v>
      </c>
      <c r="J98" s="79">
        <v>7.922321192017125</v>
      </c>
      <c r="K98" s="79">
        <v>6535262.5403144956</v>
      </c>
      <c r="N98" s="348">
        <v>3.4256949774774172</v>
      </c>
    </row>
    <row r="99" spans="1:14" ht="20" customHeight="1">
      <c r="A99" s="78">
        <v>97</v>
      </c>
      <c r="B99" s="79">
        <v>1.0726356431016604</v>
      </c>
      <c r="C99" s="79">
        <v>5.7107892090657211E-2</v>
      </c>
      <c r="D99" s="79">
        <v>7.5474212592083812E-6</v>
      </c>
      <c r="E99" s="79">
        <v>6.3890475786361521E-3</v>
      </c>
      <c r="F99" s="79">
        <v>5.4512069013436151E-4</v>
      </c>
      <c r="G99" s="79">
        <v>1.0939732273874922E-7</v>
      </c>
      <c r="H99" s="79">
        <v>486547.5277109131</v>
      </c>
      <c r="I99" s="79">
        <v>37005.91407474588</v>
      </c>
      <c r="J99" s="79">
        <v>6.3579476687571415</v>
      </c>
      <c r="K99" s="79">
        <v>6031500.1280526817</v>
      </c>
      <c r="N99" s="348">
        <v>3.1616296312298036</v>
      </c>
    </row>
    <row r="100" spans="1:14" ht="20" customHeight="1">
      <c r="A100" s="78">
        <v>98</v>
      </c>
      <c r="B100" s="79">
        <v>1.0012469756230691</v>
      </c>
      <c r="C100" s="79">
        <v>5.1045804692310889E-2</v>
      </c>
      <c r="D100" s="79">
        <v>6.0563284332225791E-6</v>
      </c>
      <c r="E100" s="79">
        <v>5.9874268179023853E-3</v>
      </c>
      <c r="F100" s="79">
        <v>4.8886944181669538E-4</v>
      </c>
      <c r="G100" s="79">
        <v>8.7981481196535146E-8</v>
      </c>
      <c r="H100" s="79">
        <v>454165.62814262416</v>
      </c>
      <c r="I100" s="79">
        <v>33077.68144061746</v>
      </c>
      <c r="J100" s="79">
        <v>5.1018510721467019</v>
      </c>
      <c r="K100" s="79">
        <v>5561143.5501259267</v>
      </c>
      <c r="N100" s="348">
        <v>2.9150751651027842</v>
      </c>
    </row>
    <row r="101" spans="1:14" ht="20" customHeight="1">
      <c r="A101" s="78">
        <v>99</v>
      </c>
      <c r="B101" s="79">
        <v>0.93415640300169411</v>
      </c>
      <c r="C101" s="79">
        <v>4.5612598379905778E-2</v>
      </c>
      <c r="D101" s="79">
        <v>4.859245410955599E-6</v>
      </c>
      <c r="E101" s="79">
        <v>5.6080016525423011E-3</v>
      </c>
      <c r="F101" s="79">
        <v>4.3825906968425287E-4</v>
      </c>
      <c r="G101" s="79">
        <v>7.0746901542728516E-8</v>
      </c>
      <c r="H101" s="79">
        <v>423733.34440156841</v>
      </c>
      <c r="I101" s="79">
        <v>29556.963750178944</v>
      </c>
      <c r="J101" s="79">
        <v>4.0934283341889977</v>
      </c>
      <c r="K101" s="79">
        <v>5122194.0638538301</v>
      </c>
      <c r="N101" s="348">
        <v>2.6849838656006448</v>
      </c>
    </row>
    <row r="102" spans="1:14" ht="20" customHeight="1">
      <c r="A102" s="78">
        <v>100</v>
      </c>
      <c r="B102" s="79">
        <v>0.87115202605219433</v>
      </c>
      <c r="C102" s="79">
        <v>4.0745070055873869E-2</v>
      </c>
      <c r="D102" s="79">
        <v>3.8983335302329466E-6</v>
      </c>
      <c r="E102" s="79">
        <v>5.2498515829259096E-3</v>
      </c>
      <c r="F102" s="79">
        <v>3.9274616052978686E-4</v>
      </c>
      <c r="G102" s="79">
        <v>5.6879760992001161E-8</v>
      </c>
      <c r="H102" s="79">
        <v>395154.55901727534</v>
      </c>
      <c r="I102" s="79">
        <v>26402.80539620627</v>
      </c>
      <c r="J102" s="79">
        <v>3.2839561658682346</v>
      </c>
      <c r="K102" s="79">
        <v>4712750.1121444106</v>
      </c>
      <c r="N102" s="348">
        <v>2.470358962579998</v>
      </c>
    </row>
  </sheetData>
  <sheetProtection selectLockedCells="1"/>
  <mergeCells count="1">
    <mergeCell ref="A1:M1"/>
  </mergeCells>
  <phoneticPr fontId="1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89FB4-81D5-47FD-A44E-7D099ED043CB}">
  <sheetPr codeName="Sheet3">
    <tabColor theme="9" tint="0.59999389629810485"/>
  </sheetPr>
  <dimension ref="A1:L371"/>
  <sheetViews>
    <sheetView topLeftCell="A73" zoomScale="90" zoomScaleNormal="90" workbookViewId="0">
      <selection activeCell="O301" sqref="O301"/>
    </sheetView>
  </sheetViews>
  <sheetFormatPr baseColWidth="10" defaultColWidth="9" defaultRowHeight="14"/>
  <cols>
    <col min="1" max="16384" width="9" style="1"/>
  </cols>
  <sheetData>
    <row r="1" spans="1:12" ht="30">
      <c r="A1" s="5" t="s">
        <v>233</v>
      </c>
      <c r="B1" s="2"/>
      <c r="C1" s="2"/>
      <c r="D1" s="2"/>
      <c r="E1" s="2"/>
      <c r="F1" s="2"/>
      <c r="G1" s="2"/>
      <c r="H1" s="2"/>
      <c r="I1" s="2"/>
      <c r="J1" s="2"/>
      <c r="K1" s="2"/>
      <c r="L1" s="2"/>
    </row>
    <row r="2" spans="1:12" ht="18">
      <c r="A2" s="425" t="s">
        <v>234</v>
      </c>
      <c r="B2" s="426"/>
      <c r="C2" s="426"/>
      <c r="D2" s="426"/>
      <c r="E2" s="426"/>
      <c r="F2" s="426"/>
      <c r="G2" s="426"/>
      <c r="H2" s="426"/>
      <c r="I2" s="426"/>
      <c r="J2" s="426"/>
      <c r="K2" s="426"/>
      <c r="L2" s="426"/>
    </row>
    <row r="3" spans="1:12" ht="18">
      <c r="A3" s="6" t="s">
        <v>235</v>
      </c>
      <c r="B3" s="6"/>
      <c r="C3" s="6"/>
      <c r="D3" s="6"/>
      <c r="E3" s="6"/>
      <c r="F3" s="6"/>
      <c r="G3" s="6"/>
      <c r="H3" s="6"/>
      <c r="I3" s="6"/>
      <c r="J3" s="6"/>
      <c r="K3" s="6"/>
      <c r="L3" s="6"/>
    </row>
    <row r="4" spans="1:12">
      <c r="A4" s="4" t="s">
        <v>236</v>
      </c>
    </row>
    <row r="371" spans="4:4">
      <c r="D371" s="3"/>
    </row>
  </sheetData>
  <mergeCells count="1">
    <mergeCell ref="A2:L2"/>
  </mergeCells>
  <phoneticPr fontId="12"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5E16B-266A-4963-AAF8-83EE07F572BD}">
  <sheetPr codeName="Sheet4">
    <tabColor theme="7" tint="0.79998168889431442"/>
  </sheetPr>
  <dimension ref="A1:I13"/>
  <sheetViews>
    <sheetView zoomScaleNormal="100" workbookViewId="0">
      <selection activeCell="L13" sqref="L13"/>
    </sheetView>
  </sheetViews>
  <sheetFormatPr baseColWidth="10" defaultColWidth="8.83203125" defaultRowHeight="15"/>
  <cols>
    <col min="1" max="1" width="18" customWidth="1"/>
    <col min="6" max="6" width="12.83203125" customWidth="1"/>
  </cols>
  <sheetData>
    <row r="1" spans="1:9" ht="16">
      <c r="A1" s="63" t="s">
        <v>237</v>
      </c>
      <c r="B1" s="63" t="s">
        <v>238</v>
      </c>
      <c r="C1" s="63" t="s">
        <v>239</v>
      </c>
      <c r="D1" s="63" t="s">
        <v>240</v>
      </c>
      <c r="E1" s="63" t="s">
        <v>70</v>
      </c>
      <c r="F1" s="63" t="s">
        <v>241</v>
      </c>
      <c r="G1" s="63" t="s">
        <v>242</v>
      </c>
      <c r="H1" s="63" t="s">
        <v>243</v>
      </c>
      <c r="I1" s="63" t="s">
        <v>244</v>
      </c>
    </row>
    <row r="2" spans="1:9">
      <c r="A2" s="63" t="s">
        <v>43</v>
      </c>
      <c r="B2" s="63"/>
      <c r="C2" s="63"/>
      <c r="D2" s="63"/>
      <c r="E2" s="63"/>
      <c r="F2" s="63"/>
      <c r="G2" s="63"/>
      <c r="H2" s="63"/>
      <c r="I2" s="63"/>
    </row>
    <row r="3" spans="1:9">
      <c r="A3" s="63" t="s">
        <v>245</v>
      </c>
      <c r="B3" s="63">
        <v>4.4999999999999998E-2</v>
      </c>
      <c r="C3" s="63">
        <v>0.43</v>
      </c>
      <c r="D3" s="63">
        <v>0.14499999999999999</v>
      </c>
      <c r="E3" s="63">
        <v>2.68</v>
      </c>
      <c r="F3" s="64">
        <v>1.5346396103896101</v>
      </c>
      <c r="G3" s="63">
        <v>712.8</v>
      </c>
      <c r="H3" s="65">
        <v>4.5815000000000002E-2</v>
      </c>
      <c r="I3" s="66">
        <v>0.41183294663573083</v>
      </c>
    </row>
    <row r="4" spans="1:9">
      <c r="A4" s="63" t="s">
        <v>246</v>
      </c>
      <c r="B4" s="63">
        <v>5.7000000000000002E-2</v>
      </c>
      <c r="C4" s="63">
        <v>0.41</v>
      </c>
      <c r="D4" s="63">
        <v>0.124</v>
      </c>
      <c r="E4" s="63">
        <v>2.2799999999999998</v>
      </c>
      <c r="F4" s="64">
        <v>1.52092682926829</v>
      </c>
      <c r="G4" s="63">
        <v>350.2</v>
      </c>
      <c r="H4" s="65">
        <v>5.0211000000000006E-2</v>
      </c>
      <c r="I4" s="66">
        <v>0.35382830626450118</v>
      </c>
    </row>
    <row r="5" spans="1:9">
      <c r="A5" s="63" t="s">
        <v>247</v>
      </c>
      <c r="B5" s="63">
        <v>7.8E-2</v>
      </c>
      <c r="C5" s="63">
        <v>0.43</v>
      </c>
      <c r="D5" s="63">
        <v>3.5999999999999997E-2</v>
      </c>
      <c r="E5" s="63">
        <v>1.56</v>
      </c>
      <c r="F5" s="64">
        <v>1.3727290076335901</v>
      </c>
      <c r="G5" s="63">
        <v>24.96</v>
      </c>
      <c r="H5" s="65">
        <v>4.7732999999999998E-2</v>
      </c>
      <c r="I5" s="66">
        <v>0.30162412993039445</v>
      </c>
    </row>
    <row r="6" spans="1:9">
      <c r="A6" s="63" t="s">
        <v>248</v>
      </c>
      <c r="B6" s="63">
        <v>3.4000000000000002E-2</v>
      </c>
      <c r="C6" s="63">
        <v>0.46</v>
      </c>
      <c r="D6" s="63">
        <v>1.6E-2</v>
      </c>
      <c r="E6" s="63">
        <v>1.37</v>
      </c>
      <c r="F6" s="64">
        <v>1.32666666666667</v>
      </c>
      <c r="G6" s="63">
        <v>5.9989999999999997</v>
      </c>
      <c r="H6" s="65">
        <v>4.9306000000000003E-2</v>
      </c>
      <c r="I6" s="66">
        <v>0.32482598607888635</v>
      </c>
    </row>
    <row r="7" spans="1:9">
      <c r="A7" s="63" t="s">
        <v>249</v>
      </c>
      <c r="B7" s="63">
        <v>6.7000000000000004E-2</v>
      </c>
      <c r="C7" s="63">
        <v>0.45</v>
      </c>
      <c r="D7" s="63">
        <v>0.02</v>
      </c>
      <c r="E7" s="63">
        <v>1.41</v>
      </c>
      <c r="F7" s="64">
        <v>1.2795240963855401</v>
      </c>
      <c r="G7" s="63">
        <v>10.8</v>
      </c>
      <c r="H7" s="65">
        <v>4.3193000000000002E-2</v>
      </c>
      <c r="I7" s="66">
        <v>0.33642691415313225</v>
      </c>
    </row>
    <row r="8" spans="1:9">
      <c r="A8" s="63" t="s">
        <v>250</v>
      </c>
      <c r="B8" s="63">
        <v>0.1</v>
      </c>
      <c r="C8" s="63">
        <v>0.39</v>
      </c>
      <c r="D8" s="63">
        <v>5.8999999999999997E-2</v>
      </c>
      <c r="E8" s="63">
        <v>1.48</v>
      </c>
      <c r="F8" s="64">
        <v>1.57541899441341</v>
      </c>
      <c r="G8" s="63">
        <v>31.44</v>
      </c>
      <c r="H8" s="65">
        <v>5.5637000000000006E-2</v>
      </c>
      <c r="I8" s="66">
        <v>0.11020881670533643</v>
      </c>
    </row>
    <row r="9" spans="1:9">
      <c r="A9" s="63" t="s">
        <v>251</v>
      </c>
      <c r="B9" s="63">
        <v>9.5000000000000001E-2</v>
      </c>
      <c r="C9" s="63">
        <v>0.41</v>
      </c>
      <c r="D9" s="63">
        <v>1.9E-2</v>
      </c>
      <c r="E9" s="63">
        <v>1.31</v>
      </c>
      <c r="F9" s="64">
        <v>1.4329591836734701</v>
      </c>
      <c r="G9" s="63">
        <v>6.24</v>
      </c>
      <c r="H9" s="65">
        <v>5.4702000000000001E-2</v>
      </c>
      <c r="I9" s="66">
        <v>5.8004640371229703E-2</v>
      </c>
    </row>
    <row r="10" spans="1:9">
      <c r="A10" s="63" t="s">
        <v>252</v>
      </c>
      <c r="B10" s="63">
        <v>8.8999999999999996E-2</v>
      </c>
      <c r="C10" s="63">
        <v>0.43</v>
      </c>
      <c r="D10" s="63">
        <v>0.01</v>
      </c>
      <c r="E10" s="63">
        <v>1.23</v>
      </c>
      <c r="F10" s="64">
        <v>1.3262717391304299</v>
      </c>
      <c r="G10" s="63">
        <v>1.68</v>
      </c>
      <c r="H10" s="65">
        <v>3.8436999999999999E-2</v>
      </c>
      <c r="I10" s="66">
        <v>7.5406032482598612E-2</v>
      </c>
    </row>
    <row r="11" spans="1:9">
      <c r="A11" s="63" t="s">
        <v>253</v>
      </c>
      <c r="B11" s="63">
        <v>0.1</v>
      </c>
      <c r="C11" s="63">
        <v>0.38</v>
      </c>
      <c r="D11" s="63">
        <v>2.7E-2</v>
      </c>
      <c r="E11" s="63">
        <v>1.23</v>
      </c>
      <c r="F11" s="64">
        <v>1.5874999999999999</v>
      </c>
      <c r="G11" s="63">
        <v>2.88</v>
      </c>
      <c r="H11" s="65">
        <v>5.8271000000000003E-2</v>
      </c>
      <c r="I11" s="66">
        <v>0.22041763341067286</v>
      </c>
    </row>
    <row r="12" spans="1:9">
      <c r="A12" s="63" t="s">
        <v>254</v>
      </c>
      <c r="B12" s="63">
        <v>7.0000000000000007E-2</v>
      </c>
      <c r="C12" s="63">
        <v>0.36</v>
      </c>
      <c r="D12" s="63">
        <v>5.0000000000000001E-3</v>
      </c>
      <c r="E12" s="63">
        <v>1.0900000000000001</v>
      </c>
      <c r="F12" s="64">
        <v>1.3565517241379299</v>
      </c>
      <c r="G12" s="63">
        <v>4.8</v>
      </c>
      <c r="H12" s="65">
        <v>5.0423000000000003E-2</v>
      </c>
      <c r="I12" s="66">
        <v>0.22041763341067286</v>
      </c>
    </row>
    <row r="13" spans="1:9">
      <c r="A13" s="63" t="s">
        <v>255</v>
      </c>
      <c r="B13" s="63">
        <v>6.8000000000000005E-2</v>
      </c>
      <c r="C13" s="63">
        <v>0.38</v>
      </c>
      <c r="D13" s="63">
        <v>8.0000000000000002E-3</v>
      </c>
      <c r="E13" s="63">
        <v>1.0900000000000001</v>
      </c>
      <c r="F13" s="64">
        <v>1.3935652173913</v>
      </c>
      <c r="G13" s="63">
        <v>4.8</v>
      </c>
      <c r="H13" s="65">
        <v>3.7328E-2</v>
      </c>
      <c r="I13" s="66">
        <v>0.22041763341067286</v>
      </c>
    </row>
  </sheetData>
  <sheetProtection selectLockedCells="1"/>
  <phoneticPr fontId="12" type="noConversion"/>
  <pageMargins left="0.7" right="0.7" top="0.75" bottom="0.75" header="0.3" footer="0.3"/>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32A80-132D-422B-B082-FDB310541EC7}">
  <sheetPr codeName="Sheet5">
    <tabColor theme="7" tint="0.79998168889431442"/>
  </sheetPr>
  <dimension ref="A1:S23"/>
  <sheetViews>
    <sheetView zoomScale="158" zoomScaleNormal="100" workbookViewId="0">
      <selection activeCell="J27" sqref="J27"/>
    </sheetView>
  </sheetViews>
  <sheetFormatPr baseColWidth="10" defaultColWidth="8.83203125" defaultRowHeight="15"/>
  <cols>
    <col min="4" max="4" width="9.1640625" customWidth="1"/>
    <col min="5" max="5" width="10.1640625" customWidth="1"/>
    <col min="6" max="6" width="10.33203125" customWidth="1"/>
    <col min="8" max="8" width="8.33203125" style="7" customWidth="1"/>
    <col min="10" max="10" width="11.83203125" customWidth="1"/>
    <col min="14" max="14" width="16.83203125" customWidth="1"/>
    <col min="17" max="17" width="10.33203125" customWidth="1"/>
    <col min="18" max="18" width="10" customWidth="1"/>
  </cols>
  <sheetData>
    <row r="1" spans="1:19" ht="16">
      <c r="A1" s="63" t="s">
        <v>237</v>
      </c>
      <c r="B1" s="63" t="s">
        <v>82</v>
      </c>
      <c r="C1" s="63" t="s">
        <v>84</v>
      </c>
      <c r="D1" s="63" t="s">
        <v>256</v>
      </c>
      <c r="E1" s="63" t="s">
        <v>90</v>
      </c>
      <c r="F1" s="63" t="s">
        <v>257</v>
      </c>
      <c r="G1" s="63" t="s">
        <v>258</v>
      </c>
      <c r="H1" s="67" t="s">
        <v>259</v>
      </c>
      <c r="O1" s="63"/>
      <c r="P1" s="63"/>
      <c r="Q1" s="63"/>
      <c r="R1" s="63"/>
      <c r="S1" s="63"/>
    </row>
    <row r="2" spans="1:19">
      <c r="A2" s="63" t="s">
        <v>43</v>
      </c>
      <c r="B2" s="63"/>
      <c r="C2" s="63"/>
      <c r="D2" s="63"/>
      <c r="E2" s="63"/>
      <c r="F2" s="68"/>
      <c r="G2" s="63"/>
      <c r="H2" s="69"/>
      <c r="O2" s="63"/>
      <c r="P2" s="63"/>
      <c r="Q2" s="63"/>
      <c r="R2" s="63"/>
      <c r="S2" s="63"/>
    </row>
    <row r="3" spans="1:19">
      <c r="A3" s="63" t="s">
        <v>260</v>
      </c>
      <c r="B3" s="63">
        <v>3168.6</v>
      </c>
      <c r="C3" s="63">
        <v>0.22</v>
      </c>
      <c r="D3" s="63">
        <v>71</v>
      </c>
      <c r="E3" s="63">
        <v>264.05</v>
      </c>
      <c r="F3" s="68">
        <v>1.2E-5</v>
      </c>
      <c r="G3" s="69">
        <v>154.9</v>
      </c>
      <c r="H3" s="69">
        <v>50.12</v>
      </c>
      <c r="L3" s="69"/>
      <c r="N3" s="170"/>
      <c r="O3" s="170"/>
      <c r="P3" s="63"/>
      <c r="Q3" s="68"/>
      <c r="R3" s="68"/>
      <c r="S3" s="68"/>
    </row>
    <row r="4" spans="1:19">
      <c r="A4" s="63" t="s">
        <v>261</v>
      </c>
      <c r="B4" s="63">
        <v>1350.415</v>
      </c>
      <c r="C4" s="63">
        <v>0.21</v>
      </c>
      <c r="D4" s="63">
        <v>71</v>
      </c>
      <c r="E4" s="63">
        <v>314.05</v>
      </c>
      <c r="F4" s="68">
        <v>7.7999999999999999E-6</v>
      </c>
      <c r="G4" s="69">
        <v>182.3</v>
      </c>
      <c r="H4" s="69">
        <v>63.1</v>
      </c>
      <c r="L4" s="69"/>
      <c r="N4" s="170"/>
      <c r="O4" s="170"/>
      <c r="P4" s="63"/>
      <c r="Q4" s="68"/>
      <c r="R4" s="68"/>
      <c r="S4" s="68"/>
    </row>
    <row r="5" spans="1:19">
      <c r="A5" s="63" t="s">
        <v>262</v>
      </c>
      <c r="B5" s="63">
        <v>345.85700000000003</v>
      </c>
      <c r="C5" s="63">
        <v>0.22</v>
      </c>
      <c r="D5" s="63">
        <v>71</v>
      </c>
      <c r="E5" s="63">
        <v>364.06</v>
      </c>
      <c r="F5" s="68">
        <v>9.3000000000000007E-6</v>
      </c>
      <c r="G5" s="69">
        <v>209.8</v>
      </c>
      <c r="H5" s="69">
        <v>100</v>
      </c>
      <c r="L5" s="69"/>
      <c r="N5" s="170"/>
      <c r="O5" s="170"/>
      <c r="P5" s="63"/>
      <c r="Q5" s="68"/>
      <c r="R5" s="68"/>
      <c r="S5" s="68"/>
    </row>
    <row r="6" spans="1:19">
      <c r="A6" s="63" t="s">
        <v>263</v>
      </c>
      <c r="B6" s="63">
        <v>62.110500000000002</v>
      </c>
      <c r="C6" s="63">
        <v>0.19</v>
      </c>
      <c r="D6" s="63">
        <v>71</v>
      </c>
      <c r="E6" s="63">
        <v>414.07</v>
      </c>
      <c r="F6" s="68">
        <v>4.8999999999999997E-6</v>
      </c>
      <c r="G6" s="69">
        <v>237.2</v>
      </c>
      <c r="H6" s="69">
        <v>136.19999999999999</v>
      </c>
      <c r="L6" s="69"/>
      <c r="N6" s="170"/>
      <c r="O6" s="170"/>
      <c r="P6" s="63"/>
      <c r="Q6" s="68"/>
      <c r="R6" s="68"/>
      <c r="S6" s="68"/>
    </row>
    <row r="7" spans="1:19">
      <c r="A7" s="63" t="s">
        <v>264</v>
      </c>
      <c r="B7" s="63">
        <v>5.1048799999999996</v>
      </c>
      <c r="C7" s="63">
        <v>0.16</v>
      </c>
      <c r="D7" s="63">
        <v>71</v>
      </c>
      <c r="E7" s="63">
        <v>464.08</v>
      </c>
      <c r="F7" s="68">
        <v>2.9299999999999999E-6</v>
      </c>
      <c r="G7" s="69">
        <v>264.7</v>
      </c>
      <c r="H7" s="69">
        <v>388.93</v>
      </c>
      <c r="L7" s="69"/>
      <c r="N7" s="170"/>
      <c r="O7" s="170"/>
      <c r="P7" s="63"/>
      <c r="Q7" s="68"/>
      <c r="R7" s="68"/>
      <c r="S7" s="68"/>
    </row>
    <row r="8" spans="1:19">
      <c r="A8" s="63" t="s">
        <v>265</v>
      </c>
      <c r="B8" s="63">
        <v>3.7013760000000002</v>
      </c>
      <c r="C8" s="63">
        <v>0.17</v>
      </c>
      <c r="D8" s="63">
        <v>71</v>
      </c>
      <c r="E8" s="63">
        <v>514.08000000000004</v>
      </c>
      <c r="F8" s="68">
        <v>2.2699999999999999E-6</v>
      </c>
      <c r="G8" s="69">
        <v>292.10000000000002</v>
      </c>
      <c r="H8" s="69">
        <v>1277.4100000000001</v>
      </c>
      <c r="L8" s="69"/>
      <c r="N8" s="170"/>
      <c r="O8" s="170"/>
      <c r="P8" s="63"/>
      <c r="Q8" s="68"/>
      <c r="R8" s="68"/>
      <c r="S8" s="68"/>
    </row>
    <row r="9" spans="1:19">
      <c r="A9" s="63" t="s">
        <v>266</v>
      </c>
      <c r="B9" s="63">
        <v>2400.8000000000002</v>
      </c>
      <c r="C9" s="63">
        <v>0.15</v>
      </c>
      <c r="D9" s="63">
        <v>71</v>
      </c>
      <c r="E9" s="63">
        <v>300.10000000000002</v>
      </c>
      <c r="F9" s="68">
        <v>1.1E-5</v>
      </c>
      <c r="G9" s="69">
        <v>162.30000000000001</v>
      </c>
      <c r="H9" s="69">
        <v>48.82</v>
      </c>
      <c r="L9" s="69"/>
      <c r="N9" s="170"/>
      <c r="O9" s="170"/>
      <c r="P9" s="63"/>
      <c r="Q9" s="68"/>
      <c r="R9" s="68"/>
      <c r="S9" s="68"/>
    </row>
    <row r="10" spans="1:19">
      <c r="A10" s="63" t="s">
        <v>267</v>
      </c>
      <c r="B10" s="63">
        <v>160.048</v>
      </c>
      <c r="C10" s="63">
        <v>0.14000000000000001</v>
      </c>
      <c r="D10" s="63">
        <v>71</v>
      </c>
      <c r="E10" s="63">
        <v>400.12</v>
      </c>
      <c r="F10" s="68">
        <v>4.5000000000000001E-6</v>
      </c>
      <c r="G10" s="69">
        <v>217.3</v>
      </c>
      <c r="H10" s="69">
        <v>115.69</v>
      </c>
      <c r="L10" s="69"/>
      <c r="N10" s="170"/>
      <c r="O10" s="170"/>
      <c r="P10" s="63"/>
      <c r="Q10" s="68"/>
      <c r="R10" s="68"/>
      <c r="S10" s="68"/>
    </row>
    <row r="11" spans="1:19">
      <c r="A11" s="63" t="s">
        <v>268</v>
      </c>
      <c r="B11" s="63">
        <v>3.6505839419999999</v>
      </c>
      <c r="C11" s="63">
        <v>0.12</v>
      </c>
      <c r="D11" s="63">
        <v>71</v>
      </c>
      <c r="E11" s="63">
        <v>500.13</v>
      </c>
      <c r="F11" s="68">
        <v>5.4E-6</v>
      </c>
      <c r="G11" s="69">
        <v>272.10000000000002</v>
      </c>
      <c r="H11" s="69">
        <v>664.94</v>
      </c>
      <c r="L11" s="69"/>
      <c r="N11" s="170"/>
      <c r="O11" s="170"/>
      <c r="P11" s="63"/>
      <c r="Q11" s="68"/>
      <c r="R11" s="68"/>
      <c r="S11" s="68"/>
    </row>
    <row r="12" spans="1:19">
      <c r="A12" s="63" t="s">
        <v>269</v>
      </c>
      <c r="B12" s="63">
        <v>109</v>
      </c>
      <c r="C12" s="63">
        <v>0.1</v>
      </c>
      <c r="D12" s="63">
        <v>71</v>
      </c>
      <c r="E12" s="63">
        <v>347.08</v>
      </c>
      <c r="F12" s="68">
        <v>2.086E-5</v>
      </c>
      <c r="G12" s="63">
        <v>309.89999999999998</v>
      </c>
      <c r="H12" s="69">
        <v>31.62</v>
      </c>
      <c r="N12" s="170"/>
      <c r="O12" s="170"/>
      <c r="P12" s="63"/>
    </row>
    <row r="13" spans="1:19">
      <c r="N13" s="170"/>
      <c r="O13" s="170"/>
      <c r="P13" s="63"/>
    </row>
    <row r="14" spans="1:19">
      <c r="N14" s="170"/>
      <c r="O14" s="170"/>
      <c r="P14" s="63"/>
      <c r="Q14" s="63"/>
    </row>
    <row r="15" spans="1:19">
      <c r="N15" s="170"/>
      <c r="O15" s="170"/>
      <c r="P15" s="63"/>
      <c r="Q15" s="68"/>
    </row>
    <row r="16" spans="1:19">
      <c r="H16" s="335"/>
      <c r="P16" s="63"/>
      <c r="Q16" s="68"/>
    </row>
    <row r="17" spans="8:17">
      <c r="H17" s="335"/>
      <c r="P17" s="63"/>
      <c r="Q17" s="68"/>
    </row>
    <row r="18" spans="8:17">
      <c r="P18" s="63"/>
      <c r="Q18" s="68"/>
    </row>
    <row r="19" spans="8:17">
      <c r="I19" s="334"/>
      <c r="P19" s="63"/>
      <c r="Q19" s="68"/>
    </row>
    <row r="20" spans="8:17">
      <c r="P20" s="63"/>
      <c r="Q20" s="68"/>
    </row>
    <row r="21" spans="8:17">
      <c r="P21" s="63"/>
      <c r="Q21" s="68"/>
    </row>
    <row r="22" spans="8:17">
      <c r="P22" s="63"/>
      <c r="Q22" s="68"/>
    </row>
    <row r="23" spans="8:17">
      <c r="P23" s="63"/>
      <c r="Q23" s="68"/>
    </row>
  </sheetData>
  <phoneticPr fontId="12" type="noConversion"/>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FA65B1E-652A-459B-AD6B-BF9942A6132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10</vt:i4>
      </vt:variant>
      <vt:variant>
        <vt:lpstr>Named Ranges</vt:lpstr>
      </vt:variant>
      <vt:variant>
        <vt:i4>10</vt:i4>
      </vt:variant>
    </vt:vector>
  </HeadingPairs>
  <TitlesOfParts>
    <vt:vector size="20" baseType="lpstr">
      <vt:lpstr>Introduction</vt:lpstr>
      <vt:lpstr>Module0_Input</vt:lpstr>
      <vt:lpstr>Module0_Output</vt:lpstr>
      <vt:lpstr>Module0_Output_Data</vt:lpstr>
      <vt:lpstr>Module1_Input</vt:lpstr>
      <vt:lpstr>Module1_Output</vt:lpstr>
      <vt:lpstr>Module1_Output_Data</vt:lpstr>
      <vt:lpstr>ReadMe2</vt:lpstr>
      <vt:lpstr>SoilData</vt:lpstr>
      <vt:lpstr>PFASData</vt:lpstr>
      <vt:lpstr>AI</vt:lpstr>
      <vt:lpstr>Module0_Input!PFASname</vt:lpstr>
      <vt:lpstr>Module1_Input!PFASname</vt:lpstr>
      <vt:lpstr>Module1_Output_Data!PFASname</vt:lpstr>
      <vt:lpstr>PFASname</vt:lpstr>
      <vt:lpstr>Module1_Output_Data!Print_Area</vt:lpstr>
      <vt:lpstr>Module0_Input!SoilName</vt:lpstr>
      <vt:lpstr>Module1_Input!SoilName</vt:lpstr>
      <vt:lpstr>Module1_Output_Data!SoilName</vt:lpstr>
      <vt:lpstr>SoilName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Jake Smith</dc:creator>
  <cp:keywords/>
  <dc:description/>
  <cp:lastModifiedBy>Guo, Bo - (boguo)</cp:lastModifiedBy>
  <cp:revision/>
  <dcterms:created xsi:type="dcterms:W3CDTF">2023-05-28T20:22:31Z</dcterms:created>
  <dcterms:modified xsi:type="dcterms:W3CDTF">2025-02-28T08:47:53Z</dcterms:modified>
  <cp:category/>
  <cp:contentStatus/>
</cp:coreProperties>
</file>